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ЭтаКнига" defaultThemeVersion="124226"/>
  <bookViews>
    <workbookView xWindow="0" yWindow="0" windowWidth="10420" windowHeight="6740" tabRatio="570" firstSheet="1" activeTab="1"/>
  </bookViews>
  <sheets>
    <sheet name="Quarter (nominal value)" sheetId="4" r:id="rId1"/>
    <sheet name="Month (nominal value)" sheetId="5" r:id="rId2"/>
    <sheet name="Quarter (market value)" sheetId="3" r:id="rId3"/>
    <sheet name="Month (market value)" sheetId="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BQ4.1" localSheetId="3" hidden="1">#REF!</definedName>
    <definedName name="_BQ4.1" localSheetId="1" hidden="1">#REF!</definedName>
    <definedName name="_BQ4.1" localSheetId="2" hidden="1">#REF!</definedName>
    <definedName name="_BQ4.1" localSheetId="0" hidden="1">#REF!</definedName>
    <definedName name="_BQ4.1" hidden="1">#REF!</definedName>
    <definedName name="_QR001" localSheetId="3">[1]Control!$H$2</definedName>
    <definedName name="_QR001" localSheetId="1">[1]Control!$H$2</definedName>
    <definedName name="_QR001" localSheetId="2">[1]Control!$H$2</definedName>
    <definedName name="_QR001" localSheetId="0">[1]Control!$H$2</definedName>
    <definedName name="_QR001">[2]Control!$H$2</definedName>
    <definedName name="_QR002" localSheetId="3">[1]Control!$H$3</definedName>
    <definedName name="_QR002" localSheetId="1">[1]Control!$H$3</definedName>
    <definedName name="_QR002" localSheetId="2">[1]Control!$H$3</definedName>
    <definedName name="_QR002" localSheetId="0">[1]Control!$H$3</definedName>
    <definedName name="_QR002">[2]Control!$H$3</definedName>
    <definedName name="_QR003" localSheetId="3">[1]Control!$H$4</definedName>
    <definedName name="_QR003" localSheetId="1">[1]Control!$H$4</definedName>
    <definedName name="_QR003" localSheetId="2">[1]Control!$H$4</definedName>
    <definedName name="_QR003" localSheetId="0">[1]Control!$H$4</definedName>
    <definedName name="_QR003">[2]Control!$H$4</definedName>
    <definedName name="_QR004" localSheetId="3">[1]Control!$H$5</definedName>
    <definedName name="_QR004" localSheetId="1">[1]Control!$H$5</definedName>
    <definedName name="_QR004" localSheetId="2">[1]Control!$H$5</definedName>
    <definedName name="_QR004" localSheetId="0">[1]Control!$H$5</definedName>
    <definedName name="_QR004">[2]Control!$H$5</definedName>
    <definedName name="_QR011" localSheetId="3">[1]Control!$I$2</definedName>
    <definedName name="_QR011" localSheetId="1">[1]Control!$I$2</definedName>
    <definedName name="_QR011" localSheetId="2">[1]Control!$I$2</definedName>
    <definedName name="_QR011" localSheetId="0">[1]Control!$I$2</definedName>
    <definedName name="_QR011">[2]Control!$I$2</definedName>
    <definedName name="_QR012" localSheetId="3">[1]Control!$I$3</definedName>
    <definedName name="_QR012" localSheetId="1">[1]Control!$I$3</definedName>
    <definedName name="_QR012" localSheetId="2">[1]Control!$I$3</definedName>
    <definedName name="_QR012" localSheetId="0">[1]Control!$I$3</definedName>
    <definedName name="_QR012">[2]Control!$I$3</definedName>
    <definedName name="_QR013" localSheetId="3">[1]Control!$I$4</definedName>
    <definedName name="_QR013" localSheetId="1">[1]Control!$I$4</definedName>
    <definedName name="_QR013" localSheetId="2">[1]Control!$I$4</definedName>
    <definedName name="_QR013" localSheetId="0">[1]Control!$I$4</definedName>
    <definedName name="_QR013">[2]Control!$I$4</definedName>
    <definedName name="_QR014" localSheetId="3">[1]Control!$I$5</definedName>
    <definedName name="_QR014" localSheetId="1">[1]Control!$I$5</definedName>
    <definedName name="_QR014" localSheetId="2">[1]Control!$I$5</definedName>
    <definedName name="_QR014" localSheetId="0">[1]Control!$I$5</definedName>
    <definedName name="_QR014">[2]Control!$I$5</definedName>
    <definedName name="_QR021" localSheetId="3">[1]Control!$J$2</definedName>
    <definedName name="_QR021" localSheetId="1">[1]Control!$J$2</definedName>
    <definedName name="_QR021" localSheetId="2">[1]Control!$J$2</definedName>
    <definedName name="_QR021" localSheetId="0">[1]Control!$J$2</definedName>
    <definedName name="_QR021">[2]Control!$J$2</definedName>
    <definedName name="_QR022" localSheetId="3">[1]Control!$J$3</definedName>
    <definedName name="_QR022" localSheetId="1">[1]Control!$J$3</definedName>
    <definedName name="_QR022" localSheetId="2">[1]Control!$J$3</definedName>
    <definedName name="_QR022" localSheetId="0">[1]Control!$J$3</definedName>
    <definedName name="_QR022">[2]Control!$J$3</definedName>
    <definedName name="_QR023" localSheetId="3">[1]Control!$J$4</definedName>
    <definedName name="_QR023" localSheetId="1">[1]Control!$J$4</definedName>
    <definedName name="_QR023" localSheetId="2">[1]Control!$J$4</definedName>
    <definedName name="_QR023" localSheetId="0">[1]Control!$J$4</definedName>
    <definedName name="_QR023">[2]Control!$J$4</definedName>
    <definedName name="_QR024" localSheetId="3">[1]Control!$J$5</definedName>
    <definedName name="_QR024" localSheetId="1">[1]Control!$J$5</definedName>
    <definedName name="_QR024" localSheetId="2">[1]Control!$J$5</definedName>
    <definedName name="_QR024" localSheetId="0">[1]Control!$J$5</definedName>
    <definedName name="_QR024">[2]Control!$J$5</definedName>
    <definedName name="_QR031" localSheetId="3">[1]Control!$K$2</definedName>
    <definedName name="_QR031" localSheetId="1">[1]Control!$K$2</definedName>
    <definedName name="_QR031" localSheetId="2">[1]Control!$K$2</definedName>
    <definedName name="_QR031" localSheetId="0">[1]Control!$K$2</definedName>
    <definedName name="_QR031">[2]Control!$K$2</definedName>
    <definedName name="_QR032" localSheetId="3">[1]Control!$K$3</definedName>
    <definedName name="_QR032" localSheetId="1">[1]Control!$K$3</definedName>
    <definedName name="_QR032" localSheetId="2">[1]Control!$K$3</definedName>
    <definedName name="_QR032" localSheetId="0">[1]Control!$K$3</definedName>
    <definedName name="_QR032">[2]Control!$K$3</definedName>
    <definedName name="_QR033" localSheetId="3">[1]Control!$K$4</definedName>
    <definedName name="_QR033" localSheetId="1">[1]Control!$K$4</definedName>
    <definedName name="_QR033" localSheetId="2">[1]Control!$K$4</definedName>
    <definedName name="_QR033" localSheetId="0">[1]Control!$K$4</definedName>
    <definedName name="_QR033">[2]Control!$K$4</definedName>
    <definedName name="_QR034" localSheetId="3">[1]Control!$K$5</definedName>
    <definedName name="_QR034" localSheetId="1">[1]Control!$K$5</definedName>
    <definedName name="_QR034" localSheetId="2">[1]Control!$K$5</definedName>
    <definedName name="_QR034" localSheetId="0">[1]Control!$K$5</definedName>
    <definedName name="_QR034">[2]Control!$K$5</definedName>
    <definedName name="_QR1" localSheetId="3">[3]Control!$C$2</definedName>
    <definedName name="_QR1" localSheetId="1">[3]Control!$C$2</definedName>
    <definedName name="_QR1" localSheetId="2">[3]Control!$C$2</definedName>
    <definedName name="_QR1" localSheetId="0">[3]Control!$C$2</definedName>
    <definedName name="_QR1">[4]Control!$C$2</definedName>
    <definedName name="_QR2" localSheetId="3">[3]Control!$C$3</definedName>
    <definedName name="_QR2" localSheetId="1">[3]Control!$C$3</definedName>
    <definedName name="_QR2" localSheetId="2">[3]Control!$C$3</definedName>
    <definedName name="_QR2" localSheetId="0">[3]Control!$C$3</definedName>
    <definedName name="_QR2">[4]Control!$C$3</definedName>
    <definedName name="_QR3" localSheetId="3">[3]Control!$C$4</definedName>
    <definedName name="_QR3" localSheetId="1">[3]Control!$C$4</definedName>
    <definedName name="_QR3" localSheetId="2">[3]Control!$C$4</definedName>
    <definedName name="_QR3" localSheetId="0">[3]Control!$C$4</definedName>
    <definedName name="_QR3">[4]Control!$C$4</definedName>
    <definedName name="_QR4" localSheetId="3">[3]Control!$C$5</definedName>
    <definedName name="_QR4" localSheetId="1">[3]Control!$C$5</definedName>
    <definedName name="_QR4" localSheetId="2">[3]Control!$C$5</definedName>
    <definedName name="_QR4" localSheetId="0">[3]Control!$C$5</definedName>
    <definedName name="_QR4">[4]Control!$C$5</definedName>
    <definedName name="_QR971" localSheetId="3">[1]Control!$E$2</definedName>
    <definedName name="_QR971" localSheetId="1">[1]Control!$E$2</definedName>
    <definedName name="_QR971" localSheetId="2">[1]Control!$E$2</definedName>
    <definedName name="_QR971" localSheetId="0">[1]Control!$E$2</definedName>
    <definedName name="_QR971">[2]Control!$E$2</definedName>
    <definedName name="_QR972" localSheetId="3">[1]Control!$E$3</definedName>
    <definedName name="_QR972" localSheetId="1">[1]Control!$E$3</definedName>
    <definedName name="_QR972" localSheetId="2">[1]Control!$E$3</definedName>
    <definedName name="_QR972" localSheetId="0">[1]Control!$E$3</definedName>
    <definedName name="_QR972">[2]Control!$E$3</definedName>
    <definedName name="_QR981" localSheetId="3">[1]Control!$F$2</definedName>
    <definedName name="_QR981" localSheetId="1">[1]Control!$F$2</definedName>
    <definedName name="_QR981" localSheetId="2">[1]Control!$F$2</definedName>
    <definedName name="_QR981" localSheetId="0">[1]Control!$F$2</definedName>
    <definedName name="_QR981">[2]Control!$F$2</definedName>
    <definedName name="_QR982" localSheetId="3">[1]Control!$F$3</definedName>
    <definedName name="_QR982" localSheetId="1">[1]Control!$F$3</definedName>
    <definedName name="_QR982" localSheetId="2">[1]Control!$F$3</definedName>
    <definedName name="_QR982" localSheetId="0">[1]Control!$F$3</definedName>
    <definedName name="_QR982">[2]Control!$F$3</definedName>
    <definedName name="_QR983" localSheetId="3">[1]Control!$F$4</definedName>
    <definedName name="_QR983" localSheetId="1">[1]Control!$F$4</definedName>
    <definedName name="_QR983" localSheetId="2">[1]Control!$F$4</definedName>
    <definedName name="_QR983" localSheetId="0">[1]Control!$F$4</definedName>
    <definedName name="_QR983">[2]Control!$F$4</definedName>
    <definedName name="_QR984" localSheetId="3">[1]Control!$F$5</definedName>
    <definedName name="_QR984" localSheetId="1">[1]Control!$F$5</definedName>
    <definedName name="_QR984" localSheetId="2">[1]Control!$F$5</definedName>
    <definedName name="_QR984" localSheetId="0">[1]Control!$F$5</definedName>
    <definedName name="_QR984">[2]Control!$F$5</definedName>
    <definedName name="_QR991" localSheetId="3">[1]Control!$G$2</definedName>
    <definedName name="_QR991" localSheetId="1">[1]Control!$G$2</definedName>
    <definedName name="_QR991" localSheetId="2">[1]Control!$G$2</definedName>
    <definedName name="_QR991" localSheetId="0">[1]Control!$G$2</definedName>
    <definedName name="_QR991">[2]Control!$G$2</definedName>
    <definedName name="_QR992" localSheetId="3">[1]Control!$G$3</definedName>
    <definedName name="_QR992" localSheetId="1">[1]Control!$G$3</definedName>
    <definedName name="_QR992" localSheetId="2">[1]Control!$G$3</definedName>
    <definedName name="_QR992" localSheetId="0">[1]Control!$G$3</definedName>
    <definedName name="_QR992">[2]Control!$G$3</definedName>
    <definedName name="_QR993" localSheetId="3">[1]Control!$G$4</definedName>
    <definedName name="_QR993" localSheetId="1">[1]Control!$G$4</definedName>
    <definedName name="_QR993" localSheetId="2">[1]Control!$G$4</definedName>
    <definedName name="_QR993" localSheetId="0">[1]Control!$G$4</definedName>
    <definedName name="_QR993">[2]Control!$G$4</definedName>
    <definedName name="_qr994" localSheetId="3">[1]Control!$G$5</definedName>
    <definedName name="_qr994" localSheetId="1">[1]Control!$G$5</definedName>
    <definedName name="_qr994" localSheetId="2">[1]Control!$G$5</definedName>
    <definedName name="_qr994" localSheetId="0">[1]Control!$G$5</definedName>
    <definedName name="_qr994">[2]Control!$G$5</definedName>
    <definedName name="a" localSheetId="3">[5]Control!$H$4</definedName>
    <definedName name="a" localSheetId="1">[5]Control!$H$4</definedName>
    <definedName name="a" localSheetId="2">[5]Control!$H$4</definedName>
    <definedName name="a" localSheetId="0">[5]Control!$H$4</definedName>
    <definedName name="a">[6]Control!$H$4</definedName>
    <definedName name="b" localSheetId="3">[5]Control!$H$5</definedName>
    <definedName name="b" localSheetId="1">[5]Control!$H$5</definedName>
    <definedName name="b" localSheetId="2">[5]Control!$H$5</definedName>
    <definedName name="b" localSheetId="0">[5]Control!$H$5</definedName>
    <definedName name="b">[6]Control!$H$5</definedName>
    <definedName name="d" localSheetId="3">[5]Control!$I$3</definedName>
    <definedName name="d" localSheetId="1">[5]Control!$I$3</definedName>
    <definedName name="d" localSheetId="2">[5]Control!$I$3</definedName>
    <definedName name="d" localSheetId="0">[5]Control!$I$3</definedName>
    <definedName name="d">[6]Control!$I$3</definedName>
    <definedName name="e" localSheetId="3">[5]Control!$I$5</definedName>
    <definedName name="e" localSheetId="1">[5]Control!$I$5</definedName>
    <definedName name="e" localSheetId="2">[5]Control!$I$5</definedName>
    <definedName name="e" localSheetId="0">[5]Control!$I$5</definedName>
    <definedName name="e">[6]Control!$I$5</definedName>
    <definedName name="f" localSheetId="3">[5]Control!$J$2</definedName>
    <definedName name="f" localSheetId="1">[5]Control!$J$2</definedName>
    <definedName name="f" localSheetId="2">[5]Control!$J$2</definedName>
    <definedName name="f" localSheetId="0">[5]Control!$J$2</definedName>
    <definedName name="f">[6]Control!$J$2</definedName>
    <definedName name="g" localSheetId="3">[5]Control!$J$3</definedName>
    <definedName name="g" localSheetId="1">[5]Control!$J$3</definedName>
    <definedName name="g" localSheetId="2">[5]Control!$J$3</definedName>
    <definedName name="g" localSheetId="0">[5]Control!$J$3</definedName>
    <definedName name="g">[6]Control!$J$3</definedName>
    <definedName name="h" localSheetId="3">[5]Control!$J$4</definedName>
    <definedName name="h" localSheetId="1">[5]Control!$J$4</definedName>
    <definedName name="h" localSheetId="2">[5]Control!$J$4</definedName>
    <definedName name="h" localSheetId="0">[5]Control!$J$4</definedName>
    <definedName name="h">[6]Control!$J$4</definedName>
    <definedName name="j" localSheetId="3">[5]Control!$J$5</definedName>
    <definedName name="j" localSheetId="1">[5]Control!$J$5</definedName>
    <definedName name="j" localSheetId="2">[5]Control!$J$5</definedName>
    <definedName name="j" localSheetId="0">[5]Control!$J$5</definedName>
    <definedName name="j">[6]Control!$J$5</definedName>
    <definedName name="Lang" localSheetId="3">[1]Control!$B$8</definedName>
    <definedName name="Lang" localSheetId="1">[1]Control!$B$8</definedName>
    <definedName name="Lang" localSheetId="2">[1]Control!$B$8</definedName>
    <definedName name="Lang" localSheetId="0">[1]Control!$B$8</definedName>
    <definedName name="Lang">[2]Control!$B$8</definedName>
    <definedName name="RSQR1">'[7]Reserve pres.'!$E$47</definedName>
    <definedName name="RSQR2">'[7]Reserve pres.'!$E$48</definedName>
    <definedName name="а" localSheetId="3">[8]Control!$E$3</definedName>
    <definedName name="а" localSheetId="1">[8]Control!$E$3</definedName>
    <definedName name="а" localSheetId="2">[8]Control!$E$3</definedName>
    <definedName name="а" localSheetId="0">[8]Control!$E$3</definedName>
    <definedName name="а">[9]Control!$E$3</definedName>
    <definedName name="_xlnm.Database" localSheetId="3">#REF!</definedName>
    <definedName name="_xlnm.Database" localSheetId="1">#REF!</definedName>
    <definedName name="_xlnm.Database" localSheetId="2">#REF!</definedName>
    <definedName name="_xlnm.Database" localSheetId="0">#REF!</definedName>
    <definedName name="_xlnm.Database">#REF!</definedName>
    <definedName name="в" localSheetId="3">[8]Control!$E$2</definedName>
    <definedName name="в" localSheetId="1">[8]Control!$E$2</definedName>
    <definedName name="в" localSheetId="2">[8]Control!$E$2</definedName>
    <definedName name="в" localSheetId="0">[8]Control!$E$2</definedName>
    <definedName name="в">[9]Control!$E$2</definedName>
    <definedName name="д" localSheetId="3">[8]Control!$F$4</definedName>
    <definedName name="д" localSheetId="1">[8]Control!$F$4</definedName>
    <definedName name="д" localSheetId="2">[8]Control!$F$4</definedName>
    <definedName name="д" localSheetId="0">[8]Control!$F$4</definedName>
    <definedName name="д">[9]Control!$F$4</definedName>
    <definedName name="и" localSheetId="3">[8]Control!$G$5</definedName>
    <definedName name="и" localSheetId="1">[8]Control!$G$5</definedName>
    <definedName name="и" localSheetId="2">[8]Control!$G$5</definedName>
    <definedName name="и" localSheetId="0">[8]Control!$G$5</definedName>
    <definedName name="и">[9]Control!$G$5</definedName>
    <definedName name="л" localSheetId="3">[8]Control!$F$3</definedName>
    <definedName name="л" localSheetId="1">[8]Control!$F$3</definedName>
    <definedName name="л" localSheetId="2">[8]Control!$F$3</definedName>
    <definedName name="л" localSheetId="0">[8]Control!$F$3</definedName>
    <definedName name="л">[9]Control!$F$3</definedName>
    <definedName name="м" localSheetId="3">[8]Control!$G$4</definedName>
    <definedName name="м" localSheetId="1">[8]Control!$G$4</definedName>
    <definedName name="м" localSheetId="2">[8]Control!$G$4</definedName>
    <definedName name="м" localSheetId="0">[8]Control!$G$4</definedName>
    <definedName name="м">[9]Control!$G$4</definedName>
    <definedName name="о" localSheetId="3">[8]Control!$F$2</definedName>
    <definedName name="о" localSheetId="1">[8]Control!$F$2</definedName>
    <definedName name="о" localSheetId="2">[8]Control!$F$2</definedName>
    <definedName name="о" localSheetId="0">[8]Control!$F$2</definedName>
    <definedName name="о">[9]Control!$F$2</definedName>
    <definedName name="_xlnm.Print_Area" localSheetId="3">'Month (market value)'!$A$2:$K$140</definedName>
    <definedName name="_xlnm.Print_Area" localSheetId="1">'Month (nominal value)'!$A$2:$K$140</definedName>
    <definedName name="_xlnm.Print_Area" localSheetId="2">'Quarter (market value)'!$A$2:$E$141</definedName>
    <definedName name="_xlnm.Print_Area" localSheetId="0">'Quarter (nominal value)'!$A$2:$E$140</definedName>
    <definedName name="с" localSheetId="3">[8]Control!$G$3</definedName>
    <definedName name="с" localSheetId="1">[8]Control!$G$3</definedName>
    <definedName name="с" localSheetId="2">[8]Control!$G$3</definedName>
    <definedName name="с" localSheetId="0">[8]Control!$G$3</definedName>
    <definedName name="с">[9]Control!$G$3</definedName>
    <definedName name="ч" localSheetId="3">[8]Control!$G$2</definedName>
    <definedName name="ч" localSheetId="1">[8]Control!$G$2</definedName>
    <definedName name="ч" localSheetId="2">[8]Control!$G$2</definedName>
    <definedName name="ч" localSheetId="0">[8]Control!$G$2</definedName>
    <definedName name="ч">[9]Control!$G$2</definedName>
    <definedName name="я" localSheetId="3">[8]Control!$F$5</definedName>
    <definedName name="я" localSheetId="1">[8]Control!$F$5</definedName>
    <definedName name="я" localSheetId="2">[8]Control!$F$5</definedName>
    <definedName name="я" localSheetId="0">[8]Control!$F$5</definedName>
    <definedName name="я">[9]Control!$F$5</definedName>
  </definedNames>
  <calcPr calcId="162913"/>
</workbook>
</file>

<file path=xl/calcChain.xml><?xml version="1.0" encoding="utf-8"?>
<calcChain xmlns="http://schemas.openxmlformats.org/spreadsheetml/2006/main">
  <c r="EV2" i="5" l="1"/>
  <c r="EU8" i="2"/>
  <c r="EU9" i="2"/>
  <c r="EU10" i="2"/>
  <c r="EU11" i="2"/>
  <c r="EU12" i="2"/>
  <c r="EU13" i="2"/>
  <c r="EU14" i="2"/>
  <c r="EU15" i="2"/>
  <c r="EU16" i="2"/>
  <c r="EU17" i="2"/>
  <c r="EU18" i="2"/>
  <c r="EU19" i="2"/>
  <c r="EU20" i="2"/>
  <c r="EU21" i="2"/>
  <c r="EU22" i="2"/>
  <c r="EU23" i="2"/>
  <c r="EU24" i="2"/>
  <c r="EU25" i="2"/>
  <c r="EU26" i="2"/>
  <c r="EU27" i="2"/>
  <c r="EU28" i="2"/>
  <c r="EU29" i="2"/>
  <c r="EU30" i="2"/>
  <c r="EU31" i="2"/>
  <c r="EU32" i="2"/>
  <c r="EU33" i="2"/>
  <c r="EU34" i="2"/>
  <c r="EU35" i="2"/>
  <c r="EU36" i="2"/>
  <c r="EU37" i="2"/>
  <c r="EU38" i="2"/>
  <c r="EU39" i="2"/>
  <c r="EU40" i="2"/>
  <c r="EU41" i="2"/>
  <c r="EU42" i="2"/>
  <c r="EU43" i="2"/>
  <c r="EU44" i="2"/>
  <c r="EU45" i="2"/>
  <c r="EU46" i="2"/>
  <c r="EU47" i="2"/>
  <c r="EU48" i="2"/>
  <c r="EU49" i="2"/>
  <c r="EU50" i="2"/>
  <c r="EU51" i="2"/>
  <c r="EU52" i="2"/>
  <c r="EU53" i="2"/>
  <c r="EU54" i="2"/>
  <c r="EU55" i="2"/>
  <c r="EU56" i="2"/>
  <c r="EU57" i="2"/>
  <c r="EU58" i="2"/>
  <c r="EU59" i="2"/>
  <c r="EU60" i="2"/>
  <c r="EU61" i="2"/>
  <c r="EU62" i="2"/>
  <c r="EU63" i="2"/>
  <c r="EU64" i="2"/>
  <c r="EU65" i="2"/>
  <c r="EU66" i="2"/>
  <c r="EU67" i="2"/>
  <c r="EU68" i="2"/>
  <c r="EU69" i="2"/>
  <c r="EU70" i="2"/>
  <c r="EU71" i="2"/>
  <c r="EU72" i="2"/>
  <c r="EU73" i="2"/>
  <c r="EU74" i="2"/>
  <c r="EU75" i="2"/>
  <c r="EU76" i="2"/>
  <c r="EU77" i="2"/>
  <c r="EU78" i="2"/>
  <c r="EU79" i="2"/>
  <c r="EU80" i="2"/>
  <c r="EU81" i="2"/>
  <c r="EU82" i="2"/>
  <c r="EU83" i="2"/>
  <c r="EU84" i="2"/>
  <c r="EU85" i="2"/>
  <c r="EU86" i="2"/>
  <c r="EU87" i="2"/>
  <c r="EU88" i="2"/>
  <c r="EU89" i="2"/>
  <c r="EU90" i="2"/>
  <c r="EU91" i="2"/>
  <c r="EU92" i="2"/>
  <c r="EU93" i="2"/>
  <c r="EU94" i="2"/>
  <c r="EU95" i="2"/>
  <c r="EU96" i="2"/>
  <c r="EU97" i="2"/>
  <c r="EU98" i="2"/>
  <c r="EU99" i="2"/>
  <c r="EU100" i="2"/>
  <c r="EU101" i="2"/>
  <c r="EU102" i="2"/>
  <c r="EU103" i="2"/>
  <c r="EU104" i="2"/>
  <c r="EU105" i="2"/>
  <c r="EU106" i="2"/>
  <c r="EU107" i="2"/>
  <c r="EU108" i="2"/>
  <c r="EU109" i="2"/>
  <c r="EU110" i="2"/>
  <c r="EU111" i="2"/>
  <c r="EU112" i="2"/>
  <c r="EU113" i="2"/>
  <c r="EU114" i="2"/>
  <c r="EU115" i="2"/>
  <c r="EU116" i="2"/>
  <c r="EU117" i="2"/>
  <c r="EU118" i="2"/>
  <c r="EU119" i="2"/>
  <c r="EU120" i="2"/>
  <c r="EU121" i="2"/>
  <c r="EU122" i="2"/>
  <c r="EU123" i="2"/>
  <c r="EU124" i="2"/>
  <c r="EU125" i="2"/>
  <c r="EU126" i="2"/>
  <c r="EU127" i="2"/>
  <c r="EU128" i="2"/>
  <c r="EU129" i="2"/>
  <c r="EU130" i="2"/>
  <c r="EU7" i="2"/>
  <c r="EJ8" i="5"/>
  <c r="EJ9" i="5"/>
  <c r="EJ10" i="5"/>
  <c r="EJ11" i="5"/>
  <c r="EJ12" i="5"/>
  <c r="EJ13" i="5"/>
  <c r="EJ14" i="5"/>
  <c r="EJ15" i="5"/>
  <c r="EJ16" i="5"/>
  <c r="EJ17" i="5"/>
  <c r="EJ18" i="5"/>
  <c r="EJ19" i="5"/>
  <c r="EJ20" i="5"/>
  <c r="EJ21" i="5"/>
  <c r="EJ22" i="5"/>
  <c r="EJ23" i="5"/>
  <c r="EJ24" i="5"/>
  <c r="EJ25" i="5"/>
  <c r="EJ26" i="5"/>
  <c r="EJ27" i="5"/>
  <c r="EJ28" i="5"/>
  <c r="EJ29" i="5"/>
  <c r="EJ30" i="5"/>
  <c r="EJ31" i="5"/>
  <c r="EJ32" i="5"/>
  <c r="EJ33" i="5"/>
  <c r="EJ34" i="5"/>
  <c r="EJ35" i="5"/>
  <c r="EJ36" i="5"/>
  <c r="EJ37" i="5"/>
  <c r="EJ38" i="5"/>
  <c r="EJ39" i="5"/>
  <c r="EJ40" i="5"/>
  <c r="EJ41" i="5"/>
  <c r="EJ42" i="5"/>
  <c r="EJ43" i="5"/>
  <c r="EJ44" i="5"/>
  <c r="EJ45" i="5"/>
  <c r="EJ46" i="5"/>
  <c r="EJ47" i="5"/>
  <c r="EJ48" i="5"/>
  <c r="EJ49" i="5"/>
  <c r="EJ50" i="5"/>
  <c r="EJ51" i="5"/>
  <c r="EJ52" i="5"/>
  <c r="EJ53" i="5"/>
  <c r="EJ54" i="5"/>
  <c r="EJ55" i="5"/>
  <c r="EJ56" i="5"/>
  <c r="EJ57" i="5"/>
  <c r="EJ58" i="5"/>
  <c r="EJ59" i="5"/>
  <c r="EJ60" i="5"/>
  <c r="EJ61" i="5"/>
  <c r="EJ62" i="5"/>
  <c r="EJ63" i="5"/>
  <c r="EJ64" i="5"/>
  <c r="EJ65" i="5"/>
  <c r="EJ66" i="5"/>
  <c r="EJ67" i="5"/>
  <c r="EJ68" i="5"/>
  <c r="EJ69" i="5"/>
  <c r="EJ70" i="5"/>
  <c r="EJ71" i="5"/>
  <c r="EJ72" i="5"/>
  <c r="EJ73" i="5"/>
  <c r="EJ74" i="5"/>
  <c r="EJ75" i="5"/>
  <c r="EJ76" i="5"/>
  <c r="EJ77" i="5"/>
  <c r="EJ78" i="5"/>
  <c r="EJ79" i="5"/>
  <c r="EJ80" i="5"/>
  <c r="EJ81" i="5"/>
  <c r="EJ82" i="5"/>
  <c r="EJ83" i="5"/>
  <c r="EJ84" i="5"/>
  <c r="EJ85" i="5"/>
  <c r="EJ86" i="5"/>
  <c r="EJ87" i="5"/>
  <c r="EJ88" i="5"/>
  <c r="EJ89" i="5"/>
  <c r="EJ90" i="5"/>
  <c r="EJ91" i="5"/>
  <c r="EJ92" i="5"/>
  <c r="EJ93" i="5"/>
  <c r="EJ94" i="5"/>
  <c r="EJ95" i="5"/>
  <c r="EJ96" i="5"/>
  <c r="EJ97" i="5"/>
  <c r="EJ98" i="5"/>
  <c r="EJ99" i="5"/>
  <c r="EJ100" i="5"/>
  <c r="EJ101" i="5"/>
  <c r="EJ102" i="5"/>
  <c r="EJ103" i="5"/>
  <c r="EJ104" i="5"/>
  <c r="EJ105" i="5"/>
  <c r="EJ106" i="5"/>
  <c r="EJ107" i="5"/>
  <c r="EJ108" i="5"/>
  <c r="EJ109" i="5"/>
  <c r="EJ110" i="5"/>
  <c r="EJ111" i="5"/>
  <c r="EJ112" i="5"/>
  <c r="EJ113" i="5"/>
  <c r="EJ114" i="5"/>
  <c r="EJ115" i="5"/>
  <c r="EJ116" i="5"/>
  <c r="EJ117" i="5"/>
  <c r="EJ118" i="5"/>
  <c r="EJ119" i="5"/>
  <c r="EJ120" i="5"/>
  <c r="EJ121" i="5"/>
  <c r="EJ122" i="5"/>
  <c r="EJ123" i="5"/>
  <c r="EJ124" i="5"/>
  <c r="EJ125" i="5"/>
  <c r="EJ126" i="5"/>
  <c r="EJ127" i="5"/>
  <c r="EJ128" i="5"/>
  <c r="EJ129" i="5"/>
  <c r="EJ130" i="5"/>
  <c r="EJ7" i="5"/>
  <c r="EV8" i="5"/>
  <c r="EV9" i="5"/>
  <c r="EV10" i="5"/>
  <c r="EV11" i="5"/>
  <c r="EV12" i="5"/>
  <c r="EV13" i="5"/>
  <c r="EV14" i="5"/>
  <c r="EV15" i="5"/>
  <c r="EV16" i="5"/>
  <c r="EV17" i="5"/>
  <c r="EV18" i="5"/>
  <c r="EV19" i="5"/>
  <c r="EV20" i="5"/>
  <c r="EV21" i="5"/>
  <c r="EV22" i="5"/>
  <c r="EV23" i="5"/>
  <c r="EV24" i="5"/>
  <c r="EV25" i="5"/>
  <c r="EV26" i="5"/>
  <c r="EV27" i="5"/>
  <c r="EV28" i="5"/>
  <c r="EV29" i="5"/>
  <c r="EV30" i="5"/>
  <c r="EV31" i="5"/>
  <c r="EV32" i="5"/>
  <c r="EV33" i="5"/>
  <c r="EV34" i="5"/>
  <c r="EV35" i="5"/>
  <c r="EV36" i="5"/>
  <c r="EV37" i="5"/>
  <c r="EV38" i="5"/>
  <c r="EV39" i="5"/>
  <c r="EV40" i="5"/>
  <c r="EV41" i="5"/>
  <c r="EV42" i="5"/>
  <c r="EV43" i="5"/>
  <c r="EV44" i="5"/>
  <c r="EV45" i="5"/>
  <c r="EV46" i="5"/>
  <c r="EV47" i="5"/>
  <c r="EV48" i="5"/>
  <c r="EV49" i="5"/>
  <c r="EV50" i="5"/>
  <c r="EV51" i="5"/>
  <c r="EV52" i="5"/>
  <c r="EV53" i="5"/>
  <c r="EV54" i="5"/>
  <c r="EV55" i="5"/>
  <c r="EV56" i="5"/>
  <c r="EV57" i="5"/>
  <c r="EV58" i="5"/>
  <c r="EV59" i="5"/>
  <c r="EV60" i="5"/>
  <c r="EV61" i="5"/>
  <c r="EV62" i="5"/>
  <c r="EV63" i="5"/>
  <c r="EV64" i="5"/>
  <c r="EV65" i="5"/>
  <c r="EV66" i="5"/>
  <c r="EV67" i="5"/>
  <c r="EV68" i="5"/>
  <c r="EV69" i="5"/>
  <c r="EV70" i="5"/>
  <c r="EV71" i="5"/>
  <c r="EV72" i="5"/>
  <c r="EV73" i="5"/>
  <c r="EV74" i="5"/>
  <c r="EV75" i="5"/>
  <c r="EV76" i="5"/>
  <c r="EV77" i="5"/>
  <c r="EV78" i="5"/>
  <c r="EV79" i="5"/>
  <c r="EV80" i="5"/>
  <c r="EV81" i="5"/>
  <c r="EV82" i="5"/>
  <c r="EV83" i="5"/>
  <c r="EV84" i="5"/>
  <c r="EV85" i="5"/>
  <c r="EV86" i="5"/>
  <c r="EV87" i="5"/>
  <c r="EV88" i="5"/>
  <c r="EV89" i="5"/>
  <c r="EV90" i="5"/>
  <c r="EV91" i="5"/>
  <c r="EV92" i="5"/>
  <c r="EV93" i="5"/>
  <c r="EV94" i="5"/>
  <c r="EV95" i="5"/>
  <c r="EV96" i="5"/>
  <c r="EV97" i="5"/>
  <c r="EV98" i="5"/>
  <c r="EV99" i="5"/>
  <c r="EV100" i="5"/>
  <c r="EV101" i="5"/>
  <c r="EV102" i="5"/>
  <c r="EV103" i="5"/>
  <c r="EV104" i="5"/>
  <c r="EV105" i="5"/>
  <c r="EV106" i="5"/>
  <c r="EV107" i="5"/>
  <c r="EV108" i="5"/>
  <c r="EV109" i="5"/>
  <c r="EV110" i="5"/>
  <c r="EV111" i="5"/>
  <c r="EV112" i="5"/>
  <c r="EV113" i="5"/>
  <c r="EV114" i="5"/>
  <c r="EV115" i="5"/>
  <c r="EV116" i="5"/>
  <c r="EV117" i="5"/>
  <c r="EV118" i="5"/>
  <c r="EV119" i="5"/>
  <c r="EV120" i="5"/>
  <c r="EV121" i="5"/>
  <c r="EV122" i="5"/>
  <c r="EV123" i="5"/>
  <c r="EV124" i="5"/>
  <c r="EV125" i="5"/>
  <c r="EV126" i="5"/>
  <c r="EV127" i="5"/>
  <c r="EV128" i="5"/>
  <c r="EV129" i="5"/>
  <c r="EV130" i="5"/>
  <c r="EV7" i="5"/>
  <c r="ET2" i="5" l="1"/>
  <c r="ER2" i="5"/>
  <c r="EP2" i="5"/>
  <c r="EN2" i="5"/>
  <c r="EL2" i="5"/>
  <c r="ET8" i="5"/>
  <c r="ET9" i="5"/>
  <c r="ET10" i="5"/>
  <c r="ET11" i="5"/>
  <c r="ET12" i="5"/>
  <c r="ET13" i="5"/>
  <c r="ET14" i="5"/>
  <c r="ET15" i="5"/>
  <c r="ET16" i="5"/>
  <c r="ET17" i="5"/>
  <c r="ET18" i="5"/>
  <c r="ET19" i="5"/>
  <c r="ET20" i="5"/>
  <c r="ET21" i="5"/>
  <c r="ET22" i="5"/>
  <c r="ET23" i="5"/>
  <c r="ET24" i="5"/>
  <c r="ET25" i="5"/>
  <c r="ET26" i="5"/>
  <c r="ET27" i="5"/>
  <c r="ET28" i="5"/>
  <c r="ET29" i="5"/>
  <c r="ET30" i="5"/>
  <c r="ET31" i="5"/>
  <c r="ET32" i="5"/>
  <c r="ET33" i="5"/>
  <c r="ET34" i="5"/>
  <c r="ET35" i="5"/>
  <c r="ET36" i="5"/>
  <c r="ET37" i="5"/>
  <c r="ET38" i="5"/>
  <c r="ET39" i="5"/>
  <c r="ET40" i="5"/>
  <c r="ET41" i="5"/>
  <c r="ET42" i="5"/>
  <c r="ET43" i="5"/>
  <c r="ET44" i="5"/>
  <c r="ET45" i="5"/>
  <c r="ET46" i="5"/>
  <c r="ET47" i="5"/>
  <c r="ET48" i="5"/>
  <c r="ET49" i="5"/>
  <c r="ET50" i="5"/>
  <c r="ET51" i="5"/>
  <c r="ET52" i="5"/>
  <c r="ET53" i="5"/>
  <c r="ET54" i="5"/>
  <c r="ET55" i="5"/>
  <c r="ET56" i="5"/>
  <c r="ET57" i="5"/>
  <c r="ET58" i="5"/>
  <c r="ET59" i="5"/>
  <c r="ET60" i="5"/>
  <c r="ET61" i="5"/>
  <c r="ET62" i="5"/>
  <c r="ET63" i="5"/>
  <c r="ET64" i="5"/>
  <c r="ET65" i="5"/>
  <c r="ET66" i="5"/>
  <c r="ET67" i="5"/>
  <c r="ET68" i="5"/>
  <c r="ET69" i="5"/>
  <c r="ET70" i="5"/>
  <c r="ET71" i="5"/>
  <c r="ET72" i="5"/>
  <c r="ET73" i="5"/>
  <c r="ET74" i="5"/>
  <c r="ET75" i="5"/>
  <c r="ET76" i="5"/>
  <c r="ET77" i="5"/>
  <c r="ET78" i="5"/>
  <c r="ET79" i="5"/>
  <c r="ET80" i="5"/>
  <c r="ET81" i="5"/>
  <c r="ET82" i="5"/>
  <c r="ET83" i="5"/>
  <c r="ET84" i="5"/>
  <c r="ET85" i="5"/>
  <c r="ET86" i="5"/>
  <c r="ET87" i="5"/>
  <c r="ET88" i="5"/>
  <c r="ET89" i="5"/>
  <c r="ET90" i="5"/>
  <c r="ET91" i="5"/>
  <c r="ET92" i="5"/>
  <c r="ET93" i="5"/>
  <c r="ET94" i="5"/>
  <c r="ET95" i="5"/>
  <c r="ET96" i="5"/>
  <c r="ET97" i="5"/>
  <c r="ET98" i="5"/>
  <c r="ET99" i="5"/>
  <c r="ET100" i="5"/>
  <c r="ET101" i="5"/>
  <c r="ET102" i="5"/>
  <c r="ET103" i="5"/>
  <c r="ET104" i="5"/>
  <c r="ET105" i="5"/>
  <c r="ET106" i="5"/>
  <c r="ET107" i="5"/>
  <c r="ET108" i="5"/>
  <c r="ET109" i="5"/>
  <c r="ET110" i="5"/>
  <c r="ET111" i="5"/>
  <c r="ET112" i="5"/>
  <c r="ET113" i="5"/>
  <c r="ET114" i="5"/>
  <c r="ET115" i="5"/>
  <c r="ET116" i="5"/>
  <c r="ET117" i="5"/>
  <c r="ET118" i="5"/>
  <c r="ET119" i="5"/>
  <c r="ET120" i="5"/>
  <c r="ET121" i="5"/>
  <c r="ET122" i="5"/>
  <c r="ET123" i="5"/>
  <c r="ET124" i="5"/>
  <c r="ET125" i="5"/>
  <c r="ET126" i="5"/>
  <c r="ET127" i="5"/>
  <c r="ET128" i="5"/>
  <c r="ET129" i="5"/>
  <c r="ET130" i="5"/>
  <c r="ET7" i="5"/>
  <c r="ET3" i="5"/>
  <c r="ER8" i="5"/>
  <c r="ER9" i="5"/>
  <c r="ER10" i="5"/>
  <c r="ER11" i="5"/>
  <c r="ER12" i="5"/>
  <c r="ER13" i="5"/>
  <c r="ER14" i="5"/>
  <c r="ER15" i="5"/>
  <c r="ER16" i="5"/>
  <c r="ER17" i="5"/>
  <c r="ER18" i="5"/>
  <c r="ER19" i="5"/>
  <c r="ER20" i="5"/>
  <c r="ER21" i="5"/>
  <c r="ER22" i="5"/>
  <c r="ER23" i="5"/>
  <c r="ER24" i="5"/>
  <c r="ER25" i="5"/>
  <c r="ER26" i="5"/>
  <c r="ER27" i="5"/>
  <c r="ER28" i="5"/>
  <c r="ER29" i="5"/>
  <c r="ER30" i="5"/>
  <c r="ER31" i="5"/>
  <c r="ER32" i="5"/>
  <c r="ER33" i="5"/>
  <c r="ER34" i="5"/>
  <c r="ER35" i="5"/>
  <c r="ER36" i="5"/>
  <c r="ER37" i="5"/>
  <c r="ER38" i="5"/>
  <c r="ER39" i="5"/>
  <c r="ER40" i="5"/>
  <c r="ER41" i="5"/>
  <c r="ER42" i="5"/>
  <c r="ER43" i="5"/>
  <c r="ER44" i="5"/>
  <c r="ER45" i="5"/>
  <c r="ER46" i="5"/>
  <c r="ER47" i="5"/>
  <c r="ER48" i="5"/>
  <c r="ER49" i="5"/>
  <c r="ER50" i="5"/>
  <c r="ER51" i="5"/>
  <c r="ER52" i="5"/>
  <c r="ER53" i="5"/>
  <c r="ER54" i="5"/>
  <c r="ER55" i="5"/>
  <c r="ER56" i="5"/>
  <c r="ER57" i="5"/>
  <c r="ER58" i="5"/>
  <c r="ER59" i="5"/>
  <c r="ER60" i="5"/>
  <c r="ER61" i="5"/>
  <c r="ER62" i="5"/>
  <c r="ER63" i="5"/>
  <c r="ER64" i="5"/>
  <c r="ER65" i="5"/>
  <c r="ER66" i="5"/>
  <c r="ER67" i="5"/>
  <c r="ER68" i="5"/>
  <c r="ER69" i="5"/>
  <c r="ER70" i="5"/>
  <c r="ER71" i="5"/>
  <c r="ER72" i="5"/>
  <c r="ER73" i="5"/>
  <c r="ER74" i="5"/>
  <c r="ER75" i="5"/>
  <c r="ER76" i="5"/>
  <c r="ER77" i="5"/>
  <c r="ER78" i="5"/>
  <c r="ER79" i="5"/>
  <c r="ER80" i="5"/>
  <c r="ER81" i="5"/>
  <c r="ER82" i="5"/>
  <c r="ER83" i="5"/>
  <c r="ER84" i="5"/>
  <c r="ER85" i="5"/>
  <c r="ER86" i="5"/>
  <c r="ER87" i="5"/>
  <c r="ER88" i="5"/>
  <c r="ER89" i="5"/>
  <c r="ER90" i="5"/>
  <c r="ER91" i="5"/>
  <c r="ER92" i="5"/>
  <c r="ER93" i="5"/>
  <c r="ER94" i="5"/>
  <c r="ER95" i="5"/>
  <c r="ER96" i="5"/>
  <c r="ER97" i="5"/>
  <c r="ER98" i="5"/>
  <c r="ER99" i="5"/>
  <c r="ER100" i="5"/>
  <c r="ER101" i="5"/>
  <c r="ER102" i="5"/>
  <c r="ER103" i="5"/>
  <c r="ER104" i="5"/>
  <c r="ER105" i="5"/>
  <c r="ER106" i="5"/>
  <c r="ER107" i="5"/>
  <c r="ER108" i="5"/>
  <c r="ER109" i="5"/>
  <c r="ER110" i="5"/>
  <c r="ER111" i="5"/>
  <c r="ER112" i="5"/>
  <c r="ER113" i="5"/>
  <c r="ER114" i="5"/>
  <c r="ER115" i="5"/>
  <c r="ER116" i="5"/>
  <c r="ER117" i="5"/>
  <c r="ER118" i="5"/>
  <c r="ER119" i="5"/>
  <c r="ER120" i="5"/>
  <c r="ER121" i="5"/>
  <c r="ER122" i="5"/>
  <c r="ER123" i="5"/>
  <c r="ER124" i="5"/>
  <c r="ER125" i="5"/>
  <c r="ER126" i="5"/>
  <c r="ER127" i="5"/>
  <c r="ER128" i="5"/>
  <c r="ER129" i="5"/>
  <c r="ER130" i="5"/>
  <c r="ER7" i="5"/>
  <c r="ER3" i="5"/>
  <c r="EP8" i="5"/>
  <c r="EP9" i="5"/>
  <c r="EP10" i="5"/>
  <c r="EP11" i="5"/>
  <c r="EP12" i="5"/>
  <c r="EP13" i="5"/>
  <c r="EP14" i="5"/>
  <c r="EP15" i="5"/>
  <c r="EP16" i="5"/>
  <c r="EP17" i="5"/>
  <c r="EP18" i="5"/>
  <c r="EP19" i="5"/>
  <c r="EP20" i="5"/>
  <c r="EP21" i="5"/>
  <c r="EP22" i="5"/>
  <c r="EP23" i="5"/>
  <c r="EP24" i="5"/>
  <c r="EP25" i="5"/>
  <c r="EP26" i="5"/>
  <c r="EP27" i="5"/>
  <c r="EP28" i="5"/>
  <c r="EP29" i="5"/>
  <c r="EP30" i="5"/>
  <c r="EP31" i="5"/>
  <c r="EP32" i="5"/>
  <c r="EP33" i="5"/>
  <c r="EP34" i="5"/>
  <c r="EP35" i="5"/>
  <c r="EP36" i="5"/>
  <c r="EP37" i="5"/>
  <c r="EP38" i="5"/>
  <c r="EP39" i="5"/>
  <c r="EP40" i="5"/>
  <c r="EP41" i="5"/>
  <c r="EP42" i="5"/>
  <c r="EP43" i="5"/>
  <c r="EP44" i="5"/>
  <c r="EP45" i="5"/>
  <c r="EP46" i="5"/>
  <c r="EP47" i="5"/>
  <c r="EP48" i="5"/>
  <c r="EP49" i="5"/>
  <c r="EP50" i="5"/>
  <c r="EP51" i="5"/>
  <c r="EP52" i="5"/>
  <c r="EP53" i="5"/>
  <c r="EP54" i="5"/>
  <c r="EP55" i="5"/>
  <c r="EP56" i="5"/>
  <c r="EP57" i="5"/>
  <c r="EP58" i="5"/>
  <c r="EP59" i="5"/>
  <c r="EP60" i="5"/>
  <c r="EP61" i="5"/>
  <c r="EP62" i="5"/>
  <c r="EP63" i="5"/>
  <c r="EP64" i="5"/>
  <c r="EP65" i="5"/>
  <c r="EP66" i="5"/>
  <c r="EP67" i="5"/>
  <c r="EP68" i="5"/>
  <c r="EP69" i="5"/>
  <c r="EP70" i="5"/>
  <c r="EP71" i="5"/>
  <c r="EP72" i="5"/>
  <c r="EP73" i="5"/>
  <c r="EP74" i="5"/>
  <c r="EP75" i="5"/>
  <c r="EP76" i="5"/>
  <c r="EP77" i="5"/>
  <c r="EP78" i="5"/>
  <c r="EP79" i="5"/>
  <c r="EP80" i="5"/>
  <c r="EP81" i="5"/>
  <c r="EP82" i="5"/>
  <c r="EP83" i="5"/>
  <c r="EP84" i="5"/>
  <c r="EP85" i="5"/>
  <c r="EP86" i="5"/>
  <c r="EP87" i="5"/>
  <c r="EP88" i="5"/>
  <c r="EP89" i="5"/>
  <c r="EP90" i="5"/>
  <c r="EP91" i="5"/>
  <c r="EP92" i="5"/>
  <c r="EP93" i="5"/>
  <c r="EP94" i="5"/>
  <c r="EP95" i="5"/>
  <c r="EP96" i="5"/>
  <c r="EP97" i="5"/>
  <c r="EP98" i="5"/>
  <c r="EP99" i="5"/>
  <c r="EP100" i="5"/>
  <c r="EP101" i="5"/>
  <c r="EP102" i="5"/>
  <c r="EP103" i="5"/>
  <c r="EP104" i="5"/>
  <c r="EP105" i="5"/>
  <c r="EP106" i="5"/>
  <c r="EP107" i="5"/>
  <c r="EP108" i="5"/>
  <c r="EP109" i="5"/>
  <c r="EP110" i="5"/>
  <c r="EP111" i="5"/>
  <c r="EP112" i="5"/>
  <c r="EP113" i="5"/>
  <c r="EP114" i="5"/>
  <c r="EP115" i="5"/>
  <c r="EP116" i="5"/>
  <c r="EP117" i="5"/>
  <c r="EP118" i="5"/>
  <c r="EP119" i="5"/>
  <c r="EP120" i="5"/>
  <c r="EP121" i="5"/>
  <c r="EP122" i="5"/>
  <c r="EP123" i="5"/>
  <c r="EP124" i="5"/>
  <c r="EP125" i="5"/>
  <c r="EP126" i="5"/>
  <c r="EP127" i="5"/>
  <c r="EP128" i="5"/>
  <c r="EP129" i="5"/>
  <c r="EP130" i="5"/>
  <c r="EP7" i="5"/>
  <c r="EP3" i="5"/>
  <c r="EN8" i="5"/>
  <c r="EN9" i="5"/>
  <c r="EN10" i="5"/>
  <c r="EN11" i="5"/>
  <c r="EN12" i="5"/>
  <c r="EN13" i="5"/>
  <c r="EN14" i="5"/>
  <c r="EN15" i="5"/>
  <c r="EN16" i="5"/>
  <c r="EN17" i="5"/>
  <c r="EN18" i="5"/>
  <c r="EN19" i="5"/>
  <c r="EN20" i="5"/>
  <c r="EN21" i="5"/>
  <c r="EN22" i="5"/>
  <c r="EN23" i="5"/>
  <c r="EN24" i="5"/>
  <c r="EN25" i="5"/>
  <c r="EN26" i="5"/>
  <c r="EN27" i="5"/>
  <c r="EN28" i="5"/>
  <c r="EN29" i="5"/>
  <c r="EN30" i="5"/>
  <c r="EN31" i="5"/>
  <c r="EN32" i="5"/>
  <c r="EN33" i="5"/>
  <c r="EN34" i="5"/>
  <c r="EN35" i="5"/>
  <c r="EN36" i="5"/>
  <c r="EN37" i="5"/>
  <c r="EN38" i="5"/>
  <c r="EN39" i="5"/>
  <c r="EN40" i="5"/>
  <c r="EN41" i="5"/>
  <c r="EN42" i="5"/>
  <c r="EN43" i="5"/>
  <c r="EN44" i="5"/>
  <c r="EN45" i="5"/>
  <c r="EN46" i="5"/>
  <c r="EN47" i="5"/>
  <c r="EN48" i="5"/>
  <c r="EN49" i="5"/>
  <c r="EN50" i="5"/>
  <c r="EN51" i="5"/>
  <c r="EN52" i="5"/>
  <c r="EN53" i="5"/>
  <c r="EN54" i="5"/>
  <c r="EN55" i="5"/>
  <c r="EN56" i="5"/>
  <c r="EN57" i="5"/>
  <c r="EN58" i="5"/>
  <c r="EN59" i="5"/>
  <c r="EN60" i="5"/>
  <c r="EN61" i="5"/>
  <c r="EN62" i="5"/>
  <c r="EN63" i="5"/>
  <c r="EN64" i="5"/>
  <c r="EN65" i="5"/>
  <c r="EN66" i="5"/>
  <c r="EN67" i="5"/>
  <c r="EN68" i="5"/>
  <c r="EN69" i="5"/>
  <c r="EN70" i="5"/>
  <c r="EN71" i="5"/>
  <c r="EN72" i="5"/>
  <c r="EN73" i="5"/>
  <c r="EN74" i="5"/>
  <c r="EN75" i="5"/>
  <c r="EN76" i="5"/>
  <c r="EN77" i="5"/>
  <c r="EN78" i="5"/>
  <c r="EN79" i="5"/>
  <c r="EN80" i="5"/>
  <c r="EN81" i="5"/>
  <c r="EN82" i="5"/>
  <c r="EN83" i="5"/>
  <c r="EN84" i="5"/>
  <c r="EN85" i="5"/>
  <c r="EN86" i="5"/>
  <c r="EN87" i="5"/>
  <c r="EN88" i="5"/>
  <c r="EN89" i="5"/>
  <c r="EN90" i="5"/>
  <c r="EN91" i="5"/>
  <c r="EN92" i="5"/>
  <c r="EN93" i="5"/>
  <c r="EN94" i="5"/>
  <c r="EN95" i="5"/>
  <c r="EN96" i="5"/>
  <c r="EN97" i="5"/>
  <c r="EN98" i="5"/>
  <c r="EN99" i="5"/>
  <c r="EN100" i="5"/>
  <c r="EN101" i="5"/>
  <c r="EN102" i="5"/>
  <c r="EN103" i="5"/>
  <c r="EN104" i="5"/>
  <c r="EN105" i="5"/>
  <c r="EN106" i="5"/>
  <c r="EN107" i="5"/>
  <c r="EN108" i="5"/>
  <c r="EN109" i="5"/>
  <c r="EN110" i="5"/>
  <c r="EN111" i="5"/>
  <c r="EN112" i="5"/>
  <c r="EN113" i="5"/>
  <c r="EN114" i="5"/>
  <c r="EN115" i="5"/>
  <c r="EN116" i="5"/>
  <c r="EN117" i="5"/>
  <c r="EN118" i="5"/>
  <c r="EN119" i="5"/>
  <c r="EN120" i="5"/>
  <c r="EN121" i="5"/>
  <c r="EN122" i="5"/>
  <c r="EN123" i="5"/>
  <c r="EN124" i="5"/>
  <c r="EN125" i="5"/>
  <c r="EN126" i="5"/>
  <c r="EN127" i="5"/>
  <c r="EN128" i="5"/>
  <c r="EN129" i="5"/>
  <c r="EN130" i="5"/>
  <c r="EN7" i="5"/>
  <c r="EN3" i="5"/>
  <c r="EL47" i="5"/>
  <c r="EL48" i="5"/>
  <c r="EL49" i="5"/>
  <c r="EL50" i="5"/>
  <c r="EL51" i="5"/>
  <c r="EL52" i="5"/>
  <c r="EL53" i="5"/>
  <c r="EL54" i="5"/>
  <c r="EL55" i="5"/>
  <c r="EL56" i="5"/>
  <c r="EL57" i="5"/>
  <c r="EL58" i="5"/>
  <c r="EL59" i="5"/>
  <c r="EL60" i="5"/>
  <c r="EL61" i="5"/>
  <c r="EL62" i="5"/>
  <c r="EL63" i="5"/>
  <c r="EL64" i="5"/>
  <c r="EL65" i="5"/>
  <c r="EL66" i="5"/>
  <c r="EL67" i="5"/>
  <c r="EL68" i="5"/>
  <c r="EL69" i="5"/>
  <c r="EL70" i="5"/>
  <c r="EL71" i="5"/>
  <c r="EL72" i="5"/>
  <c r="EL73" i="5"/>
  <c r="EL74" i="5"/>
  <c r="EL75" i="5"/>
  <c r="EL76" i="5"/>
  <c r="EL77" i="5"/>
  <c r="EL78" i="5"/>
  <c r="EL79" i="5"/>
  <c r="EL80" i="5"/>
  <c r="EL81" i="5"/>
  <c r="EL82" i="5"/>
  <c r="EL83" i="5"/>
  <c r="EL84" i="5"/>
  <c r="EL85" i="5"/>
  <c r="EL86" i="5"/>
  <c r="EL87" i="5"/>
  <c r="EL88" i="5"/>
  <c r="EL89" i="5"/>
  <c r="EL90" i="5"/>
  <c r="EL91" i="5"/>
  <c r="EL92" i="5"/>
  <c r="EL93" i="5"/>
  <c r="EL94" i="5"/>
  <c r="EL95" i="5"/>
  <c r="EL96" i="5"/>
  <c r="EL97" i="5"/>
  <c r="EL98" i="5"/>
  <c r="EL99" i="5"/>
  <c r="EL100" i="5"/>
  <c r="EL101" i="5"/>
  <c r="EL102" i="5"/>
  <c r="EL103" i="5"/>
  <c r="EL104" i="5"/>
  <c r="EL105" i="5"/>
  <c r="EL106" i="5"/>
  <c r="EL107" i="5"/>
  <c r="EL108" i="5"/>
  <c r="EL109" i="5"/>
  <c r="EL110" i="5"/>
  <c r="EL111" i="5"/>
  <c r="EL112" i="5"/>
  <c r="EL113" i="5"/>
  <c r="EL114" i="5"/>
  <c r="EL115" i="5"/>
  <c r="EL116" i="5"/>
  <c r="EL117" i="5"/>
  <c r="EL118" i="5"/>
  <c r="EL119" i="5"/>
  <c r="EL120" i="5"/>
  <c r="EL121" i="5"/>
  <c r="EL122" i="5"/>
  <c r="EL123" i="5"/>
  <c r="EL124" i="5"/>
  <c r="EL125" i="5"/>
  <c r="EL126" i="5"/>
  <c r="EL127" i="5"/>
  <c r="EL128" i="5"/>
  <c r="EL129" i="5"/>
  <c r="EL130" i="5"/>
  <c r="EL8" i="5"/>
  <c r="EL9" i="5"/>
  <c r="EL10" i="5"/>
  <c r="EL11" i="5"/>
  <c r="EL12" i="5"/>
  <c r="EL13" i="5"/>
  <c r="EL14" i="5"/>
  <c r="EL15" i="5"/>
  <c r="EL16" i="5"/>
  <c r="EL17" i="5"/>
  <c r="EL18" i="5"/>
  <c r="EL19" i="5"/>
  <c r="EL20" i="5"/>
  <c r="EL21" i="5"/>
  <c r="EL22" i="5"/>
  <c r="EL23" i="5"/>
  <c r="EL24" i="5"/>
  <c r="EL25" i="5"/>
  <c r="EL26" i="5"/>
  <c r="EL27" i="5"/>
  <c r="EL28" i="5"/>
  <c r="EL29" i="5"/>
  <c r="EL30" i="5"/>
  <c r="EL31" i="5"/>
  <c r="EL32" i="5"/>
  <c r="EL33" i="5"/>
  <c r="EL34" i="5"/>
  <c r="EL35" i="5"/>
  <c r="EL36" i="5"/>
  <c r="EL37" i="5"/>
  <c r="EL38" i="5"/>
  <c r="EL39" i="5"/>
  <c r="EL40" i="5"/>
  <c r="EL41" i="5"/>
  <c r="EL42" i="5"/>
  <c r="EL43" i="5"/>
  <c r="EL44" i="5"/>
  <c r="EL45" i="5"/>
  <c r="EL46" i="5"/>
  <c r="EL7" i="5"/>
  <c r="EL3" i="5"/>
  <c r="ES2" i="2"/>
  <c r="EQ2" i="2"/>
  <c r="EO2" i="2"/>
  <c r="EM2" i="2"/>
  <c r="EK2" i="2"/>
  <c r="ES8" i="2"/>
  <c r="ES9" i="2"/>
  <c r="ES10" i="2"/>
  <c r="ES11" i="2"/>
  <c r="ES12" i="2"/>
  <c r="ES13" i="2"/>
  <c r="ES14" i="2"/>
  <c r="ES15" i="2"/>
  <c r="ES16" i="2"/>
  <c r="ES17" i="2"/>
  <c r="ES18" i="2"/>
  <c r="ES19" i="2"/>
  <c r="ES20" i="2"/>
  <c r="ES21" i="2"/>
  <c r="ES22" i="2"/>
  <c r="ES23" i="2"/>
  <c r="ES24" i="2"/>
  <c r="ES25" i="2"/>
  <c r="ES26" i="2"/>
  <c r="ES27" i="2"/>
  <c r="ES28" i="2"/>
  <c r="ES29" i="2"/>
  <c r="ES30" i="2"/>
  <c r="ES31" i="2"/>
  <c r="ES32" i="2"/>
  <c r="ES33" i="2"/>
  <c r="ES34" i="2"/>
  <c r="ES35" i="2"/>
  <c r="ES36" i="2"/>
  <c r="ES37" i="2"/>
  <c r="ES38" i="2"/>
  <c r="ES39" i="2"/>
  <c r="ES40" i="2"/>
  <c r="ES41" i="2"/>
  <c r="ES42" i="2"/>
  <c r="ES43" i="2"/>
  <c r="ES44" i="2"/>
  <c r="ES45" i="2"/>
  <c r="ES46" i="2"/>
  <c r="ES47" i="2"/>
  <c r="ES48" i="2"/>
  <c r="ES49" i="2"/>
  <c r="ES50" i="2"/>
  <c r="ES51" i="2"/>
  <c r="ES52" i="2"/>
  <c r="ES53" i="2"/>
  <c r="ES54" i="2"/>
  <c r="ES55" i="2"/>
  <c r="ES56" i="2"/>
  <c r="ES57" i="2"/>
  <c r="ES58" i="2"/>
  <c r="ES59" i="2"/>
  <c r="ES60" i="2"/>
  <c r="ES61" i="2"/>
  <c r="ES62" i="2"/>
  <c r="ES63" i="2"/>
  <c r="ES64" i="2"/>
  <c r="ES65" i="2"/>
  <c r="ES66" i="2"/>
  <c r="ES67" i="2"/>
  <c r="ES68" i="2"/>
  <c r="ES69" i="2"/>
  <c r="ES70" i="2"/>
  <c r="ES71" i="2"/>
  <c r="ES72" i="2"/>
  <c r="ES73" i="2"/>
  <c r="ES74" i="2"/>
  <c r="ES75" i="2"/>
  <c r="ES76" i="2"/>
  <c r="ES77" i="2"/>
  <c r="ES78" i="2"/>
  <c r="ES79" i="2"/>
  <c r="ES80" i="2"/>
  <c r="ES81" i="2"/>
  <c r="ES82" i="2"/>
  <c r="ES83" i="2"/>
  <c r="ES84" i="2"/>
  <c r="ES85" i="2"/>
  <c r="ES86" i="2"/>
  <c r="ES87" i="2"/>
  <c r="ES88" i="2"/>
  <c r="ES89" i="2"/>
  <c r="ES90" i="2"/>
  <c r="ES91" i="2"/>
  <c r="ES92" i="2"/>
  <c r="ES93" i="2"/>
  <c r="ES94" i="2"/>
  <c r="ES95" i="2"/>
  <c r="ES96" i="2"/>
  <c r="ES97" i="2"/>
  <c r="ES98" i="2"/>
  <c r="ES99" i="2"/>
  <c r="ES100" i="2"/>
  <c r="ES101" i="2"/>
  <c r="ES102" i="2"/>
  <c r="ES103" i="2"/>
  <c r="ES104" i="2"/>
  <c r="ES105" i="2"/>
  <c r="ES106" i="2"/>
  <c r="ES107" i="2"/>
  <c r="ES108" i="2"/>
  <c r="ES109" i="2"/>
  <c r="ES110" i="2"/>
  <c r="ES111" i="2"/>
  <c r="ES112" i="2"/>
  <c r="ES113" i="2"/>
  <c r="ES114" i="2"/>
  <c r="ES115" i="2"/>
  <c r="ES116" i="2"/>
  <c r="ES117" i="2"/>
  <c r="ES118" i="2"/>
  <c r="ES119" i="2"/>
  <c r="ES120" i="2"/>
  <c r="ES121" i="2"/>
  <c r="ES122" i="2"/>
  <c r="ES123" i="2"/>
  <c r="ES124" i="2"/>
  <c r="ES125" i="2"/>
  <c r="ES126" i="2"/>
  <c r="ES127" i="2"/>
  <c r="ES128" i="2"/>
  <c r="ES129" i="2"/>
  <c r="ES130" i="2"/>
  <c r="ES7" i="2"/>
  <c r="EQ8" i="2"/>
  <c r="EQ9" i="2"/>
  <c r="EQ10" i="2"/>
  <c r="EQ11" i="2"/>
  <c r="EQ12" i="2"/>
  <c r="EQ13" i="2"/>
  <c r="EQ14" i="2"/>
  <c r="EQ15" i="2"/>
  <c r="EQ16" i="2"/>
  <c r="EQ17" i="2"/>
  <c r="EQ18" i="2"/>
  <c r="EQ19" i="2"/>
  <c r="EQ20" i="2"/>
  <c r="EQ21" i="2"/>
  <c r="EQ22" i="2"/>
  <c r="EQ23" i="2"/>
  <c r="EQ24" i="2"/>
  <c r="EQ25" i="2"/>
  <c r="EQ26" i="2"/>
  <c r="EQ27" i="2"/>
  <c r="EQ28" i="2"/>
  <c r="EQ29" i="2"/>
  <c r="EQ30" i="2"/>
  <c r="EQ31" i="2"/>
  <c r="EQ32" i="2"/>
  <c r="EQ33" i="2"/>
  <c r="EQ34" i="2"/>
  <c r="EQ35" i="2"/>
  <c r="EQ36" i="2"/>
  <c r="EQ37" i="2"/>
  <c r="EQ38" i="2"/>
  <c r="EQ39" i="2"/>
  <c r="EQ40" i="2"/>
  <c r="EQ41" i="2"/>
  <c r="EQ42" i="2"/>
  <c r="EQ43" i="2"/>
  <c r="EQ44" i="2"/>
  <c r="EQ45" i="2"/>
  <c r="EQ46" i="2"/>
  <c r="EQ47" i="2"/>
  <c r="EQ48" i="2"/>
  <c r="EQ49" i="2"/>
  <c r="EQ50" i="2"/>
  <c r="EQ51" i="2"/>
  <c r="EQ52" i="2"/>
  <c r="EQ53" i="2"/>
  <c r="EQ54" i="2"/>
  <c r="EQ55" i="2"/>
  <c r="EQ56" i="2"/>
  <c r="EQ57" i="2"/>
  <c r="EQ58" i="2"/>
  <c r="EQ59" i="2"/>
  <c r="EQ60" i="2"/>
  <c r="EQ61" i="2"/>
  <c r="EQ62" i="2"/>
  <c r="EQ63" i="2"/>
  <c r="EQ64" i="2"/>
  <c r="EQ65" i="2"/>
  <c r="EQ66" i="2"/>
  <c r="EQ67" i="2"/>
  <c r="EQ68" i="2"/>
  <c r="EQ69" i="2"/>
  <c r="EQ70" i="2"/>
  <c r="EQ71" i="2"/>
  <c r="EQ72" i="2"/>
  <c r="EQ73" i="2"/>
  <c r="EQ74" i="2"/>
  <c r="EQ75" i="2"/>
  <c r="EQ76" i="2"/>
  <c r="EQ77" i="2"/>
  <c r="EQ78" i="2"/>
  <c r="EQ79" i="2"/>
  <c r="EQ80" i="2"/>
  <c r="EQ81" i="2"/>
  <c r="EQ82" i="2"/>
  <c r="EQ83" i="2"/>
  <c r="EQ84" i="2"/>
  <c r="EQ85" i="2"/>
  <c r="EQ86" i="2"/>
  <c r="EQ87" i="2"/>
  <c r="EQ88" i="2"/>
  <c r="EQ89" i="2"/>
  <c r="EQ90" i="2"/>
  <c r="EQ91" i="2"/>
  <c r="EQ92" i="2"/>
  <c r="EQ93" i="2"/>
  <c r="EQ94" i="2"/>
  <c r="EQ95" i="2"/>
  <c r="EQ96" i="2"/>
  <c r="EQ97" i="2"/>
  <c r="EQ98" i="2"/>
  <c r="EQ99" i="2"/>
  <c r="EQ100" i="2"/>
  <c r="EQ101" i="2"/>
  <c r="EQ102" i="2"/>
  <c r="EQ103" i="2"/>
  <c r="EQ104" i="2"/>
  <c r="EQ105" i="2"/>
  <c r="EQ106" i="2"/>
  <c r="EQ107" i="2"/>
  <c r="EQ108" i="2"/>
  <c r="EQ109" i="2"/>
  <c r="EQ110" i="2"/>
  <c r="EQ111" i="2"/>
  <c r="EQ112" i="2"/>
  <c r="EQ113" i="2"/>
  <c r="EQ114" i="2"/>
  <c r="EQ115" i="2"/>
  <c r="EQ116" i="2"/>
  <c r="EQ117" i="2"/>
  <c r="EQ118" i="2"/>
  <c r="EQ119" i="2"/>
  <c r="EQ120" i="2"/>
  <c r="EQ121" i="2"/>
  <c r="EQ122" i="2"/>
  <c r="EQ123" i="2"/>
  <c r="EQ124" i="2"/>
  <c r="EQ125" i="2"/>
  <c r="EQ126" i="2"/>
  <c r="EQ127" i="2"/>
  <c r="EQ128" i="2"/>
  <c r="EQ129" i="2"/>
  <c r="EQ130" i="2"/>
  <c r="EQ7" i="2"/>
  <c r="EO8" i="2"/>
  <c r="EO9" i="2"/>
  <c r="EO10" i="2"/>
  <c r="EO11" i="2"/>
  <c r="EO12" i="2"/>
  <c r="EO13" i="2"/>
  <c r="EO14" i="2"/>
  <c r="EO15" i="2"/>
  <c r="EO16" i="2"/>
  <c r="EO17" i="2"/>
  <c r="EO18" i="2"/>
  <c r="EO19" i="2"/>
  <c r="EO20" i="2"/>
  <c r="EO21" i="2"/>
  <c r="EO22" i="2"/>
  <c r="EO23" i="2"/>
  <c r="EO24" i="2"/>
  <c r="EO25" i="2"/>
  <c r="EO26" i="2"/>
  <c r="EO27" i="2"/>
  <c r="EO28" i="2"/>
  <c r="EO29" i="2"/>
  <c r="EO30" i="2"/>
  <c r="EO31" i="2"/>
  <c r="EO32" i="2"/>
  <c r="EO33" i="2"/>
  <c r="EO34" i="2"/>
  <c r="EO35" i="2"/>
  <c r="EO36" i="2"/>
  <c r="EO37" i="2"/>
  <c r="EO38" i="2"/>
  <c r="EO39" i="2"/>
  <c r="EO40" i="2"/>
  <c r="EO41" i="2"/>
  <c r="EO42" i="2"/>
  <c r="EO43" i="2"/>
  <c r="EO44" i="2"/>
  <c r="EO45" i="2"/>
  <c r="EO46" i="2"/>
  <c r="EO47" i="2"/>
  <c r="EO48" i="2"/>
  <c r="EO49" i="2"/>
  <c r="EO50" i="2"/>
  <c r="EO51" i="2"/>
  <c r="EO52" i="2"/>
  <c r="EO53" i="2"/>
  <c r="EO54" i="2"/>
  <c r="EO55" i="2"/>
  <c r="EO56" i="2"/>
  <c r="EO57" i="2"/>
  <c r="EO58" i="2"/>
  <c r="EO59" i="2"/>
  <c r="EO60" i="2"/>
  <c r="EO61" i="2"/>
  <c r="EO62" i="2"/>
  <c r="EO63" i="2"/>
  <c r="EO64" i="2"/>
  <c r="EO65" i="2"/>
  <c r="EO66" i="2"/>
  <c r="EO67" i="2"/>
  <c r="EO68" i="2"/>
  <c r="EO69" i="2"/>
  <c r="EO70" i="2"/>
  <c r="EO71" i="2"/>
  <c r="EO72" i="2"/>
  <c r="EO73" i="2"/>
  <c r="EO74" i="2"/>
  <c r="EO75" i="2"/>
  <c r="EO76" i="2"/>
  <c r="EO77" i="2"/>
  <c r="EO78" i="2"/>
  <c r="EO79" i="2"/>
  <c r="EO80" i="2"/>
  <c r="EO81" i="2"/>
  <c r="EO82" i="2"/>
  <c r="EO83" i="2"/>
  <c r="EO84" i="2"/>
  <c r="EO85" i="2"/>
  <c r="EO86" i="2"/>
  <c r="EO87" i="2"/>
  <c r="EO88" i="2"/>
  <c r="EO89" i="2"/>
  <c r="EO90" i="2"/>
  <c r="EO91" i="2"/>
  <c r="EO92" i="2"/>
  <c r="EO93" i="2"/>
  <c r="EO94" i="2"/>
  <c r="EO95" i="2"/>
  <c r="EO96" i="2"/>
  <c r="EO97" i="2"/>
  <c r="EO98" i="2"/>
  <c r="EO99" i="2"/>
  <c r="EO100" i="2"/>
  <c r="EO101" i="2"/>
  <c r="EO102" i="2"/>
  <c r="EO103" i="2"/>
  <c r="EO104" i="2"/>
  <c r="EO105" i="2"/>
  <c r="EO106" i="2"/>
  <c r="EO107" i="2"/>
  <c r="EO108" i="2"/>
  <c r="EO109" i="2"/>
  <c r="EO110" i="2"/>
  <c r="EO111" i="2"/>
  <c r="EO112" i="2"/>
  <c r="EO113" i="2"/>
  <c r="EO114" i="2"/>
  <c r="EO115" i="2"/>
  <c r="EO116" i="2"/>
  <c r="EO117" i="2"/>
  <c r="EO118" i="2"/>
  <c r="EO119" i="2"/>
  <c r="EO120" i="2"/>
  <c r="EO121" i="2"/>
  <c r="EO122" i="2"/>
  <c r="EO123" i="2"/>
  <c r="EO124" i="2"/>
  <c r="EO125" i="2"/>
  <c r="EO126" i="2"/>
  <c r="EO127" i="2"/>
  <c r="EO128" i="2"/>
  <c r="EO129" i="2"/>
  <c r="EO130" i="2"/>
  <c r="EO7" i="2"/>
  <c r="EM8" i="2"/>
  <c r="EM9" i="2"/>
  <c r="EM10" i="2"/>
  <c r="EM11" i="2"/>
  <c r="EM12" i="2"/>
  <c r="EM13" i="2"/>
  <c r="EM14" i="2"/>
  <c r="EM15" i="2"/>
  <c r="EM16" i="2"/>
  <c r="EM17" i="2"/>
  <c r="EM18" i="2"/>
  <c r="EM19" i="2"/>
  <c r="EM20" i="2"/>
  <c r="EM21" i="2"/>
  <c r="EM22" i="2"/>
  <c r="EM23" i="2"/>
  <c r="EM24" i="2"/>
  <c r="EM25" i="2"/>
  <c r="EM26" i="2"/>
  <c r="EM27" i="2"/>
  <c r="EM28" i="2"/>
  <c r="EM29" i="2"/>
  <c r="EM30" i="2"/>
  <c r="EM31" i="2"/>
  <c r="EM32" i="2"/>
  <c r="EM33" i="2"/>
  <c r="EM34" i="2"/>
  <c r="EM35" i="2"/>
  <c r="EM36" i="2"/>
  <c r="EM37" i="2"/>
  <c r="EM38" i="2"/>
  <c r="EM39" i="2"/>
  <c r="EM40" i="2"/>
  <c r="EM41" i="2"/>
  <c r="EM42" i="2"/>
  <c r="EM43" i="2"/>
  <c r="EM44" i="2"/>
  <c r="EM45" i="2"/>
  <c r="EM46" i="2"/>
  <c r="EM47" i="2"/>
  <c r="EM48" i="2"/>
  <c r="EM49" i="2"/>
  <c r="EM50" i="2"/>
  <c r="EM51" i="2"/>
  <c r="EM52" i="2"/>
  <c r="EM53" i="2"/>
  <c r="EM54" i="2"/>
  <c r="EM55" i="2"/>
  <c r="EM56" i="2"/>
  <c r="EM57" i="2"/>
  <c r="EM58" i="2"/>
  <c r="EM59" i="2"/>
  <c r="EM60" i="2"/>
  <c r="EM61" i="2"/>
  <c r="EM62" i="2"/>
  <c r="EM63" i="2"/>
  <c r="EM64" i="2"/>
  <c r="EM65" i="2"/>
  <c r="EM66" i="2"/>
  <c r="EM67" i="2"/>
  <c r="EM68" i="2"/>
  <c r="EM69" i="2"/>
  <c r="EM70" i="2"/>
  <c r="EM71" i="2"/>
  <c r="EM72" i="2"/>
  <c r="EM73" i="2"/>
  <c r="EM74" i="2"/>
  <c r="EM75" i="2"/>
  <c r="EM76" i="2"/>
  <c r="EM77" i="2"/>
  <c r="EM78" i="2"/>
  <c r="EM79" i="2"/>
  <c r="EM80" i="2"/>
  <c r="EM81" i="2"/>
  <c r="EM82" i="2"/>
  <c r="EM83" i="2"/>
  <c r="EM84" i="2"/>
  <c r="EM85" i="2"/>
  <c r="EM86" i="2"/>
  <c r="EM87" i="2"/>
  <c r="EM88" i="2"/>
  <c r="EM89" i="2"/>
  <c r="EM90" i="2"/>
  <c r="EM91" i="2"/>
  <c r="EM92" i="2"/>
  <c r="EM93" i="2"/>
  <c r="EM94" i="2"/>
  <c r="EM95" i="2"/>
  <c r="EM96" i="2"/>
  <c r="EM97" i="2"/>
  <c r="EM98" i="2"/>
  <c r="EM99" i="2"/>
  <c r="EM100" i="2"/>
  <c r="EM101" i="2"/>
  <c r="EM102" i="2"/>
  <c r="EM103" i="2"/>
  <c r="EM104" i="2"/>
  <c r="EM105" i="2"/>
  <c r="EM106" i="2"/>
  <c r="EM107" i="2"/>
  <c r="EM108" i="2"/>
  <c r="EM109" i="2"/>
  <c r="EM110" i="2"/>
  <c r="EM111" i="2"/>
  <c r="EM112" i="2"/>
  <c r="EM113" i="2"/>
  <c r="EM114" i="2"/>
  <c r="EM115" i="2"/>
  <c r="EM116" i="2"/>
  <c r="EM117" i="2"/>
  <c r="EM118" i="2"/>
  <c r="EM119" i="2"/>
  <c r="EM120" i="2"/>
  <c r="EM121" i="2"/>
  <c r="EM122" i="2"/>
  <c r="EM123" i="2"/>
  <c r="EM124" i="2"/>
  <c r="EM125" i="2"/>
  <c r="EM126" i="2"/>
  <c r="EM127" i="2"/>
  <c r="EM128" i="2"/>
  <c r="EM129" i="2"/>
  <c r="EM130" i="2"/>
  <c r="EM7" i="2"/>
  <c r="EK47" i="2"/>
  <c r="EK48" i="2"/>
  <c r="EK49" i="2"/>
  <c r="EK50" i="2"/>
  <c r="EK51" i="2"/>
  <c r="EK52" i="2"/>
  <c r="EK53" i="2"/>
  <c r="EK54" i="2"/>
  <c r="EK55" i="2"/>
  <c r="EK56" i="2"/>
  <c r="EK57" i="2"/>
  <c r="EK58" i="2"/>
  <c r="EK59" i="2"/>
  <c r="EK60" i="2"/>
  <c r="EK61" i="2"/>
  <c r="EK62" i="2"/>
  <c r="EK63" i="2"/>
  <c r="EK64" i="2"/>
  <c r="EK65" i="2"/>
  <c r="EK66" i="2"/>
  <c r="EK67" i="2"/>
  <c r="EK68" i="2"/>
  <c r="EK69" i="2"/>
  <c r="EK70" i="2"/>
  <c r="EK71" i="2"/>
  <c r="EK72" i="2"/>
  <c r="EK73" i="2"/>
  <c r="EK74" i="2"/>
  <c r="EK75" i="2"/>
  <c r="EK76" i="2"/>
  <c r="EK77" i="2"/>
  <c r="EK78" i="2"/>
  <c r="EK79" i="2"/>
  <c r="EK80" i="2"/>
  <c r="EK81" i="2"/>
  <c r="EK82" i="2"/>
  <c r="EK83" i="2"/>
  <c r="EK84" i="2"/>
  <c r="EK85" i="2"/>
  <c r="EK86" i="2"/>
  <c r="EK87" i="2"/>
  <c r="EK88" i="2"/>
  <c r="EK89" i="2"/>
  <c r="EK90" i="2"/>
  <c r="EK91" i="2"/>
  <c r="EK92" i="2"/>
  <c r="EK93" i="2"/>
  <c r="EK94" i="2"/>
  <c r="EK95" i="2"/>
  <c r="EK96" i="2"/>
  <c r="EK97" i="2"/>
  <c r="EK98" i="2"/>
  <c r="EK99" i="2"/>
  <c r="EK100" i="2"/>
  <c r="EK101" i="2"/>
  <c r="EK102" i="2"/>
  <c r="EK103" i="2"/>
  <c r="EK104" i="2"/>
  <c r="EK105" i="2"/>
  <c r="EK106" i="2"/>
  <c r="EK107" i="2"/>
  <c r="EK108" i="2"/>
  <c r="EK109" i="2"/>
  <c r="EK110" i="2"/>
  <c r="EK111" i="2"/>
  <c r="EK112" i="2"/>
  <c r="EK113" i="2"/>
  <c r="EK114" i="2"/>
  <c r="EK115" i="2"/>
  <c r="EK116" i="2"/>
  <c r="EK117" i="2"/>
  <c r="EK118" i="2"/>
  <c r="EK119" i="2"/>
  <c r="EK120" i="2"/>
  <c r="EK121" i="2"/>
  <c r="EK122" i="2"/>
  <c r="EK123" i="2"/>
  <c r="EK124" i="2"/>
  <c r="EK125" i="2"/>
  <c r="EK126" i="2"/>
  <c r="EK127" i="2"/>
  <c r="EK128" i="2"/>
  <c r="EK129" i="2"/>
  <c r="EK130" i="2"/>
  <c r="EK8" i="2"/>
  <c r="EK9" i="2"/>
  <c r="EK10" i="2"/>
  <c r="EK11" i="2"/>
  <c r="EK12" i="2"/>
  <c r="EK13" i="2"/>
  <c r="EK14" i="2"/>
  <c r="EK15" i="2"/>
  <c r="EK16" i="2"/>
  <c r="EK17" i="2"/>
  <c r="EK18" i="2"/>
  <c r="EK19" i="2"/>
  <c r="EK20" i="2"/>
  <c r="EK21" i="2"/>
  <c r="EK22" i="2"/>
  <c r="EK23" i="2"/>
  <c r="EK24" i="2"/>
  <c r="EK25" i="2"/>
  <c r="EK26" i="2"/>
  <c r="EK27" i="2"/>
  <c r="EK28" i="2"/>
  <c r="EK29" i="2"/>
  <c r="EK30" i="2"/>
  <c r="EK31" i="2"/>
  <c r="EK32" i="2"/>
  <c r="EK33" i="2"/>
  <c r="EK34" i="2"/>
  <c r="EK35" i="2"/>
  <c r="EK36" i="2"/>
  <c r="EK37" i="2"/>
  <c r="EK38" i="2"/>
  <c r="EK39" i="2"/>
  <c r="EK40" i="2"/>
  <c r="EK41" i="2"/>
  <c r="EK42" i="2"/>
  <c r="EK43" i="2"/>
  <c r="EK44" i="2"/>
  <c r="EK45" i="2"/>
  <c r="EK46" i="2"/>
  <c r="EK7" i="2"/>
</calcChain>
</file>

<file path=xl/sharedStrings.xml><?xml version="1.0" encoding="utf-8"?>
<sst xmlns="http://schemas.openxmlformats.org/spreadsheetml/2006/main" count="558" uniqueCount="43">
  <si>
    <t>(on date)</t>
  </si>
  <si>
    <t>Millions of Rubles</t>
  </si>
  <si>
    <t>Total</t>
  </si>
  <si>
    <t>Other depository corporations</t>
  </si>
  <si>
    <t>Insurance corporations</t>
  </si>
  <si>
    <t>Other financial corporations</t>
  </si>
  <si>
    <t>General government</t>
  </si>
  <si>
    <t>Nonfinancial corporations</t>
  </si>
  <si>
    <t>Non-residents</t>
  </si>
  <si>
    <r>
      <t xml:space="preserve">Source. </t>
    </r>
    <r>
      <rPr>
        <sz val="14"/>
        <rFont val="Times New Roman"/>
        <family val="1"/>
        <charset val="204"/>
      </rPr>
      <t>The Bank of Russia</t>
    </r>
  </si>
  <si>
    <t>Comments:</t>
  </si>
  <si>
    <t>Central bank</t>
  </si>
  <si>
    <t>5. Sectors classification is in accordance with SNA 2008.</t>
  </si>
  <si>
    <t>Short-term</t>
  </si>
  <si>
    <t>Long-term</t>
  </si>
  <si>
    <t>3. Data on other financial corporations include data on State Development Corporation "VEB.RF".</t>
  </si>
  <si>
    <t>Amount outstanding of debt securities in national currency</t>
  </si>
  <si>
    <t>Amount outstanding of debt securities in foreign currency</t>
  </si>
  <si>
    <t>Amount outstanding of debt securities - total</t>
  </si>
  <si>
    <t xml:space="preserve">    Long-term</t>
  </si>
  <si>
    <t>Amount outstanding of debt securities issued in domestic market at nominal value</t>
  </si>
  <si>
    <t>Amount outstanding of debt securities issued in domestic market at market value</t>
  </si>
  <si>
    <t xml:space="preserve"> </t>
  </si>
  <si>
    <t xml:space="preserve">2. Debt securities of General government include domestic debt of the Russian Federation in bonds of central, state and local government with nominal value in national currency (source - Ministry of Finance of the Russian Federation). This category also includes debt securities issued by OJSC Rusnano and the State Company Avtodor that are included in General government sector. </t>
  </si>
  <si>
    <r>
      <t>1. Listed debt securities are issued in domestic market and estimated at market value while unlisted debt securities are estimated at nominal value (taking  into account redemption)</t>
    </r>
    <r>
      <rPr>
        <sz val="14"/>
        <color rgb="FFFF0000"/>
        <rFont val="Times New Roman"/>
        <family val="1"/>
        <charset val="204"/>
      </rPr>
      <t>.</t>
    </r>
  </si>
  <si>
    <t>6. The data may be reviewed due to updating data sources, the emergence of new sources of information,methodological changes.</t>
  </si>
  <si>
    <t xml:space="preserve">4. Short-term - original maturity of 1 year or less. Long-term - original maturity more than 1 year. </t>
  </si>
  <si>
    <t xml:space="preserve">   Long term, with a remaining maturity up to and including 1 year   </t>
  </si>
  <si>
    <t>01.01.2019*</t>
  </si>
  <si>
    <t>*Since 01.01.2019 long-term securities included by remaining maturity</t>
  </si>
  <si>
    <t>   Long term, with a remaining maturity more than 1 year</t>
  </si>
  <si>
    <t>3. Debt securities of General government include domestic debt of the Russian Federation in bonds of central, state and local government with nominal value in national currency (source - Ministry of Finance of the Russian Federation). This category also includes debt securities issued by OJSC Rusnano and the State Company Avtodor that are included in General government sector. Debt securities are at nominal value (taking  into account redemption).</t>
  </si>
  <si>
    <t>4. Data on other financial corporations include data on State Development Corporation "VEB.RF".</t>
  </si>
  <si>
    <t xml:space="preserve">5. Short-term - original maturity of 1 year or less. Long-term - original maturity more than 1 year. </t>
  </si>
  <si>
    <t>6. Sectors classification is in accordance with SNA 2008.</t>
  </si>
  <si>
    <t>7. The data may be reviewed due to updating data sources, the emergence of new sources of information,methodological changes.</t>
  </si>
  <si>
    <t>1. Data take into account the accrued interest since 01.03.2020.</t>
  </si>
  <si>
    <t>2. Data take into account the accrued interest since 01.03.2020.</t>
  </si>
  <si>
    <t>july</t>
  </si>
  <si>
    <t>august</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</si>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</sst>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р_._-;\-* #,##0.00_р_._-;_-* &quot;-&quot;??_р_._-;_-@_-"/>
    <numFmt numFmtId="165" formatCode="_-* #,##0_р_._-;\-* #,##0_р_._-;_-* &quot;-&quot;??_р_._-;_-@_-"/>
    <numFmt numFmtId="166" formatCode="_(* #,##0.00_);_(* \(#,##0.00\);_(* &quot;-&quot;??_);_(@_)"/>
    <numFmt numFmtId="167" formatCode="#,###;\-#,###;0"/>
  </numFmts>
  <fonts count="15"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sz val="14"/>
      <color theme="1"/>
      <name val="Times New Roman"/>
      <family val="1"/>
      <charset val="204"/>
    </font>
    <font>
      <b/>
      <sz val="14"/>
      <color theme="1"/>
      <name val="Times New Roman"/>
      <family val="1"/>
      <charset val="204"/>
    </font>
    <font>
      <sz val="10"/>
      <name val="Arial Cyr"/>
      <charset val="204"/>
    </font>
    <font>
      <b/>
      <sz val="14"/>
      <name val="Times New Roman"/>
      <family val="1"/>
      <charset val="204"/>
    </font>
    <font>
      <b/>
      <i/>
      <sz val="14"/>
      <name val="Times New Roman"/>
      <family val="1"/>
      <charset val="204"/>
    </font>
    <font>
      <sz val="14"/>
      <name val="Times New Roman"/>
      <family val="1"/>
      <charset val="204"/>
    </font>
    <font>
      <sz val="10"/>
      <color rgb="FF000000"/>
      <name val="Arial"/>
      <family val="2"/>
      <charset val="204"/>
    </font>
    <font>
      <sz val="10"/>
      <name val="Arial"/>
      <family val="2"/>
      <charset val="204"/>
    </font>
    <font>
      <sz val="10"/>
      <name val="Times New Roman Cyr"/>
      <charset val="204"/>
    </font>
    <font>
      <b/>
      <i/>
      <sz val="10"/>
      <name val="Arial"/>
      <family val="2"/>
      <charset val="204"/>
    </font>
    <font>
      <sz val="14"/>
      <color rgb="FFFF0000"/>
      <name val="Times New Roman"/>
      <family val="1"/>
      <charset val="204"/>
    </font>
    <font>
      <i/>
      <sz val="14"/>
      <color theme="1"/>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right/>
      <top/>
      <bottom style="thin">
        <color indexed="64"/>
      </bottom>
      <diagonal/>
    </border>
  </borders>
  <cellStyleXfs count="21">
    <xf numFmtId="0" fontId="0" fillId="0" borderId="0"/>
    <xf numFmtId="0" fontId="2" fillId="0" borderId="0"/>
    <xf numFmtId="0" fontId="5" fillId="0" borderId="0"/>
    <xf numFmtId="164" fontId="2" fillId="0" borderId="0" applyFont="0" applyFill="0" applyBorder="0" applyAlignment="0" applyProtection="0"/>
    <xf numFmtId="0" fontId="1" fillId="0" borderId="0"/>
    <xf numFmtId="0" fontId="2" fillId="0" borderId="0"/>
    <xf numFmtId="0" fontId="5" fillId="0" borderId="0"/>
    <xf numFmtId="0" fontId="1" fillId="0" borderId="0"/>
    <xf numFmtId="0" fontId="9" fillId="0" borderId="0"/>
    <xf numFmtId="0" fontId="1" fillId="0" borderId="0"/>
    <xf numFmtId="0" fontId="10" fillId="0" borderId="0"/>
    <xf numFmtId="0" fontId="9"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1" fillId="0" borderId="0" applyFont="0" applyFill="0" applyBorder="0" applyAlignment="0" applyProtection="0"/>
    <xf numFmtId="164" fontId="1" fillId="0" borderId="0" applyFont="0" applyFill="0" applyBorder="0" applyAlignment="0" applyProtection="0"/>
    <xf numFmtId="164" fontId="9" fillId="0" borderId="0" applyFont="0" applyFill="0" applyBorder="0" applyAlignment="0" applyProtection="0"/>
    <xf numFmtId="166" fontId="12" fillId="0" borderId="0" applyFont="0" applyFill="0" applyBorder="0" applyAlignment="0" applyProtection="0"/>
    <xf numFmtId="164" fontId="1" fillId="0" borderId="0" applyFont="0" applyFill="0" applyBorder="0" applyAlignment="0" applyProtection="0"/>
    <xf numFmtId="0" fontId="9" fillId="0" borderId="0"/>
  </cellStyleXfs>
  <cellXfs count="57">
    <xf numFmtId="0" fontId="0" fillId="0" borderId="0" xfId="0"/>
    <xf numFmtId="0" fontId="3" fillId="0" borderId="0" xfId="1" applyFont="1" applyBorder="1"/>
    <xf numFmtId="0" fontId="4" fillId="0" borderId="0" xfId="1" applyFont="1" applyBorder="1" applyAlignment="1">
      <alignment horizontal="right"/>
    </xf>
    <xf numFmtId="0" fontId="4" fillId="0" borderId="0" xfId="1" applyFont="1" applyBorder="1"/>
    <xf numFmtId="0" fontId="4" fillId="0" borderId="1" xfId="1" applyFont="1" applyBorder="1"/>
    <xf numFmtId="14" fontId="6" fillId="0" borderId="1" xfId="2" applyNumberFormat="1" applyFont="1" applyFill="1" applyBorder="1" applyAlignment="1">
      <alignment horizontal="center" vertical="center" wrapText="1"/>
    </xf>
    <xf numFmtId="0" fontId="3" fillId="0" borderId="0" xfId="1" applyFont="1" applyBorder="1" applyAlignment="1">
      <alignment horizontal="left" indent="2"/>
    </xf>
    <xf numFmtId="165" fontId="3" fillId="0" borderId="0" xfId="3" applyNumberFormat="1" applyFont="1" applyFill="1" applyBorder="1"/>
    <xf numFmtId="0" fontId="7" fillId="0" borderId="0" xfId="2" applyFont="1" applyFill="1" applyBorder="1" applyAlignment="1">
      <alignment horizontal="left" wrapText="1" indent="1"/>
    </xf>
    <xf numFmtId="0" fontId="3" fillId="0" borderId="0" xfId="1" applyFont="1" applyBorder="1" applyAlignment="1">
      <alignment wrapText="1"/>
    </xf>
    <xf numFmtId="165" fontId="3" fillId="0" borderId="0" xfId="1" applyNumberFormat="1" applyFont="1" applyBorder="1" applyAlignment="1"/>
    <xf numFmtId="0" fontId="3" fillId="0" borderId="0" xfId="1" applyFont="1" applyBorder="1" applyAlignment="1"/>
    <xf numFmtId="165" fontId="3" fillId="0" borderId="0" xfId="19" applyNumberFormat="1" applyFont="1" applyBorder="1"/>
    <xf numFmtId="165" fontId="3" fillId="0" borderId="0" xfId="3" applyNumberFormat="1" applyFont="1" applyFill="1" applyBorder="1" applyAlignment="1">
      <alignment horizontal="center"/>
    </xf>
    <xf numFmtId="165" fontId="3" fillId="0" borderId="0" xfId="3" applyNumberFormat="1" applyFont="1" applyBorder="1" applyAlignment="1">
      <alignment horizontal="center"/>
    </xf>
    <xf numFmtId="165" fontId="3" fillId="0" borderId="0" xfId="1" applyNumberFormat="1" applyFont="1" applyBorder="1"/>
    <xf numFmtId="165" fontId="3" fillId="0" borderId="0" xfId="3" applyNumberFormat="1" applyFont="1" applyBorder="1"/>
    <xf numFmtId="167" fontId="3" fillId="0" borderId="0" xfId="1" applyNumberFormat="1" applyFont="1" applyBorder="1"/>
    <xf numFmtId="0" fontId="3" fillId="0" borderId="0" xfId="1" applyFont="1" applyBorder="1" applyAlignment="1">
      <alignment horizontal="left" wrapText="1"/>
    </xf>
    <xf numFmtId="0" fontId="3" fillId="0" borderId="0" xfId="1" applyFont="1" applyBorder="1" applyAlignment="1">
      <alignment horizontal="left" indent="6"/>
    </xf>
    <xf numFmtId="0" fontId="3" fillId="0" borderId="0" xfId="1" applyFont="1" applyBorder="1" applyAlignment="1">
      <alignment horizontal="center"/>
    </xf>
    <xf numFmtId="0" fontId="3" fillId="0" borderId="0" xfId="1" applyFont="1" applyBorder="1" applyAlignment="1">
      <alignment horizontal="center" wrapText="1"/>
    </xf>
    <xf numFmtId="165" fontId="4" fillId="0" borderId="0" xfId="3" applyNumberFormat="1" applyFont="1" applyFill="1" applyBorder="1"/>
    <xf numFmtId="14" fontId="6" fillId="0" borderId="0" xfId="2" applyNumberFormat="1" applyFont="1" applyFill="1" applyBorder="1" applyAlignment="1">
      <alignment horizontal="center" vertical="center" wrapText="1"/>
    </xf>
    <xf numFmtId="0" fontId="3" fillId="0" borderId="0" xfId="1" applyFont="1" applyFill="1" applyBorder="1"/>
    <xf numFmtId="165" fontId="4" fillId="0" borderId="0" xfId="3" applyNumberFormat="1" applyFont="1" applyFill="1" applyBorder="1" applyAlignment="1">
      <alignment horizontal="center"/>
    </xf>
    <xf numFmtId="0" fontId="3" fillId="0" borderId="0" xfId="1" applyFont="1" applyFill="1" applyBorder="1" applyAlignment="1">
      <alignment horizontal="center"/>
    </xf>
    <xf numFmtId="165" fontId="4" fillId="0" borderId="0" xfId="3" applyNumberFormat="1" applyFont="1" applyBorder="1"/>
    <xf numFmtId="165" fontId="4" fillId="0" borderId="0" xfId="3" applyNumberFormat="1" applyFont="1" applyBorder="1" applyAlignment="1">
      <alignment horizontal="center"/>
    </xf>
    <xf numFmtId="0" fontId="4" fillId="0" borderId="0" xfId="1" applyFont="1" applyFill="1" applyBorder="1" applyAlignment="1">
      <alignment horizontal="right"/>
    </xf>
    <xf numFmtId="0" fontId="4" fillId="0" borderId="0" xfId="1" applyFont="1" applyFill="1" applyBorder="1"/>
    <xf numFmtId="0" fontId="4" fillId="0" borderId="0" xfId="1" applyFont="1" applyFill="1" applyBorder="1" applyAlignment="1"/>
    <xf numFmtId="0" fontId="4" fillId="0" borderId="0" xfId="1" applyFont="1" applyFill="1" applyBorder="1" applyAlignment="1">
      <alignment horizontal="left" indent="1"/>
    </xf>
    <xf numFmtId="0" fontId="4" fillId="0" borderId="0" xfId="1" applyFont="1" applyFill="1" applyBorder="1" applyAlignment="1">
      <alignment horizontal="left" indent="3"/>
    </xf>
    <xf numFmtId="0" fontId="3" fillId="0" borderId="0" xfId="1" applyFont="1" applyFill="1" applyBorder="1" applyAlignment="1">
      <alignment horizontal="left" indent="4"/>
    </xf>
    <xf numFmtId="0" fontId="3" fillId="0" borderId="0" xfId="1" applyFont="1" applyFill="1" applyBorder="1" applyAlignment="1">
      <alignment horizontal="left" indent="6"/>
    </xf>
    <xf numFmtId="165" fontId="3" fillId="0" borderId="0" xfId="1" applyNumberFormat="1" applyFont="1" applyFill="1" applyBorder="1"/>
    <xf numFmtId="0" fontId="3" fillId="0" borderId="0" xfId="1" applyFont="1" applyFill="1" applyBorder="1" applyAlignment="1">
      <alignment wrapText="1"/>
    </xf>
    <xf numFmtId="0" fontId="3" fillId="0" borderId="0" xfId="1" applyFont="1" applyFill="1" applyBorder="1" applyAlignment="1">
      <alignment horizontal="center" wrapText="1"/>
    </xf>
    <xf numFmtId="165" fontId="3" fillId="0" borderId="0" xfId="1" applyNumberFormat="1" applyFont="1" applyFill="1" applyBorder="1" applyAlignment="1"/>
    <xf numFmtId="0" fontId="3" fillId="0" borderId="0" xfId="1" applyFont="1" applyFill="1" applyBorder="1" applyAlignment="1"/>
    <xf numFmtId="165" fontId="3" fillId="0" borderId="0" xfId="19" applyNumberFormat="1" applyFont="1" applyFill="1" applyBorder="1"/>
    <xf numFmtId="0" fontId="3" fillId="0" borderId="0" xfId="1" applyFont="1" applyFill="1" applyBorder="1" applyAlignment="1">
      <alignment horizontal="left" wrapText="1"/>
    </xf>
    <xf numFmtId="0" fontId="3" fillId="0" borderId="0" xfId="1" applyFont="1" applyFill="1" applyBorder="1" applyAlignment="1">
      <alignment horizontal="left" indent="2"/>
    </xf>
    <xf numFmtId="0" fontId="4" fillId="0" borderId="1" xfId="1" applyFont="1" applyFill="1" applyBorder="1"/>
    <xf numFmtId="167" fontId="3" fillId="0" borderId="0" xfId="1" applyNumberFormat="1" applyFont="1" applyFill="1" applyBorder="1"/>
    <xf numFmtId="165" fontId="3" fillId="0" borderId="0" xfId="1" applyNumberFormat="1" applyFont="1" applyFill="1" applyBorder="1" applyAlignment="1">
      <alignment wrapText="1"/>
    </xf>
    <xf numFmtId="0" fontId="14" fillId="0" borderId="0" xfId="1" applyFont="1" applyBorder="1" applyAlignment="1">
      <alignment horizontal="left" indent="2"/>
    </xf>
    <xf numFmtId="0" fontId="3" fillId="0" borderId="0" xfId="1" applyFont="1" applyBorder="1" applyAlignment="1">
      <alignment horizontal="left" wrapText="1"/>
    </xf>
    <xf numFmtId="0" fontId="3" fillId="0" borderId="0" xfId="1" applyFont="1" applyFill="1" applyBorder="1" applyAlignment="1">
      <alignment horizontal="left" wrapText="1"/>
    </xf>
    <xf numFmtId="0" fontId="3" fillId="0" borderId="0" xfId="1" applyFont="1" applyBorder="1" applyAlignment="1">
      <alignment horizontal="left" wrapText="1"/>
    </xf>
    <xf numFmtId="0" fontId="3" fillId="0" borderId="0" xfId="1" applyFont="1" applyFill="1" applyBorder="1" applyAlignment="1">
      <alignment horizontal="left" wrapText="1"/>
    </xf>
    <xf numFmtId="0" fontId="3" fillId="0" borderId="0" xfId="1" applyFont="1" applyFill="1" applyBorder="1" applyAlignment="1">
      <alignment horizontal="left"/>
    </xf>
    <xf numFmtId="0" fontId="3" fillId="0" borderId="0" xfId="1" applyFont="1" applyFill="1" applyBorder="1" applyAlignment="1">
      <alignment horizontal="left" vertical="top" wrapText="1"/>
    </xf>
    <xf numFmtId="0" fontId="3" fillId="0" borderId="0" xfId="1" applyFont="1" applyBorder="1" applyAlignment="1">
      <alignment horizontal="left" wrapText="1"/>
    </xf>
    <xf numFmtId="0" fontId="3" fillId="2" borderId="0" xfId="1" applyFont="1" applyFill="1" applyBorder="1"/>
    <xf numFmtId="165" fontId="4" fillId="3" borderId="0" xfId="3" applyNumberFormat="1" applyFont="1" applyFill="1" applyBorder="1" applyAlignment="1">
      <alignment horizontal="center"/>
    </xf>
  </cellXfs>
  <cellStyles count="21">
    <cellStyle name="Обычный" xfId="0" builtinId="0"/>
    <cellStyle name="Обычный 2" xfId="1"/>
    <cellStyle name="Обычный 2 2" xfId="2"/>
    <cellStyle name="Обычный 2 3" xfId="5"/>
    <cellStyle name="Обычный 3" xfId="4"/>
    <cellStyle name="Обычный 3 2" xfId="6"/>
    <cellStyle name="Обычный 3 3" xfId="7"/>
    <cellStyle name="Обычный 4" xfId="8"/>
    <cellStyle name="Обычный 5" xfId="9"/>
    <cellStyle name="Обычный 6" xfId="10"/>
    <cellStyle name="Обычный 7" xfId="11"/>
    <cellStyle name="Обычный 8" xfId="20"/>
    <cellStyle name="Процентный 2" xfId="12"/>
    <cellStyle name="Финансовый" xfId="19" builtinId="3"/>
    <cellStyle name="Финансовый 2" xfId="13"/>
    <cellStyle name="Финансовый 2 2" xfId="14"/>
    <cellStyle name="Финансовый 3" xfId="15"/>
    <cellStyle name="Финансовый 4" xfId="16"/>
    <cellStyle name="Финансовый 5" xfId="17"/>
    <cellStyle name="Финансовый 6" xfId="18"/>
    <cellStyle name="Финансовый 7"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or1\ds\BOP\COMPMETH\COMMON.OTD\BOPS\BOP0403\BoP0403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P\COMPMETH\COMMON.OTD\BOPS\BOP0403\BoP0403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ior1\ds\BOP\CURRENT\COMMON.OTD\F_TRADE\BOP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P\CURRENT\COMMON.OTD\F_TRADE\BOP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ior1\ds\OLGA\BoP0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LGA\BoP02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FO_NW\VOL1\BOP\COMPMETH\COMMON.OTD\BOPS\BOP0497\BOP0397\RSRU.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ior1\ds\BOP\COMPMETH\COMMON.OTD\BOPS\Bop0402\BoP0402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BOP\COMPMETH\COMMON.OTD\BOPS\Bop0402\BoP0402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heck"/>
      <sheetName val="Control"/>
      <sheetName val="Neutral (cons. 1 col.)"/>
      <sheetName val="Neutral (reg. 1 col.)"/>
      <sheetName val="Mexico new"/>
      <sheetName val="Sectors старая"/>
      <sheetName val="Sectors "/>
      <sheetName val="Finland Mexico"/>
      <sheetName val="BIS и НБС"/>
      <sheetName val="Neutral (Non-CIS, 1 col.)"/>
      <sheetName val="Neutral (CIS, 1 col.)"/>
      <sheetName val="Santos (due)"/>
      <sheetName val="Santos (accrual)"/>
      <sheetName val="Neutral (consol. for IMF)"/>
      <sheetName val="BOPForm"/>
      <sheetName val="Expt. Fin."/>
      <sheetName val="Belorus"/>
      <sheetName val="Goods"/>
      <sheetName val="Services"/>
      <sheetName val="Income"/>
      <sheetName val="Transfers"/>
      <sheetName val="Direct and Derivatives"/>
      <sheetName val="2AP"/>
      <sheetName val="Banks (f. 401)"/>
      <sheetName val="Portfolio"/>
      <sheetName val="Bonds"/>
      <sheetName val="Cash flows"/>
      <sheetName val="Cash and deposits"/>
      <sheetName val="Loans"/>
      <sheetName val="Arrears"/>
      <sheetName val="Actual payments"/>
      <sheetName val="Cash Debt Service (loans)"/>
      <sheetName val="Cash Debt Service"/>
      <sheetName val="Trade Credits, Adjustment"/>
      <sheetName val="Other investment, other"/>
    </sheetNames>
    <sheetDataSet>
      <sheetData sheetId="0"/>
      <sheetData sheetId="1">
        <row r="2">
          <cell r="B2">
            <v>1</v>
          </cell>
          <cell r="E2">
            <v>1</v>
          </cell>
          <cell r="F2">
            <v>1</v>
          </cell>
          <cell r="G2">
            <v>1</v>
          </cell>
          <cell r="H2">
            <v>1</v>
          </cell>
          <cell r="I2">
            <v>1</v>
          </cell>
          <cell r="J2">
            <v>1</v>
          </cell>
          <cell r="K2">
            <v>1</v>
          </cell>
        </row>
        <row r="3">
          <cell r="E3">
            <v>1</v>
          </cell>
          <cell r="F3">
            <v>1</v>
          </cell>
          <cell r="G3">
            <v>1</v>
          </cell>
          <cell r="H3">
            <v>1</v>
          </cell>
          <cell r="I3">
            <v>1</v>
          </cell>
          <cell r="J3">
            <v>1</v>
          </cell>
          <cell r="K3">
            <v>1</v>
          </cell>
        </row>
        <row r="4">
          <cell r="F4">
            <v>1</v>
          </cell>
          <cell r="G4">
            <v>1</v>
          </cell>
          <cell r="H4">
            <v>1</v>
          </cell>
          <cell r="I4">
            <v>1</v>
          </cell>
          <cell r="J4">
            <v>1</v>
          </cell>
          <cell r="K4">
            <v>1</v>
          </cell>
        </row>
        <row r="5">
          <cell r="F5">
            <v>1</v>
          </cell>
          <cell r="G5">
            <v>1</v>
          </cell>
          <cell r="H5">
            <v>1</v>
          </cell>
          <cell r="I5">
            <v>1</v>
          </cell>
          <cell r="J5">
            <v>1</v>
          </cell>
          <cell r="K5">
            <v>1</v>
          </cell>
        </row>
        <row r="8">
          <cell r="B8">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heck"/>
      <sheetName val="Control"/>
      <sheetName val="Neutral (cons. 1 col.)"/>
      <sheetName val="Neutral (reg. 1 col.)"/>
      <sheetName val="Mexico new"/>
      <sheetName val="Sectors старая"/>
      <sheetName val="Sectors "/>
      <sheetName val="Finland Mexico"/>
      <sheetName val="BIS и НБС"/>
      <sheetName val="Neutral (Non-CIS, 1 col.)"/>
      <sheetName val="Neutral (CIS, 1 col.)"/>
      <sheetName val="Santos (due)"/>
      <sheetName val="Santos (accrual)"/>
      <sheetName val="Neutral (consol. for IMF)"/>
      <sheetName val="BOPForm"/>
      <sheetName val="Expt. Fin."/>
      <sheetName val="Belorus"/>
      <sheetName val="Goods"/>
      <sheetName val="Services"/>
      <sheetName val="Income"/>
      <sheetName val="Transfers"/>
      <sheetName val="Direct and Derivatives"/>
      <sheetName val="2AP"/>
      <sheetName val="Banks (f. 401)"/>
      <sheetName val="Portfolio"/>
      <sheetName val="Bonds"/>
      <sheetName val="Cash flows"/>
      <sheetName val="Cash and deposits"/>
      <sheetName val="Loans"/>
      <sheetName val="Arrears"/>
      <sheetName val="Actual payments"/>
      <sheetName val="Cash Debt Service (loans)"/>
      <sheetName val="Cash Debt Service"/>
      <sheetName val="Trade Credits, Adjustment"/>
      <sheetName val="Other investment, other"/>
    </sheetNames>
    <sheetDataSet>
      <sheetData sheetId="0"/>
      <sheetData sheetId="1">
        <row r="2">
          <cell r="B2">
            <v>1</v>
          </cell>
          <cell r="E2">
            <v>1</v>
          </cell>
          <cell r="F2">
            <v>1</v>
          </cell>
          <cell r="G2">
            <v>1</v>
          </cell>
          <cell r="H2">
            <v>1</v>
          </cell>
          <cell r="I2">
            <v>1</v>
          </cell>
          <cell r="J2">
            <v>1</v>
          </cell>
          <cell r="K2">
            <v>1</v>
          </cell>
        </row>
        <row r="3">
          <cell r="E3">
            <v>1</v>
          </cell>
          <cell r="F3">
            <v>1</v>
          </cell>
          <cell r="G3">
            <v>1</v>
          </cell>
          <cell r="H3">
            <v>1</v>
          </cell>
          <cell r="I3">
            <v>1</v>
          </cell>
          <cell r="J3">
            <v>1</v>
          </cell>
          <cell r="K3">
            <v>1</v>
          </cell>
        </row>
        <row r="4">
          <cell r="F4">
            <v>1</v>
          </cell>
          <cell r="G4">
            <v>1</v>
          </cell>
          <cell r="H4">
            <v>1</v>
          </cell>
          <cell r="I4">
            <v>1</v>
          </cell>
          <cell r="J4">
            <v>1</v>
          </cell>
          <cell r="K4">
            <v>1</v>
          </cell>
        </row>
        <row r="5">
          <cell r="F5">
            <v>1</v>
          </cell>
          <cell r="G5">
            <v>1</v>
          </cell>
          <cell r="H5">
            <v>1</v>
          </cell>
          <cell r="I5">
            <v>1</v>
          </cell>
          <cell r="J5">
            <v>1</v>
          </cell>
          <cell r="K5">
            <v>1</v>
          </cell>
        </row>
        <row r="8">
          <cell r="B8">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s>
    <sheetDataSet>
      <sheetData sheetId="0" refreshError="1">
        <row r="2">
          <cell r="C2">
            <v>1</v>
          </cell>
        </row>
        <row r="3">
          <cell r="C3">
            <v>1</v>
          </cell>
        </row>
        <row r="4">
          <cell r="C4">
            <v>0</v>
          </cell>
        </row>
        <row r="5">
          <cell r="C5">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s>
    <sheetDataSet>
      <sheetData sheetId="0" refreshError="1">
        <row r="2">
          <cell r="C2">
            <v>1</v>
          </cell>
        </row>
        <row r="3">
          <cell r="C3">
            <v>1</v>
          </cell>
        </row>
        <row r="4">
          <cell r="C4">
            <v>0</v>
          </cell>
        </row>
        <row r="5">
          <cell r="C5">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heck"/>
      <sheetName val="Control"/>
      <sheetName val="Neutral (cons. 1 col.)"/>
      <sheetName val="Neutral (reg. 1 col.)"/>
      <sheetName val="Mexico new"/>
      <sheetName val="Sectors (bln)"/>
      <sheetName val="Лист1"/>
      <sheetName val="Sectors"/>
      <sheetName val="Mexico"/>
      <sheetName val="Finland"/>
      <sheetName val="Finland Mexico"/>
      <sheetName val="BIS"/>
      <sheetName val="Neutral (Non-CIS, 1 col.)"/>
      <sheetName val="Neutral (CIS, 1 col.)"/>
      <sheetName val="Cash"/>
      <sheetName val="Cash primary"/>
      <sheetName val="Santos (due)"/>
      <sheetName val="Santos (accrual)"/>
      <sheetName val="Neutral (consol. for IMF)"/>
      <sheetName val="BOPForm"/>
      <sheetName val="Expt. Fin."/>
      <sheetName val="Belorus"/>
      <sheetName val="Goods"/>
      <sheetName val="Services"/>
      <sheetName val="Income"/>
      <sheetName val="Transfers"/>
      <sheetName val="Direct"/>
      <sheetName val="2AP"/>
      <sheetName val="Banks (f. 401)"/>
      <sheetName val="Portfolio"/>
      <sheetName val="Bonds"/>
      <sheetName val="Cash flows"/>
      <sheetName val="Cash and deposits"/>
      <sheetName val="Loans"/>
      <sheetName val="Arrears"/>
      <sheetName val="Actual payments"/>
      <sheetName val="Cash Debt Service (loans)"/>
      <sheetName val="Cash Debt Service"/>
      <sheetName val="Trade Credits, Adjustment"/>
      <sheetName val="Other investment, other"/>
    </sheetNames>
    <sheetDataSet>
      <sheetData sheetId="0"/>
      <sheetData sheetId="1" refreshError="1">
        <row r="2">
          <cell r="B2">
            <v>1</v>
          </cell>
          <cell r="J2">
            <v>1</v>
          </cell>
        </row>
        <row r="3">
          <cell r="I3">
            <v>1</v>
          </cell>
          <cell r="J3">
            <v>1</v>
          </cell>
        </row>
        <row r="4">
          <cell r="H4">
            <v>1</v>
          </cell>
          <cell r="J4">
            <v>0</v>
          </cell>
        </row>
        <row r="5">
          <cell r="H5">
            <v>1</v>
          </cell>
          <cell r="I5">
            <v>1</v>
          </cell>
          <cell r="J5">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heck"/>
      <sheetName val="Control"/>
      <sheetName val="Neutral (cons. 1 col.)"/>
      <sheetName val="Neutral (reg. 1 col.)"/>
      <sheetName val="Mexico new"/>
      <sheetName val="Sectors (bln)"/>
      <sheetName val="Лист1"/>
      <sheetName val="Sectors"/>
      <sheetName val="Mexico"/>
      <sheetName val="Finland"/>
      <sheetName val="Finland Mexico"/>
      <sheetName val="BIS"/>
      <sheetName val="Neutral (Non-CIS, 1 col.)"/>
      <sheetName val="Neutral (CIS, 1 col.)"/>
      <sheetName val="Cash"/>
      <sheetName val="Cash primary"/>
      <sheetName val="Santos (due)"/>
      <sheetName val="Santos (accrual)"/>
      <sheetName val="Neutral (consol. for IMF)"/>
      <sheetName val="BOPForm"/>
      <sheetName val="Expt. Fin."/>
      <sheetName val="Belorus"/>
      <sheetName val="Goods"/>
      <sheetName val="Services"/>
      <sheetName val="Income"/>
      <sheetName val="Transfers"/>
      <sheetName val="Direct"/>
      <sheetName val="2AP"/>
      <sheetName val="Banks (f. 401)"/>
      <sheetName val="Portfolio"/>
      <sheetName val="Bonds"/>
      <sheetName val="Cash flows"/>
      <sheetName val="Cash and deposits"/>
      <sheetName val="Loans"/>
      <sheetName val="Arrears"/>
      <sheetName val="Actual payments"/>
      <sheetName val="Cash Debt Service (loans)"/>
      <sheetName val="Cash Debt Service"/>
      <sheetName val="Trade Credits, Adjustment"/>
      <sheetName val="Other investment, other"/>
    </sheetNames>
    <sheetDataSet>
      <sheetData sheetId="0"/>
      <sheetData sheetId="1" refreshError="1">
        <row r="2">
          <cell r="B2">
            <v>1</v>
          </cell>
          <cell r="J2">
            <v>1</v>
          </cell>
        </row>
        <row r="3">
          <cell r="I3">
            <v>1</v>
          </cell>
          <cell r="J3">
            <v>1</v>
          </cell>
        </row>
        <row r="4">
          <cell r="H4">
            <v>1</v>
          </cell>
          <cell r="J4">
            <v>0</v>
          </cell>
        </row>
        <row r="5">
          <cell r="H5">
            <v>1</v>
          </cell>
          <cell r="I5">
            <v>1</v>
          </cell>
          <cell r="J5">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0296"/>
      <sheetName val="R0396"/>
      <sheetName val="R0496"/>
      <sheetName val="R0197"/>
      <sheetName val="Reserve pres."/>
      <sheetName val="Reserve_pres_"/>
    </sheetNames>
    <sheetDataSet>
      <sheetData sheetId="0" refreshError="1"/>
      <sheetData sheetId="1" refreshError="1"/>
      <sheetData sheetId="2" refreshError="1"/>
      <sheetData sheetId="3" refreshError="1"/>
      <sheetData sheetId="4" refreshError="1">
        <row r="47">
          <cell r="E47">
            <v>1</v>
          </cell>
        </row>
        <row r="48">
          <cell r="E48">
            <v>1</v>
          </cell>
        </row>
      </sheetData>
      <sheetData sheetId="5">
        <row r="47">
          <cell r="E47">
            <v>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heck"/>
      <sheetName val="Control"/>
      <sheetName val="Neutral (cons. 1 col.)"/>
      <sheetName val="Neutral (reg. 1 col.)"/>
      <sheetName val="Mexico new"/>
      <sheetName val="НБС"/>
      <sheetName val="Sectors (bln)"/>
      <sheetName val="Лист1"/>
      <sheetName val="Sectors"/>
      <sheetName val="Sectors (2)"/>
      <sheetName val="Finland"/>
      <sheetName val="Finland Mexico"/>
      <sheetName val="BIS"/>
      <sheetName val="Neutral (Non-CIS, 1 col.)"/>
      <sheetName val="Neutral (CIS, 1 col.)"/>
      <sheetName val="Santos (due)"/>
      <sheetName val="Santos (accrual)"/>
      <sheetName val="Neutral (consol. for IMF)"/>
      <sheetName val="BOPForm"/>
      <sheetName val="Expt. Fin."/>
      <sheetName val="Belorus"/>
      <sheetName val="Goods"/>
      <sheetName val="Services"/>
      <sheetName val="Income"/>
      <sheetName val="Transfers"/>
      <sheetName val="Direct"/>
      <sheetName val="2AP"/>
      <sheetName val="Banks (f. 401)"/>
      <sheetName val="Portfolio"/>
      <sheetName val="Bonds"/>
      <sheetName val="Cash flows"/>
      <sheetName val="Cash and deposits"/>
      <sheetName val="Loans"/>
      <sheetName val="Arrears"/>
      <sheetName val="Actual payments"/>
      <sheetName val="Cash Debt Service (loans)"/>
      <sheetName val="Cash Debt Service"/>
      <sheetName val="Trade Credits, Adjustment"/>
      <sheetName val="Other investment, other"/>
    </sheetNames>
    <sheetDataSet>
      <sheetData sheetId="0"/>
      <sheetData sheetId="1" refreshError="1">
        <row r="2">
          <cell r="C2">
            <v>1</v>
          </cell>
          <cell r="E2">
            <v>1</v>
          </cell>
          <cell r="F2">
            <v>1</v>
          </cell>
          <cell r="G2">
            <v>1</v>
          </cell>
        </row>
        <row r="3">
          <cell r="E3">
            <v>1</v>
          </cell>
          <cell r="F3">
            <v>1</v>
          </cell>
          <cell r="G3">
            <v>1</v>
          </cell>
        </row>
        <row r="4">
          <cell r="F4">
            <v>1</v>
          </cell>
          <cell r="G4">
            <v>1</v>
          </cell>
        </row>
        <row r="5">
          <cell r="F5">
            <v>1</v>
          </cell>
          <cell r="G5">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heck"/>
      <sheetName val="Control"/>
      <sheetName val="Neutral (cons. 1 col.)"/>
      <sheetName val="Neutral (reg. 1 col.)"/>
      <sheetName val="Mexico new"/>
      <sheetName val="НБС"/>
      <sheetName val="Sectors (bln)"/>
      <sheetName val="Лист1"/>
      <sheetName val="Sectors"/>
      <sheetName val="Sectors (2)"/>
      <sheetName val="Finland"/>
      <sheetName val="Finland Mexico"/>
      <sheetName val="BIS"/>
      <sheetName val="Neutral (Non-CIS, 1 col.)"/>
      <sheetName val="Neutral (CIS, 1 col.)"/>
      <sheetName val="Santos (due)"/>
      <sheetName val="Santos (accrual)"/>
      <sheetName val="Neutral (consol. for IMF)"/>
      <sheetName val="BOPForm"/>
      <sheetName val="Expt. Fin."/>
      <sheetName val="Belorus"/>
      <sheetName val="Goods"/>
      <sheetName val="Services"/>
      <sheetName val="Income"/>
      <sheetName val="Transfers"/>
      <sheetName val="Direct"/>
      <sheetName val="2AP"/>
      <sheetName val="Banks (f. 401)"/>
      <sheetName val="Portfolio"/>
      <sheetName val="Bonds"/>
      <sheetName val="Cash flows"/>
      <sheetName val="Cash and deposits"/>
      <sheetName val="Loans"/>
      <sheetName val="Arrears"/>
      <sheetName val="Actual payments"/>
      <sheetName val="Cash Debt Service (loans)"/>
      <sheetName val="Cash Debt Service"/>
      <sheetName val="Trade Credits, Adjustment"/>
      <sheetName val="Other investment, other"/>
    </sheetNames>
    <sheetDataSet>
      <sheetData sheetId="0"/>
      <sheetData sheetId="1" refreshError="1">
        <row r="2">
          <cell r="C2">
            <v>1</v>
          </cell>
          <cell r="E2">
            <v>1</v>
          </cell>
          <cell r="F2">
            <v>1</v>
          </cell>
          <cell r="G2">
            <v>1</v>
          </cell>
        </row>
        <row r="3">
          <cell r="E3">
            <v>1</v>
          </cell>
          <cell r="F3">
            <v>1</v>
          </cell>
          <cell r="G3">
            <v>1</v>
          </cell>
        </row>
        <row r="4">
          <cell r="F4">
            <v>1</v>
          </cell>
          <cell r="G4">
            <v>1</v>
          </cell>
        </row>
        <row r="5">
          <cell r="F5">
            <v>1</v>
          </cell>
          <cell r="G5">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44"/>
  <sheetViews>
    <sheetView zoomScale="70" zoomScaleNormal="70" zoomScaleSheetLayoutView="90" workbookViewId="0">
      <pane xSplit="1" ySplit="5" topLeftCell="AX6" activePane="bottomRight" state="frozen"/>
      <selection activeCell="A44" sqref="A44"/>
      <selection pane="topRight" activeCell="A44" sqref="A44"/>
      <selection pane="bottomLeft" activeCell="A44" sqref="A44"/>
      <selection pane="bottomRight" activeCell="BB5" sqref="BB5"/>
    </sheetView>
  </sheetViews>
  <sheetFormatPr defaultColWidth="9.1796875" defaultRowHeight="18" x14ac:dyDescent="0.4"/>
  <cols>
    <col min="1" max="1" width="91.1796875" style="24" customWidth="1"/>
    <col min="2" max="7" width="16.7265625" style="24" bestFit="1" customWidth="1"/>
    <col min="8" max="11" width="18.26953125" style="24" bestFit="1" customWidth="1"/>
    <col min="12" max="12" width="18.26953125" style="26" bestFit="1" customWidth="1"/>
    <col min="13" max="54" width="18.26953125" style="24" bestFit="1" customWidth="1"/>
    <col min="55" max="16384" width="9.1796875" style="24"/>
  </cols>
  <sheetData>
    <row r="1" spans="1:54" x14ac:dyDescent="0.4">
      <c r="D1" s="29"/>
    </row>
    <row r="2" spans="1:54" x14ac:dyDescent="0.4">
      <c r="A2" s="30" t="s">
        <v>20</v>
      </c>
    </row>
    <row r="3" spans="1:54" x14ac:dyDescent="0.4">
      <c r="A3" s="24" t="s">
        <v>0</v>
      </c>
    </row>
    <row r="4" spans="1:54" x14ac:dyDescent="0.4">
      <c r="A4" s="30" t="s">
        <v>1</v>
      </c>
    </row>
    <row r="5" spans="1:54" s="5" customFormat="1" ht="17.5" x14ac:dyDescent="0.35">
      <c r="B5" s="5">
        <v>41275</v>
      </c>
      <c r="C5" s="5">
        <v>41365</v>
      </c>
      <c r="D5" s="5">
        <v>41456</v>
      </c>
      <c r="E5" s="5">
        <v>41548</v>
      </c>
      <c r="F5" s="5">
        <v>41640</v>
      </c>
      <c r="G5" s="5">
        <v>41730</v>
      </c>
      <c r="H5" s="5">
        <v>41821</v>
      </c>
      <c r="I5" s="5">
        <v>41913</v>
      </c>
      <c r="J5" s="5">
        <v>42005</v>
      </c>
      <c r="K5" s="5">
        <v>42095</v>
      </c>
      <c r="L5" s="5">
        <v>42186</v>
      </c>
      <c r="M5" s="5">
        <v>42278</v>
      </c>
      <c r="N5" s="5">
        <v>42370</v>
      </c>
      <c r="O5" s="5">
        <v>42461</v>
      </c>
      <c r="P5" s="5">
        <v>42552</v>
      </c>
      <c r="Q5" s="5">
        <v>42644</v>
      </c>
      <c r="R5" s="5">
        <v>42736</v>
      </c>
      <c r="S5" s="5">
        <v>42826</v>
      </c>
      <c r="T5" s="5">
        <v>42917</v>
      </c>
      <c r="U5" s="5">
        <v>43009</v>
      </c>
      <c r="V5" s="5">
        <v>43101</v>
      </c>
      <c r="W5" s="5">
        <v>43191</v>
      </c>
      <c r="X5" s="5">
        <v>43282</v>
      </c>
      <c r="Y5" s="5">
        <v>43374</v>
      </c>
      <c r="Z5" s="5" t="s">
        <v>28</v>
      </c>
      <c r="AA5" s="5">
        <v>43556</v>
      </c>
      <c r="AB5" s="5">
        <v>43647</v>
      </c>
      <c r="AC5" s="5">
        <v>43739</v>
      </c>
      <c r="AD5" s="5">
        <v>43831</v>
      </c>
      <c r="AE5" s="5">
        <v>43922</v>
      </c>
      <c r="AF5" s="5">
        <v>44013</v>
      </c>
      <c r="AG5" s="5">
        <v>44105</v>
      </c>
      <c r="AH5" s="5">
        <v>44197</v>
      </c>
      <c r="AI5" s="5">
        <v>44287</v>
      </c>
      <c r="AJ5" s="5">
        <v>44378</v>
      </c>
      <c r="AK5" s="5">
        <v>44470</v>
      </c>
      <c r="AL5" s="5">
        <v>44562</v>
      </c>
      <c r="AM5" s="5">
        <v>44652</v>
      </c>
      <c r="AN5" s="5">
        <v>44743</v>
      </c>
      <c r="AO5" s="5">
        <v>44835</v>
      </c>
      <c r="AP5" s="5">
        <v>44927</v>
      </c>
      <c r="AQ5" s="5">
        <v>45017</v>
      </c>
      <c r="AR5" s="5">
        <v>45108</v>
      </c>
      <c r="AS5" s="5">
        <v>45200</v>
      </c>
      <c r="AT5" s="5">
        <v>45292</v>
      </c>
      <c r="AU5" s="5">
        <v>45383</v>
      </c>
      <c r="AV5" s="5">
        <v>45474</v>
      </c>
      <c r="AW5" s="5">
        <v>45566</v>
      </c>
      <c r="AX5" s="5">
        <v>45658</v>
      </c>
      <c r="AY5" s="5">
        <v>45748</v>
      </c>
      <c r="AZ5" s="5">
        <v>45839</v>
      </c>
      <c r="BA5" s="5">
        <v>45931</v>
      </c>
      <c r="BB5" s="5">
        <v>46023</v>
      </c>
    </row>
    <row r="6" spans="1:54" x14ac:dyDescent="0.4">
      <c r="A6" s="31" t="s">
        <v>18</v>
      </c>
      <c r="L6" s="24"/>
      <c r="AF6" s="22"/>
      <c r="AG6" s="26"/>
      <c r="AH6" s="22"/>
      <c r="AI6" s="22"/>
      <c r="AJ6" s="22"/>
    </row>
    <row r="7" spans="1:54" x14ac:dyDescent="0.4">
      <c r="A7" s="32" t="s">
        <v>2</v>
      </c>
      <c r="B7" s="22">
        <v>8516504</v>
      </c>
      <c r="C7" s="22">
        <v>8613445</v>
      </c>
      <c r="D7" s="22">
        <v>8913700</v>
      </c>
      <c r="E7" s="22">
        <v>9286909</v>
      </c>
      <c r="F7" s="22">
        <v>9779946</v>
      </c>
      <c r="G7" s="22">
        <v>9955872</v>
      </c>
      <c r="H7" s="22">
        <v>10060011</v>
      </c>
      <c r="I7" s="22">
        <v>10296614</v>
      </c>
      <c r="J7" s="22">
        <v>12237465</v>
      </c>
      <c r="K7" s="22">
        <v>12555631</v>
      </c>
      <c r="L7" s="22">
        <v>12883426</v>
      </c>
      <c r="M7" s="22">
        <v>13064426</v>
      </c>
      <c r="N7" s="22">
        <v>13600298</v>
      </c>
      <c r="O7" s="22">
        <v>13669956</v>
      </c>
      <c r="P7" s="22">
        <v>14264113</v>
      </c>
      <c r="Q7" s="22">
        <v>14479652</v>
      </c>
      <c r="R7" s="22">
        <v>15616388</v>
      </c>
      <c r="S7" s="22">
        <v>16197232</v>
      </c>
      <c r="T7" s="22">
        <v>16941460</v>
      </c>
      <c r="U7" s="22">
        <v>17847276</v>
      </c>
      <c r="V7" s="22">
        <v>19144405</v>
      </c>
      <c r="W7" s="22">
        <v>20235101</v>
      </c>
      <c r="X7" s="22">
        <v>20465232</v>
      </c>
      <c r="Y7" s="22">
        <v>20991227</v>
      </c>
      <c r="Z7" s="22">
        <v>21227588</v>
      </c>
      <c r="AA7" s="22">
        <v>21908808</v>
      </c>
      <c r="AB7" s="22">
        <v>23182889</v>
      </c>
      <c r="AC7" s="22">
        <v>22978950</v>
      </c>
      <c r="AD7" s="22">
        <v>25070699</v>
      </c>
      <c r="AE7" s="22">
        <v>25633288</v>
      </c>
      <c r="AF7" s="22">
        <v>25715007</v>
      </c>
      <c r="AG7" s="22">
        <v>27474233</v>
      </c>
      <c r="AH7" s="22">
        <v>31557716</v>
      </c>
      <c r="AI7" s="22">
        <v>32049396</v>
      </c>
      <c r="AJ7" s="22">
        <v>32805309</v>
      </c>
      <c r="AK7" s="22">
        <v>33891217</v>
      </c>
      <c r="AL7" s="22">
        <v>33895352</v>
      </c>
      <c r="AM7" s="22">
        <v>33712879</v>
      </c>
      <c r="AN7" s="22">
        <v>33186753</v>
      </c>
      <c r="AO7" s="22">
        <v>33644123</v>
      </c>
      <c r="AP7" s="22">
        <v>38196529</v>
      </c>
      <c r="AQ7" s="22">
        <v>39686752</v>
      </c>
      <c r="AR7" s="22">
        <v>41532038</v>
      </c>
      <c r="AS7" s="22">
        <v>43293476</v>
      </c>
      <c r="AT7" s="22">
        <v>45350008</v>
      </c>
      <c r="AU7" s="22">
        <v>46859535</v>
      </c>
      <c r="AV7" s="22">
        <v>47485869</v>
      </c>
      <c r="AW7" s="22">
        <v>49734403</v>
      </c>
      <c r="AX7" s="22">
        <v>56954626</v>
      </c>
      <c r="AY7" s="22">
        <v>57945806</v>
      </c>
      <c r="AZ7" s="22">
        <v>60519471</v>
      </c>
      <c r="BA7" s="22">
        <v>63791443</v>
      </c>
      <c r="BB7" s="22">
        <v>68005551</v>
      </c>
    </row>
    <row r="8" spans="1:54" x14ac:dyDescent="0.4">
      <c r="A8" s="33" t="s">
        <v>13</v>
      </c>
      <c r="B8" s="22">
        <v>13000</v>
      </c>
      <c r="C8" s="22">
        <v>15000</v>
      </c>
      <c r="D8" s="22">
        <v>15000</v>
      </c>
      <c r="E8" s="22">
        <v>15000</v>
      </c>
      <c r="F8" s="22">
        <v>2000</v>
      </c>
      <c r="G8" s="22">
        <v>873</v>
      </c>
      <c r="H8" s="22">
        <v>15873</v>
      </c>
      <c r="I8" s="22">
        <v>15873</v>
      </c>
      <c r="J8" s="22">
        <v>0</v>
      </c>
      <c r="K8" s="22">
        <v>0</v>
      </c>
      <c r="L8" s="22">
        <v>0</v>
      </c>
      <c r="M8" s="22">
        <v>0</v>
      </c>
      <c r="N8" s="22">
        <v>0</v>
      </c>
      <c r="O8" s="22">
        <v>3000</v>
      </c>
      <c r="P8" s="22">
        <v>3010</v>
      </c>
      <c r="Q8" s="22">
        <v>3416</v>
      </c>
      <c r="R8" s="22">
        <v>4086</v>
      </c>
      <c r="S8" s="22">
        <v>71413</v>
      </c>
      <c r="T8" s="22">
        <v>81738</v>
      </c>
      <c r="U8" s="22">
        <v>165588</v>
      </c>
      <c r="V8" s="22">
        <v>399890</v>
      </c>
      <c r="W8" s="22">
        <v>1225796</v>
      </c>
      <c r="X8" s="22">
        <v>1196256</v>
      </c>
      <c r="Y8" s="22">
        <v>1540427</v>
      </c>
      <c r="Z8" s="22">
        <v>1396218</v>
      </c>
      <c r="AA8" s="22">
        <v>1537398</v>
      </c>
      <c r="AB8" s="22">
        <v>1814693</v>
      </c>
      <c r="AC8" s="22">
        <v>981499</v>
      </c>
      <c r="AD8" s="22">
        <v>2115601</v>
      </c>
      <c r="AE8" s="22">
        <v>1713463</v>
      </c>
      <c r="AF8" s="25">
        <v>871475</v>
      </c>
      <c r="AG8" s="22">
        <v>958202</v>
      </c>
      <c r="AH8" s="22">
        <v>707112</v>
      </c>
      <c r="AI8" s="22">
        <v>756482</v>
      </c>
      <c r="AJ8" s="22">
        <v>723835</v>
      </c>
      <c r="AK8" s="22">
        <v>691104</v>
      </c>
      <c r="AL8" s="22">
        <v>154503</v>
      </c>
      <c r="AM8" s="22">
        <v>147605</v>
      </c>
      <c r="AN8" s="22">
        <v>139711</v>
      </c>
      <c r="AO8" s="22">
        <v>234748</v>
      </c>
      <c r="AP8" s="22">
        <v>208173</v>
      </c>
      <c r="AQ8" s="22">
        <v>196119</v>
      </c>
      <c r="AR8" s="22">
        <v>154967</v>
      </c>
      <c r="AS8" s="22">
        <v>296876</v>
      </c>
      <c r="AT8" s="22">
        <v>347640</v>
      </c>
      <c r="AU8" s="22">
        <v>461426</v>
      </c>
      <c r="AV8" s="22">
        <v>446933</v>
      </c>
      <c r="AW8" s="22">
        <v>348862</v>
      </c>
      <c r="AX8" s="22">
        <v>411058</v>
      </c>
      <c r="AY8" s="22">
        <v>460775</v>
      </c>
      <c r="AZ8" s="22">
        <v>487419</v>
      </c>
      <c r="BA8" s="22">
        <v>553905</v>
      </c>
      <c r="BB8" s="22">
        <v>492925</v>
      </c>
    </row>
    <row r="9" spans="1:54" x14ac:dyDescent="0.4">
      <c r="A9" s="33" t="s">
        <v>14</v>
      </c>
      <c r="B9" s="22">
        <v>8503504</v>
      </c>
      <c r="C9" s="22">
        <v>8598445</v>
      </c>
      <c r="D9" s="22">
        <v>8898700</v>
      </c>
      <c r="E9" s="22">
        <v>9271909</v>
      </c>
      <c r="F9" s="22">
        <v>9777946</v>
      </c>
      <c r="G9" s="22">
        <v>9954999</v>
      </c>
      <c r="H9" s="22">
        <v>10044138</v>
      </c>
      <c r="I9" s="22">
        <v>10280741</v>
      </c>
      <c r="J9" s="22">
        <v>12237465</v>
      </c>
      <c r="K9" s="22">
        <v>12555631</v>
      </c>
      <c r="L9" s="22">
        <v>12883426</v>
      </c>
      <c r="M9" s="22">
        <v>13064426</v>
      </c>
      <c r="N9" s="22">
        <v>13600298</v>
      </c>
      <c r="O9" s="22">
        <v>13666956</v>
      </c>
      <c r="P9" s="22">
        <v>14261103</v>
      </c>
      <c r="Q9" s="22">
        <v>14476237</v>
      </c>
      <c r="R9" s="22">
        <v>15612302</v>
      </c>
      <c r="S9" s="22">
        <v>16125819</v>
      </c>
      <c r="T9" s="22">
        <v>16859722</v>
      </c>
      <c r="U9" s="22">
        <v>17681688</v>
      </c>
      <c r="V9" s="22">
        <v>18744515</v>
      </c>
      <c r="W9" s="22">
        <v>19009304</v>
      </c>
      <c r="X9" s="22">
        <v>19268976</v>
      </c>
      <c r="Y9" s="22">
        <v>19450800</v>
      </c>
      <c r="Z9" s="22">
        <v>19831370</v>
      </c>
      <c r="AA9" s="22">
        <v>20371410</v>
      </c>
      <c r="AB9" s="22">
        <v>21368196</v>
      </c>
      <c r="AC9" s="22">
        <v>21997452</v>
      </c>
      <c r="AD9" s="22">
        <v>22955098</v>
      </c>
      <c r="AE9" s="22">
        <v>23919825</v>
      </c>
      <c r="AF9" s="25">
        <v>24843532</v>
      </c>
      <c r="AG9" s="22">
        <v>26516032</v>
      </c>
      <c r="AH9" s="22">
        <v>30850604</v>
      </c>
      <c r="AI9" s="22">
        <v>31292914</v>
      </c>
      <c r="AJ9" s="22">
        <v>32081473</v>
      </c>
      <c r="AK9" s="22">
        <v>33200113</v>
      </c>
      <c r="AL9" s="22">
        <v>33740849</v>
      </c>
      <c r="AM9" s="22">
        <v>33565274</v>
      </c>
      <c r="AN9" s="22">
        <v>33047042</v>
      </c>
      <c r="AO9" s="22">
        <v>33409375</v>
      </c>
      <c r="AP9" s="22">
        <v>37988356</v>
      </c>
      <c r="AQ9" s="22">
        <v>39490634</v>
      </c>
      <c r="AR9" s="22">
        <v>41377071</v>
      </c>
      <c r="AS9" s="22">
        <v>42996601</v>
      </c>
      <c r="AT9" s="22">
        <v>45002368</v>
      </c>
      <c r="AU9" s="22">
        <v>46398109</v>
      </c>
      <c r="AV9" s="22">
        <v>47038936</v>
      </c>
      <c r="AW9" s="22">
        <v>49385541</v>
      </c>
      <c r="AX9" s="22">
        <v>56543568</v>
      </c>
      <c r="AY9" s="22">
        <v>57485031</v>
      </c>
      <c r="AZ9" s="22">
        <v>60032052</v>
      </c>
      <c r="BA9" s="22">
        <v>63237538</v>
      </c>
      <c r="BB9" s="22">
        <v>67512626</v>
      </c>
    </row>
    <row r="10" spans="1:54" x14ac:dyDescent="0.4">
      <c r="A10" s="33" t="s">
        <v>27</v>
      </c>
      <c r="B10" s="22"/>
      <c r="C10" s="22"/>
      <c r="D10" s="22"/>
      <c r="E10" s="22"/>
      <c r="F10" s="22"/>
      <c r="G10" s="22"/>
      <c r="H10" s="22"/>
      <c r="I10" s="22"/>
      <c r="J10" s="22"/>
      <c r="K10" s="22"/>
      <c r="L10" s="22"/>
      <c r="M10" s="22"/>
      <c r="N10" s="22"/>
      <c r="O10" s="22"/>
      <c r="P10" s="22"/>
      <c r="Q10" s="22"/>
      <c r="R10" s="22"/>
      <c r="S10" s="22"/>
      <c r="T10" s="22"/>
      <c r="U10" s="22"/>
      <c r="V10" s="22"/>
      <c r="W10" s="22"/>
      <c r="X10" s="22"/>
      <c r="Y10" s="22"/>
      <c r="Z10" s="22">
        <v>1222726</v>
      </c>
      <c r="AA10" s="22">
        <v>1401520</v>
      </c>
      <c r="AB10" s="22">
        <v>1478618</v>
      </c>
      <c r="AC10" s="22">
        <v>1431756</v>
      </c>
      <c r="AD10" s="22">
        <v>1768259</v>
      </c>
      <c r="AE10" s="22">
        <v>2171695</v>
      </c>
      <c r="AF10" s="25">
        <v>2410824</v>
      </c>
      <c r="AG10" s="22">
        <v>2860092</v>
      </c>
      <c r="AH10" s="22">
        <v>2799286</v>
      </c>
      <c r="AI10" s="22">
        <v>2338287</v>
      </c>
      <c r="AJ10" s="22">
        <v>1928866</v>
      </c>
      <c r="AK10" s="22">
        <v>1984694</v>
      </c>
      <c r="AL10" s="22">
        <v>2261708</v>
      </c>
      <c r="AM10" s="22">
        <v>2505181</v>
      </c>
      <c r="AN10" s="22">
        <v>2582574</v>
      </c>
      <c r="AO10" s="22">
        <v>2678935</v>
      </c>
      <c r="AP10" s="22">
        <v>2357902</v>
      </c>
      <c r="AQ10" s="22">
        <v>2588135</v>
      </c>
      <c r="AR10" s="22">
        <v>2888416</v>
      </c>
      <c r="AS10" s="22">
        <v>2976886</v>
      </c>
      <c r="AT10" s="22">
        <v>3451840</v>
      </c>
      <c r="AU10" s="22">
        <v>3738375</v>
      </c>
      <c r="AV10" s="22">
        <v>3584464</v>
      </c>
      <c r="AW10" s="22">
        <v>3852394</v>
      </c>
      <c r="AX10" s="22">
        <v>4559632</v>
      </c>
      <c r="AY10" s="22">
        <v>4468526</v>
      </c>
      <c r="AZ10" s="22">
        <v>5087753</v>
      </c>
      <c r="BA10" s="22">
        <v>5750697</v>
      </c>
      <c r="BB10" s="22">
        <v>5874459</v>
      </c>
    </row>
    <row r="11" spans="1:54" x14ac:dyDescent="0.4">
      <c r="A11" s="33" t="s">
        <v>30</v>
      </c>
      <c r="B11" s="22"/>
      <c r="C11" s="22"/>
      <c r="D11" s="22"/>
      <c r="E11" s="22"/>
      <c r="F11" s="22"/>
      <c r="G11" s="22"/>
      <c r="H11" s="22"/>
      <c r="I11" s="22"/>
      <c r="J11" s="22"/>
      <c r="K11" s="22"/>
      <c r="L11" s="22"/>
      <c r="M11" s="22"/>
      <c r="N11" s="22"/>
      <c r="O11" s="22"/>
      <c r="P11" s="22"/>
      <c r="Q11" s="22"/>
      <c r="R11" s="22"/>
      <c r="S11" s="22"/>
      <c r="T11" s="22"/>
      <c r="U11" s="22"/>
      <c r="V11" s="22"/>
      <c r="W11" s="22"/>
      <c r="X11" s="22"/>
      <c r="Y11" s="22"/>
      <c r="Z11" s="22">
        <v>18608644</v>
      </c>
      <c r="AA11" s="22">
        <v>18969891</v>
      </c>
      <c r="AB11" s="22">
        <v>19889578</v>
      </c>
      <c r="AC11" s="22">
        <v>20565696</v>
      </c>
      <c r="AD11" s="22">
        <v>21186839</v>
      </c>
      <c r="AE11" s="22">
        <v>21748130</v>
      </c>
      <c r="AF11" s="25">
        <v>22432709</v>
      </c>
      <c r="AG11" s="22">
        <v>23655940</v>
      </c>
      <c r="AH11" s="22">
        <v>28051318</v>
      </c>
      <c r="AI11" s="22">
        <v>28954626</v>
      </c>
      <c r="AJ11" s="22">
        <v>30152607</v>
      </c>
      <c r="AK11" s="22">
        <v>31215419</v>
      </c>
      <c r="AL11" s="22">
        <v>31479141</v>
      </c>
      <c r="AM11" s="22">
        <v>31060093</v>
      </c>
      <c r="AN11" s="22">
        <v>30464468</v>
      </c>
      <c r="AO11" s="22">
        <v>30730440</v>
      </c>
      <c r="AP11" s="22">
        <v>35630455</v>
      </c>
      <c r="AQ11" s="22">
        <v>36902499</v>
      </c>
      <c r="AR11" s="22">
        <v>38488655</v>
      </c>
      <c r="AS11" s="22">
        <v>40019715</v>
      </c>
      <c r="AT11" s="22">
        <v>41550528</v>
      </c>
      <c r="AU11" s="22">
        <v>42659734</v>
      </c>
      <c r="AV11" s="22">
        <v>43454472</v>
      </c>
      <c r="AW11" s="22">
        <v>45533147</v>
      </c>
      <c r="AX11" s="22">
        <v>51983936</v>
      </c>
      <c r="AY11" s="22">
        <v>53016506</v>
      </c>
      <c r="AZ11" s="22">
        <v>54944299</v>
      </c>
      <c r="BA11" s="22">
        <v>57486841</v>
      </c>
      <c r="BB11" s="22">
        <v>61638167</v>
      </c>
    </row>
    <row r="12" spans="1:54" x14ac:dyDescent="0.4">
      <c r="A12" s="34" t="s">
        <v>11</v>
      </c>
      <c r="B12" s="7">
        <v>0</v>
      </c>
      <c r="C12" s="7">
        <v>0</v>
      </c>
      <c r="D12" s="7">
        <v>0</v>
      </c>
      <c r="E12" s="7">
        <v>0</v>
      </c>
      <c r="F12" s="7">
        <v>0</v>
      </c>
      <c r="G12" s="7">
        <v>0</v>
      </c>
      <c r="H12" s="7">
        <v>0</v>
      </c>
      <c r="I12" s="7">
        <v>0</v>
      </c>
      <c r="J12" s="7">
        <v>0</v>
      </c>
      <c r="K12" s="7">
        <v>0</v>
      </c>
      <c r="L12" s="7">
        <v>0</v>
      </c>
      <c r="M12" s="7">
        <v>0</v>
      </c>
      <c r="N12" s="7">
        <v>0</v>
      </c>
      <c r="O12" s="7">
        <v>0</v>
      </c>
      <c r="P12" s="7">
        <v>0</v>
      </c>
      <c r="Q12" s="7">
        <v>0</v>
      </c>
      <c r="R12" s="7">
        <v>0</v>
      </c>
      <c r="S12" s="7">
        <v>0</v>
      </c>
      <c r="T12" s="7">
        <v>0</v>
      </c>
      <c r="U12" s="7">
        <v>149530</v>
      </c>
      <c r="V12" s="7">
        <v>352321</v>
      </c>
      <c r="W12" s="7">
        <v>1128680</v>
      </c>
      <c r="X12" s="7">
        <v>1112149</v>
      </c>
      <c r="Y12" s="7">
        <v>1486459</v>
      </c>
      <c r="Z12" s="7">
        <v>1374230</v>
      </c>
      <c r="AA12" s="7">
        <v>1500000</v>
      </c>
      <c r="AB12" s="7">
        <v>1700000</v>
      </c>
      <c r="AC12" s="7">
        <v>800000</v>
      </c>
      <c r="AD12" s="7">
        <v>1936705</v>
      </c>
      <c r="AE12" s="7">
        <v>1544228</v>
      </c>
      <c r="AF12" s="7">
        <v>708128</v>
      </c>
      <c r="AG12" s="7">
        <v>818535</v>
      </c>
      <c r="AH12" s="7">
        <v>574227</v>
      </c>
      <c r="AI12" s="7">
        <v>645069</v>
      </c>
      <c r="AJ12" s="7">
        <v>626380</v>
      </c>
      <c r="AK12" s="7">
        <v>603353</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row>
    <row r="13" spans="1:54" x14ac:dyDescent="0.4">
      <c r="A13" s="35" t="s">
        <v>13</v>
      </c>
      <c r="B13" s="7">
        <v>0</v>
      </c>
      <c r="C13" s="7">
        <v>0</v>
      </c>
      <c r="D13" s="7">
        <v>0</v>
      </c>
      <c r="E13" s="7">
        <v>0</v>
      </c>
      <c r="F13" s="7">
        <v>0</v>
      </c>
      <c r="G13" s="7">
        <v>0</v>
      </c>
      <c r="H13" s="7">
        <v>0</v>
      </c>
      <c r="I13" s="7">
        <v>0</v>
      </c>
      <c r="J13" s="7">
        <v>0</v>
      </c>
      <c r="K13" s="7">
        <v>0</v>
      </c>
      <c r="L13" s="7">
        <v>0</v>
      </c>
      <c r="M13" s="7">
        <v>0</v>
      </c>
      <c r="N13" s="7">
        <v>0</v>
      </c>
      <c r="O13" s="7">
        <v>0</v>
      </c>
      <c r="P13" s="7">
        <v>0</v>
      </c>
      <c r="Q13" s="7">
        <v>0</v>
      </c>
      <c r="R13" s="7">
        <v>0</v>
      </c>
      <c r="S13" s="7">
        <v>0</v>
      </c>
      <c r="T13" s="7">
        <v>0</v>
      </c>
      <c r="U13" s="7">
        <v>149530</v>
      </c>
      <c r="V13" s="7">
        <v>352321</v>
      </c>
      <c r="W13" s="7">
        <v>1128680</v>
      </c>
      <c r="X13" s="7">
        <v>1112149</v>
      </c>
      <c r="Y13" s="7">
        <v>1486459</v>
      </c>
      <c r="Z13" s="7">
        <v>1374230</v>
      </c>
      <c r="AA13" s="7">
        <v>1500000</v>
      </c>
      <c r="AB13" s="7">
        <v>1700000</v>
      </c>
      <c r="AC13" s="7">
        <v>800000</v>
      </c>
      <c r="AD13" s="7">
        <v>1936705</v>
      </c>
      <c r="AE13" s="7">
        <v>1544228</v>
      </c>
      <c r="AF13" s="7">
        <v>708128</v>
      </c>
      <c r="AG13" s="7">
        <v>818535</v>
      </c>
      <c r="AH13" s="7">
        <v>574227</v>
      </c>
      <c r="AI13" s="7">
        <v>645069</v>
      </c>
      <c r="AJ13" s="7">
        <v>626380</v>
      </c>
      <c r="AK13" s="7">
        <v>603353</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row>
    <row r="14" spans="1:54" x14ac:dyDescent="0.4">
      <c r="A14" s="35" t="s">
        <v>14</v>
      </c>
      <c r="B14" s="7">
        <v>0</v>
      </c>
      <c r="C14" s="7">
        <v>0</v>
      </c>
      <c r="D14" s="7">
        <v>0</v>
      </c>
      <c r="E14" s="7">
        <v>0</v>
      </c>
      <c r="F14" s="7">
        <v>0</v>
      </c>
      <c r="G14" s="7">
        <v>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row>
    <row r="15" spans="1:54" x14ac:dyDescent="0.4">
      <c r="A15" s="35" t="s">
        <v>27</v>
      </c>
      <c r="B15" s="7"/>
      <c r="C15" s="7"/>
      <c r="D15" s="7"/>
      <c r="E15" s="7"/>
      <c r="F15" s="7"/>
      <c r="G15" s="7"/>
      <c r="H15" s="7"/>
      <c r="I15" s="7"/>
      <c r="J15" s="7"/>
      <c r="K15" s="7"/>
      <c r="L15" s="7"/>
      <c r="M15" s="7"/>
      <c r="N15" s="7"/>
      <c r="O15" s="7"/>
      <c r="P15" s="7"/>
      <c r="Q15" s="7"/>
      <c r="R15" s="7"/>
      <c r="S15" s="7"/>
      <c r="T15" s="7"/>
      <c r="U15" s="7"/>
      <c r="V15" s="7"/>
      <c r="W15" s="7"/>
      <c r="X15" s="7"/>
      <c r="Y15" s="7"/>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row>
    <row r="16" spans="1:54" x14ac:dyDescent="0.4">
      <c r="A16" s="35" t="s">
        <v>30</v>
      </c>
      <c r="B16" s="7"/>
      <c r="C16" s="7"/>
      <c r="D16" s="7"/>
      <c r="E16" s="7"/>
      <c r="F16" s="7"/>
      <c r="G16" s="7"/>
      <c r="H16" s="7"/>
      <c r="I16" s="7"/>
      <c r="J16" s="7"/>
      <c r="K16" s="7"/>
      <c r="L16" s="7"/>
      <c r="M16" s="7"/>
      <c r="N16" s="7"/>
      <c r="O16" s="7"/>
      <c r="P16" s="7"/>
      <c r="Q16" s="7"/>
      <c r="R16" s="7"/>
      <c r="S16" s="7"/>
      <c r="T16" s="7"/>
      <c r="U16" s="7"/>
      <c r="V16" s="7"/>
      <c r="W16" s="7"/>
      <c r="X16" s="7"/>
      <c r="Y16" s="7"/>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row>
    <row r="17" spans="1:54" x14ac:dyDescent="0.4">
      <c r="A17" s="34" t="s">
        <v>3</v>
      </c>
      <c r="B17" s="7">
        <v>1136389</v>
      </c>
      <c r="C17" s="7">
        <v>1219871</v>
      </c>
      <c r="D17" s="7">
        <v>1233855</v>
      </c>
      <c r="E17" s="7">
        <v>1306554</v>
      </c>
      <c r="F17" s="7">
        <v>1354406</v>
      </c>
      <c r="G17" s="7">
        <v>1337946</v>
      </c>
      <c r="H17" s="7">
        <v>1379623</v>
      </c>
      <c r="I17" s="7">
        <v>1420707</v>
      </c>
      <c r="J17" s="7">
        <v>1518473</v>
      </c>
      <c r="K17" s="7">
        <v>1517104</v>
      </c>
      <c r="L17" s="7">
        <v>1570534</v>
      </c>
      <c r="M17" s="7">
        <v>1545062</v>
      </c>
      <c r="N17" s="7">
        <v>1585148</v>
      </c>
      <c r="O17" s="7">
        <v>1489579</v>
      </c>
      <c r="P17" s="7">
        <v>1526017</v>
      </c>
      <c r="Q17" s="7">
        <v>1468339</v>
      </c>
      <c r="R17" s="7">
        <v>1464342</v>
      </c>
      <c r="S17" s="7">
        <v>1533122</v>
      </c>
      <c r="T17" s="7">
        <v>1663764</v>
      </c>
      <c r="U17" s="7">
        <v>1576772</v>
      </c>
      <c r="V17" s="7">
        <v>1669698</v>
      </c>
      <c r="W17" s="7">
        <v>1733448</v>
      </c>
      <c r="X17" s="7">
        <v>1683752</v>
      </c>
      <c r="Y17" s="7">
        <v>1802302</v>
      </c>
      <c r="Z17" s="7">
        <v>1861298</v>
      </c>
      <c r="AA17" s="7">
        <v>1943799</v>
      </c>
      <c r="AB17" s="7">
        <v>2092528</v>
      </c>
      <c r="AC17" s="7">
        <v>2264869</v>
      </c>
      <c r="AD17" s="7">
        <v>2407513</v>
      </c>
      <c r="AE17" s="7">
        <v>2482443</v>
      </c>
      <c r="AF17" s="7">
        <v>2426205</v>
      </c>
      <c r="AG17" s="7">
        <v>2524372</v>
      </c>
      <c r="AH17" s="7">
        <v>2743925</v>
      </c>
      <c r="AI17" s="7">
        <v>2831494</v>
      </c>
      <c r="AJ17" s="7">
        <v>2983903</v>
      </c>
      <c r="AK17" s="7">
        <v>3061149</v>
      </c>
      <c r="AL17" s="7">
        <v>3229968</v>
      </c>
      <c r="AM17" s="7">
        <v>3118855</v>
      </c>
      <c r="AN17" s="7">
        <v>2911401</v>
      </c>
      <c r="AO17" s="7">
        <v>2846795</v>
      </c>
      <c r="AP17" s="7">
        <v>2872688</v>
      </c>
      <c r="AQ17" s="7">
        <v>2977694</v>
      </c>
      <c r="AR17" s="7">
        <v>3040516</v>
      </c>
      <c r="AS17" s="7">
        <v>3046477</v>
      </c>
      <c r="AT17" s="7">
        <v>3041046</v>
      </c>
      <c r="AU17" s="7">
        <v>3155764</v>
      </c>
      <c r="AV17" s="7">
        <v>3293820</v>
      </c>
      <c r="AW17" s="7">
        <v>3349328</v>
      </c>
      <c r="AX17" s="7">
        <v>3382139</v>
      </c>
      <c r="AY17" s="7">
        <v>3208091</v>
      </c>
      <c r="AZ17" s="7">
        <v>3206508</v>
      </c>
      <c r="BA17" s="7">
        <v>3259097</v>
      </c>
      <c r="BB17" s="7">
        <v>3232770</v>
      </c>
    </row>
    <row r="18" spans="1:54" x14ac:dyDescent="0.4">
      <c r="A18" s="35" t="s">
        <v>13</v>
      </c>
      <c r="B18" s="7">
        <v>0</v>
      </c>
      <c r="C18" s="7">
        <v>0</v>
      </c>
      <c r="D18" s="7">
        <v>0</v>
      </c>
      <c r="E18" s="7">
        <v>0</v>
      </c>
      <c r="F18" s="7">
        <v>0</v>
      </c>
      <c r="G18" s="7">
        <v>0</v>
      </c>
      <c r="H18" s="7">
        <v>0</v>
      </c>
      <c r="I18" s="7">
        <v>0</v>
      </c>
      <c r="J18" s="7">
        <v>0</v>
      </c>
      <c r="K18" s="7">
        <v>0</v>
      </c>
      <c r="L18" s="7">
        <v>0</v>
      </c>
      <c r="M18" s="7">
        <v>0</v>
      </c>
      <c r="N18" s="7">
        <v>0</v>
      </c>
      <c r="O18" s="7">
        <v>0</v>
      </c>
      <c r="P18" s="7">
        <v>10</v>
      </c>
      <c r="Q18" s="7">
        <v>316</v>
      </c>
      <c r="R18" s="7">
        <v>956</v>
      </c>
      <c r="S18" s="7">
        <v>58233</v>
      </c>
      <c r="T18" s="7">
        <v>81500</v>
      </c>
      <c r="U18" s="7">
        <v>12860</v>
      </c>
      <c r="V18" s="7">
        <v>37360</v>
      </c>
      <c r="W18" s="7">
        <v>34587</v>
      </c>
      <c r="X18" s="7">
        <v>32687</v>
      </c>
      <c r="Y18" s="7">
        <v>28946</v>
      </c>
      <c r="Z18" s="7">
        <v>10288</v>
      </c>
      <c r="AA18" s="7">
        <v>13271</v>
      </c>
      <c r="AB18" s="7">
        <v>69855</v>
      </c>
      <c r="AC18" s="7">
        <v>151177</v>
      </c>
      <c r="AD18" s="7">
        <v>167664</v>
      </c>
      <c r="AE18" s="7">
        <v>167411</v>
      </c>
      <c r="AF18" s="7">
        <v>160701</v>
      </c>
      <c r="AG18" s="7">
        <v>133026</v>
      </c>
      <c r="AH18" s="7">
        <v>124089</v>
      </c>
      <c r="AI18" s="7">
        <v>96165</v>
      </c>
      <c r="AJ18" s="7">
        <v>67659</v>
      </c>
      <c r="AK18" s="7">
        <v>66474</v>
      </c>
      <c r="AL18" s="7">
        <v>90960</v>
      </c>
      <c r="AM18" s="7">
        <v>72307</v>
      </c>
      <c r="AN18" s="7">
        <v>66508</v>
      </c>
      <c r="AO18" s="7">
        <v>67388</v>
      </c>
      <c r="AP18" s="7">
        <v>28684</v>
      </c>
      <c r="AQ18" s="7">
        <v>67926</v>
      </c>
      <c r="AR18" s="7">
        <v>74486</v>
      </c>
      <c r="AS18" s="7">
        <v>169336</v>
      </c>
      <c r="AT18" s="7">
        <v>125709</v>
      </c>
      <c r="AU18" s="7">
        <v>203699</v>
      </c>
      <c r="AV18" s="7">
        <v>157076</v>
      </c>
      <c r="AW18" s="7">
        <v>146855</v>
      </c>
      <c r="AX18" s="7">
        <v>112855</v>
      </c>
      <c r="AY18" s="7">
        <v>101459</v>
      </c>
      <c r="AZ18" s="7">
        <v>80668</v>
      </c>
      <c r="BA18" s="7">
        <v>96079</v>
      </c>
      <c r="BB18" s="7">
        <v>124101</v>
      </c>
    </row>
    <row r="19" spans="1:54" x14ac:dyDescent="0.4">
      <c r="A19" s="35" t="s">
        <v>14</v>
      </c>
      <c r="B19" s="7">
        <v>1136389</v>
      </c>
      <c r="C19" s="7">
        <v>1219871</v>
      </c>
      <c r="D19" s="7">
        <v>1233855</v>
      </c>
      <c r="E19" s="7">
        <v>1306554</v>
      </c>
      <c r="F19" s="7">
        <v>1354406</v>
      </c>
      <c r="G19" s="7">
        <v>1337946</v>
      </c>
      <c r="H19" s="7">
        <v>1379623</v>
      </c>
      <c r="I19" s="7">
        <v>1420707</v>
      </c>
      <c r="J19" s="7">
        <v>1518473</v>
      </c>
      <c r="K19" s="7">
        <v>1517104</v>
      </c>
      <c r="L19" s="7">
        <v>1570534</v>
      </c>
      <c r="M19" s="7">
        <v>1545062</v>
      </c>
      <c r="N19" s="7">
        <v>1585148</v>
      </c>
      <c r="O19" s="7">
        <v>1489579</v>
      </c>
      <c r="P19" s="7">
        <v>1526008</v>
      </c>
      <c r="Q19" s="7">
        <v>1468023</v>
      </c>
      <c r="R19" s="7">
        <v>1463386</v>
      </c>
      <c r="S19" s="7">
        <v>1474889</v>
      </c>
      <c r="T19" s="7">
        <v>1582264</v>
      </c>
      <c r="U19" s="7">
        <v>1563912</v>
      </c>
      <c r="V19" s="7">
        <v>1632338</v>
      </c>
      <c r="W19" s="7">
        <v>1698862</v>
      </c>
      <c r="X19" s="7">
        <v>1651065</v>
      </c>
      <c r="Y19" s="7">
        <v>1773356</v>
      </c>
      <c r="Z19" s="7">
        <v>1851011</v>
      </c>
      <c r="AA19" s="7">
        <v>1930528</v>
      </c>
      <c r="AB19" s="7">
        <v>2022672</v>
      </c>
      <c r="AC19" s="7">
        <v>2113692</v>
      </c>
      <c r="AD19" s="7">
        <v>2239850</v>
      </c>
      <c r="AE19" s="7">
        <v>2315032</v>
      </c>
      <c r="AF19" s="7">
        <v>2265505</v>
      </c>
      <c r="AG19" s="7">
        <v>2391347</v>
      </c>
      <c r="AH19" s="7">
        <v>2619837</v>
      </c>
      <c r="AI19" s="7">
        <v>2735329</v>
      </c>
      <c r="AJ19" s="7">
        <v>2916244</v>
      </c>
      <c r="AK19" s="7">
        <v>2994675</v>
      </c>
      <c r="AL19" s="7">
        <v>3139008</v>
      </c>
      <c r="AM19" s="7">
        <v>3046548</v>
      </c>
      <c r="AN19" s="7">
        <v>2844893</v>
      </c>
      <c r="AO19" s="7">
        <v>2779406</v>
      </c>
      <c r="AP19" s="7">
        <v>2844003</v>
      </c>
      <c r="AQ19" s="7">
        <v>2909768</v>
      </c>
      <c r="AR19" s="7">
        <v>2966030</v>
      </c>
      <c r="AS19" s="7">
        <v>2877141</v>
      </c>
      <c r="AT19" s="7">
        <v>2915338</v>
      </c>
      <c r="AU19" s="7">
        <v>2952064</v>
      </c>
      <c r="AV19" s="7">
        <v>3136744</v>
      </c>
      <c r="AW19" s="7">
        <v>3202473</v>
      </c>
      <c r="AX19" s="7">
        <v>3269283</v>
      </c>
      <c r="AY19" s="7">
        <v>3106632</v>
      </c>
      <c r="AZ19" s="7">
        <v>3125840</v>
      </c>
      <c r="BA19" s="7">
        <v>3163018</v>
      </c>
      <c r="BB19" s="7">
        <v>3108669</v>
      </c>
    </row>
    <row r="20" spans="1:54" x14ac:dyDescent="0.4">
      <c r="A20" s="35" t="s">
        <v>27</v>
      </c>
      <c r="B20" s="7"/>
      <c r="C20" s="7"/>
      <c r="D20" s="7"/>
      <c r="E20" s="7"/>
      <c r="F20" s="7"/>
      <c r="G20" s="7"/>
      <c r="H20" s="7"/>
      <c r="I20" s="7"/>
      <c r="J20" s="7"/>
      <c r="K20" s="7"/>
      <c r="L20" s="7"/>
      <c r="M20" s="7"/>
      <c r="N20" s="7"/>
      <c r="O20" s="7"/>
      <c r="P20" s="7"/>
      <c r="Q20" s="7"/>
      <c r="R20" s="7"/>
      <c r="S20" s="7"/>
      <c r="T20" s="7"/>
      <c r="U20" s="7"/>
      <c r="V20" s="7"/>
      <c r="W20" s="7"/>
      <c r="X20" s="7"/>
      <c r="Y20" s="7"/>
      <c r="Z20" s="7">
        <v>151691</v>
      </c>
      <c r="AA20" s="7">
        <v>190111</v>
      </c>
      <c r="AB20" s="7">
        <v>255214</v>
      </c>
      <c r="AC20" s="7">
        <v>242852</v>
      </c>
      <c r="AD20" s="7">
        <v>281021</v>
      </c>
      <c r="AE20" s="7">
        <v>329973</v>
      </c>
      <c r="AF20" s="7">
        <v>338530</v>
      </c>
      <c r="AG20" s="7">
        <v>456594</v>
      </c>
      <c r="AH20" s="7">
        <v>454808</v>
      </c>
      <c r="AI20" s="7">
        <v>499447</v>
      </c>
      <c r="AJ20" s="7">
        <v>505469</v>
      </c>
      <c r="AK20" s="7">
        <v>432210</v>
      </c>
      <c r="AL20" s="7">
        <v>451371</v>
      </c>
      <c r="AM20" s="7">
        <v>419510</v>
      </c>
      <c r="AN20" s="7">
        <v>445176</v>
      </c>
      <c r="AO20" s="7">
        <v>497395</v>
      </c>
      <c r="AP20" s="7">
        <v>609957</v>
      </c>
      <c r="AQ20" s="7">
        <v>590743</v>
      </c>
      <c r="AR20" s="7">
        <v>596109</v>
      </c>
      <c r="AS20" s="7">
        <v>580480</v>
      </c>
      <c r="AT20" s="7">
        <v>569123</v>
      </c>
      <c r="AU20" s="7">
        <v>671192</v>
      </c>
      <c r="AV20" s="7">
        <v>578336</v>
      </c>
      <c r="AW20" s="7">
        <v>595246</v>
      </c>
      <c r="AX20" s="7">
        <v>530780</v>
      </c>
      <c r="AY20" s="7">
        <v>395702</v>
      </c>
      <c r="AZ20" s="7">
        <v>585002</v>
      </c>
      <c r="BA20" s="7">
        <v>565283</v>
      </c>
      <c r="BB20" s="7">
        <v>591706</v>
      </c>
    </row>
    <row r="21" spans="1:54" x14ac:dyDescent="0.4">
      <c r="A21" s="35" t="s">
        <v>30</v>
      </c>
      <c r="B21" s="7"/>
      <c r="C21" s="7"/>
      <c r="D21" s="7"/>
      <c r="E21" s="7"/>
      <c r="F21" s="7"/>
      <c r="G21" s="7"/>
      <c r="H21" s="7"/>
      <c r="I21" s="7"/>
      <c r="J21" s="7"/>
      <c r="K21" s="7"/>
      <c r="L21" s="7"/>
      <c r="M21" s="7"/>
      <c r="N21" s="7"/>
      <c r="O21" s="7"/>
      <c r="P21" s="7"/>
      <c r="Q21" s="7"/>
      <c r="R21" s="7"/>
      <c r="S21" s="7"/>
      <c r="T21" s="7"/>
      <c r="U21" s="7"/>
      <c r="V21" s="7"/>
      <c r="W21" s="7"/>
      <c r="X21" s="7"/>
      <c r="Y21" s="7"/>
      <c r="Z21" s="7">
        <v>1699320</v>
      </c>
      <c r="AA21" s="7">
        <v>1740417</v>
      </c>
      <c r="AB21" s="7">
        <v>1767459</v>
      </c>
      <c r="AC21" s="7">
        <v>1870840</v>
      </c>
      <c r="AD21" s="7">
        <v>1958828</v>
      </c>
      <c r="AE21" s="7">
        <v>1985059</v>
      </c>
      <c r="AF21" s="7">
        <v>1926975</v>
      </c>
      <c r="AG21" s="7">
        <v>1934752</v>
      </c>
      <c r="AH21" s="7">
        <v>2165028</v>
      </c>
      <c r="AI21" s="7">
        <v>2235882</v>
      </c>
      <c r="AJ21" s="7">
        <v>2410775</v>
      </c>
      <c r="AK21" s="7">
        <v>2562465</v>
      </c>
      <c r="AL21" s="7">
        <v>2687637</v>
      </c>
      <c r="AM21" s="7">
        <v>2627038</v>
      </c>
      <c r="AN21" s="7">
        <v>2399718</v>
      </c>
      <c r="AO21" s="7">
        <v>2282011</v>
      </c>
      <c r="AP21" s="7">
        <v>2234047</v>
      </c>
      <c r="AQ21" s="7">
        <v>2319025</v>
      </c>
      <c r="AR21" s="7">
        <v>2369921</v>
      </c>
      <c r="AS21" s="7">
        <v>2296661</v>
      </c>
      <c r="AT21" s="7">
        <v>2346215</v>
      </c>
      <c r="AU21" s="7">
        <v>2280873</v>
      </c>
      <c r="AV21" s="7">
        <v>2558408</v>
      </c>
      <c r="AW21" s="7">
        <v>2607226</v>
      </c>
      <c r="AX21" s="7">
        <v>2738504</v>
      </c>
      <c r="AY21" s="7">
        <v>2710930</v>
      </c>
      <c r="AZ21" s="7">
        <v>2540837</v>
      </c>
      <c r="BA21" s="7">
        <v>2597736</v>
      </c>
      <c r="BB21" s="7">
        <v>2516962</v>
      </c>
    </row>
    <row r="22" spans="1:54" x14ac:dyDescent="0.4">
      <c r="A22" s="34" t="s">
        <v>4</v>
      </c>
      <c r="B22" s="7">
        <v>15000</v>
      </c>
      <c r="C22" s="7">
        <v>15000</v>
      </c>
      <c r="D22" s="7">
        <v>18000</v>
      </c>
      <c r="E22" s="7">
        <v>18000</v>
      </c>
      <c r="F22" s="7">
        <v>18000</v>
      </c>
      <c r="G22" s="7">
        <v>18000</v>
      </c>
      <c r="H22" s="7">
        <v>18000</v>
      </c>
      <c r="I22" s="7">
        <v>18000</v>
      </c>
      <c r="J22" s="7">
        <v>13000</v>
      </c>
      <c r="K22" s="7">
        <v>13000</v>
      </c>
      <c r="L22" s="7">
        <v>13000</v>
      </c>
      <c r="M22" s="7">
        <v>13000</v>
      </c>
      <c r="N22" s="7">
        <v>13000</v>
      </c>
      <c r="O22" s="7">
        <v>13000</v>
      </c>
      <c r="P22" s="7">
        <v>13000</v>
      </c>
      <c r="Q22" s="7">
        <v>13000</v>
      </c>
      <c r="R22" s="7">
        <v>13000</v>
      </c>
      <c r="S22" s="7">
        <v>13000</v>
      </c>
      <c r="T22" s="7">
        <v>17000</v>
      </c>
      <c r="U22" s="7">
        <v>12000</v>
      </c>
      <c r="V22" s="7">
        <v>7000</v>
      </c>
      <c r="W22" s="7">
        <v>7000</v>
      </c>
      <c r="X22" s="7">
        <v>7000</v>
      </c>
      <c r="Y22" s="7">
        <v>7000</v>
      </c>
      <c r="Z22" s="7">
        <v>7000</v>
      </c>
      <c r="AA22" s="7">
        <v>7000</v>
      </c>
      <c r="AB22" s="7">
        <v>7000</v>
      </c>
      <c r="AC22" s="7">
        <v>4000</v>
      </c>
      <c r="AD22" s="7">
        <v>7000</v>
      </c>
      <c r="AE22" s="7">
        <v>7343</v>
      </c>
      <c r="AF22" s="7">
        <v>7157</v>
      </c>
      <c r="AG22" s="7">
        <v>7329</v>
      </c>
      <c r="AH22" s="7">
        <v>7161</v>
      </c>
      <c r="AI22" s="7">
        <v>7329</v>
      </c>
      <c r="AJ22" s="7">
        <v>7127</v>
      </c>
      <c r="AK22" s="7">
        <v>7266</v>
      </c>
      <c r="AL22" s="7">
        <v>4068</v>
      </c>
      <c r="AM22" s="7">
        <v>4137</v>
      </c>
      <c r="AN22" s="7">
        <v>0</v>
      </c>
      <c r="AO22" s="7">
        <v>0</v>
      </c>
      <c r="AP22" s="7">
        <v>0</v>
      </c>
      <c r="AQ22" s="7">
        <v>0</v>
      </c>
      <c r="AR22" s="7">
        <v>0</v>
      </c>
      <c r="AS22" s="7">
        <v>0</v>
      </c>
      <c r="AT22" s="7">
        <v>0</v>
      </c>
      <c r="AU22" s="7">
        <v>0</v>
      </c>
      <c r="AV22" s="7">
        <v>0</v>
      </c>
      <c r="AW22" s="7">
        <v>0</v>
      </c>
      <c r="AX22" s="7">
        <v>0</v>
      </c>
      <c r="AY22" s="7">
        <v>0</v>
      </c>
      <c r="AZ22" s="7">
        <v>0</v>
      </c>
      <c r="BA22" s="7">
        <v>0</v>
      </c>
      <c r="BB22" s="7">
        <v>0</v>
      </c>
    </row>
    <row r="23" spans="1:54" x14ac:dyDescent="0.4">
      <c r="A23" s="35" t="s">
        <v>13</v>
      </c>
      <c r="B23" s="7">
        <v>0</v>
      </c>
      <c r="C23" s="7">
        <v>0</v>
      </c>
      <c r="D23" s="7">
        <v>0</v>
      </c>
      <c r="E23" s="7">
        <v>0</v>
      </c>
      <c r="F23" s="7">
        <v>0</v>
      </c>
      <c r="G23" s="7">
        <v>0</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row>
    <row r="24" spans="1:54" x14ac:dyDescent="0.4">
      <c r="A24" s="35" t="s">
        <v>14</v>
      </c>
      <c r="B24" s="7">
        <v>15000</v>
      </c>
      <c r="C24" s="7">
        <v>15000</v>
      </c>
      <c r="D24" s="7">
        <v>18000</v>
      </c>
      <c r="E24" s="7">
        <v>18000</v>
      </c>
      <c r="F24" s="7">
        <v>18000</v>
      </c>
      <c r="G24" s="7">
        <v>18000</v>
      </c>
      <c r="H24" s="7">
        <v>18000</v>
      </c>
      <c r="I24" s="7">
        <v>18000</v>
      </c>
      <c r="J24" s="7">
        <v>13000</v>
      </c>
      <c r="K24" s="7">
        <v>13000</v>
      </c>
      <c r="L24" s="7">
        <v>13000</v>
      </c>
      <c r="M24" s="7">
        <v>13000</v>
      </c>
      <c r="N24" s="7">
        <v>13000</v>
      </c>
      <c r="O24" s="7">
        <v>13000</v>
      </c>
      <c r="P24" s="7">
        <v>13000</v>
      </c>
      <c r="Q24" s="7">
        <v>13000</v>
      </c>
      <c r="R24" s="7">
        <v>13000</v>
      </c>
      <c r="S24" s="7">
        <v>13000</v>
      </c>
      <c r="T24" s="7">
        <v>17000</v>
      </c>
      <c r="U24" s="7">
        <v>12000</v>
      </c>
      <c r="V24" s="7">
        <v>7000</v>
      </c>
      <c r="W24" s="7">
        <v>7000</v>
      </c>
      <c r="X24" s="7">
        <v>7000</v>
      </c>
      <c r="Y24" s="7">
        <v>7000</v>
      </c>
      <c r="Z24" s="7">
        <v>7000</v>
      </c>
      <c r="AA24" s="7">
        <v>7000</v>
      </c>
      <c r="AB24" s="7">
        <v>7000</v>
      </c>
      <c r="AC24" s="7">
        <v>4000</v>
      </c>
      <c r="AD24" s="7">
        <v>7000</v>
      </c>
      <c r="AE24" s="7">
        <v>7343</v>
      </c>
      <c r="AF24" s="7">
        <v>7157</v>
      </c>
      <c r="AG24" s="7">
        <v>7329</v>
      </c>
      <c r="AH24" s="7">
        <v>7161</v>
      </c>
      <c r="AI24" s="7">
        <v>7329</v>
      </c>
      <c r="AJ24" s="7">
        <v>7127</v>
      </c>
      <c r="AK24" s="7">
        <v>7266</v>
      </c>
      <c r="AL24" s="7">
        <v>4068</v>
      </c>
      <c r="AM24" s="7">
        <v>4137</v>
      </c>
      <c r="AN24" s="7">
        <v>0</v>
      </c>
      <c r="AO24" s="7">
        <v>0</v>
      </c>
      <c r="AP24" s="7">
        <v>0</v>
      </c>
      <c r="AQ24" s="7">
        <v>0</v>
      </c>
      <c r="AR24" s="7">
        <v>0</v>
      </c>
      <c r="AS24" s="7">
        <v>0</v>
      </c>
      <c r="AT24" s="7">
        <v>0</v>
      </c>
      <c r="AU24" s="7">
        <v>0</v>
      </c>
      <c r="AV24" s="7">
        <v>0</v>
      </c>
      <c r="AW24" s="7">
        <v>0</v>
      </c>
      <c r="AX24" s="7">
        <v>0</v>
      </c>
      <c r="AY24" s="7">
        <v>0</v>
      </c>
      <c r="AZ24" s="7">
        <v>0</v>
      </c>
      <c r="BA24" s="7">
        <v>0</v>
      </c>
      <c r="BB24" s="7">
        <v>0</v>
      </c>
    </row>
    <row r="25" spans="1:54" x14ac:dyDescent="0.4">
      <c r="A25" s="35" t="s">
        <v>27</v>
      </c>
      <c r="B25" s="7"/>
      <c r="C25" s="7"/>
      <c r="D25" s="7"/>
      <c r="E25" s="7"/>
      <c r="F25" s="7"/>
      <c r="G25" s="7"/>
      <c r="H25" s="7"/>
      <c r="I25" s="7"/>
      <c r="J25" s="7"/>
      <c r="K25" s="7"/>
      <c r="L25" s="7"/>
      <c r="M25" s="7"/>
      <c r="N25" s="7"/>
      <c r="O25" s="7"/>
      <c r="P25" s="7"/>
      <c r="Q25" s="7"/>
      <c r="R25" s="7"/>
      <c r="S25" s="7"/>
      <c r="T25" s="7"/>
      <c r="U25" s="7"/>
      <c r="V25" s="7"/>
      <c r="W25" s="7"/>
      <c r="X25" s="7"/>
      <c r="Y25" s="7"/>
      <c r="Z25" s="7">
        <v>0</v>
      </c>
      <c r="AA25" s="7">
        <v>0</v>
      </c>
      <c r="AB25" s="7">
        <v>0</v>
      </c>
      <c r="AC25" s="7">
        <v>0</v>
      </c>
      <c r="AD25" s="7">
        <v>0</v>
      </c>
      <c r="AE25" s="7">
        <v>0</v>
      </c>
      <c r="AF25" s="7">
        <v>0</v>
      </c>
      <c r="AG25" s="7">
        <v>0</v>
      </c>
      <c r="AH25" s="7">
        <v>0</v>
      </c>
      <c r="AI25" s="7">
        <v>0</v>
      </c>
      <c r="AJ25" s="7">
        <v>4066</v>
      </c>
      <c r="AK25" s="7">
        <v>4137</v>
      </c>
      <c r="AL25" s="7">
        <v>4068</v>
      </c>
      <c r="AM25" s="7">
        <v>4137</v>
      </c>
      <c r="AN25" s="7">
        <v>0</v>
      </c>
      <c r="AO25" s="7">
        <v>0</v>
      </c>
      <c r="AP25" s="7">
        <v>0</v>
      </c>
      <c r="AQ25" s="7">
        <v>0</v>
      </c>
      <c r="AR25" s="7">
        <v>0</v>
      </c>
      <c r="AS25" s="7">
        <v>0</v>
      </c>
      <c r="AT25" s="7">
        <v>0</v>
      </c>
      <c r="AU25" s="7">
        <v>0</v>
      </c>
      <c r="AV25" s="7">
        <v>0</v>
      </c>
      <c r="AW25" s="7">
        <v>0</v>
      </c>
      <c r="AX25" s="7">
        <v>0</v>
      </c>
      <c r="AY25" s="7">
        <v>0</v>
      </c>
      <c r="AZ25" s="7">
        <v>0</v>
      </c>
      <c r="BA25" s="7">
        <v>0</v>
      </c>
      <c r="BB25" s="7">
        <v>0</v>
      </c>
    </row>
    <row r="26" spans="1:54" x14ac:dyDescent="0.4">
      <c r="A26" s="35" t="s">
        <v>30</v>
      </c>
      <c r="B26" s="7"/>
      <c r="C26" s="7"/>
      <c r="D26" s="7"/>
      <c r="E26" s="7"/>
      <c r="F26" s="7"/>
      <c r="G26" s="7"/>
      <c r="H26" s="7"/>
      <c r="I26" s="7"/>
      <c r="J26" s="7"/>
      <c r="K26" s="7"/>
      <c r="L26" s="7"/>
      <c r="M26" s="7"/>
      <c r="N26" s="7"/>
      <c r="O26" s="7"/>
      <c r="P26" s="7"/>
      <c r="Q26" s="7"/>
      <c r="R26" s="7"/>
      <c r="S26" s="7"/>
      <c r="T26" s="7"/>
      <c r="U26" s="7"/>
      <c r="V26" s="7"/>
      <c r="W26" s="7"/>
      <c r="X26" s="7"/>
      <c r="Y26" s="7"/>
      <c r="Z26" s="7">
        <v>7000</v>
      </c>
      <c r="AA26" s="7">
        <v>7000</v>
      </c>
      <c r="AB26" s="7">
        <v>7000</v>
      </c>
      <c r="AC26" s="7">
        <v>4000</v>
      </c>
      <c r="AD26" s="7">
        <v>7000</v>
      </c>
      <c r="AE26" s="7">
        <v>7343</v>
      </c>
      <c r="AF26" s="7">
        <v>7157</v>
      </c>
      <c r="AG26" s="7">
        <v>7329</v>
      </c>
      <c r="AH26" s="7">
        <v>7161</v>
      </c>
      <c r="AI26" s="7">
        <v>7329</v>
      </c>
      <c r="AJ26" s="7">
        <v>3061</v>
      </c>
      <c r="AK26" s="7">
        <v>3129</v>
      </c>
      <c r="AL26" s="7">
        <v>0</v>
      </c>
      <c r="AM26" s="7">
        <v>0</v>
      </c>
      <c r="AN26" s="7">
        <v>0</v>
      </c>
      <c r="AO26" s="7">
        <v>0</v>
      </c>
      <c r="AP26" s="7">
        <v>0</v>
      </c>
      <c r="AQ26" s="7">
        <v>0</v>
      </c>
      <c r="AR26" s="7">
        <v>0</v>
      </c>
      <c r="AS26" s="7">
        <v>0</v>
      </c>
      <c r="AT26" s="7">
        <v>0</v>
      </c>
      <c r="AU26" s="7">
        <v>0</v>
      </c>
      <c r="AV26" s="7">
        <v>0</v>
      </c>
      <c r="AW26" s="7">
        <v>0</v>
      </c>
      <c r="AX26" s="7">
        <v>0</v>
      </c>
      <c r="AY26" s="7">
        <v>0</v>
      </c>
      <c r="AZ26" s="7">
        <v>0</v>
      </c>
      <c r="BA26" s="7">
        <v>0</v>
      </c>
      <c r="BB26" s="7">
        <v>0</v>
      </c>
    </row>
    <row r="27" spans="1:54" x14ac:dyDescent="0.4">
      <c r="A27" s="34" t="s">
        <v>5</v>
      </c>
      <c r="B27" s="7">
        <v>1045141</v>
      </c>
      <c r="C27" s="7">
        <v>1137851</v>
      </c>
      <c r="D27" s="7">
        <v>1174287</v>
      </c>
      <c r="E27" s="7">
        <v>1264231</v>
      </c>
      <c r="F27" s="7">
        <v>1318061</v>
      </c>
      <c r="G27" s="7">
        <v>1477360</v>
      </c>
      <c r="H27" s="7">
        <v>1504747</v>
      </c>
      <c r="I27" s="7">
        <v>1696463</v>
      </c>
      <c r="J27" s="7">
        <v>1860427</v>
      </c>
      <c r="K27" s="7">
        <v>1879853</v>
      </c>
      <c r="L27" s="7">
        <v>1914413</v>
      </c>
      <c r="M27" s="7">
        <v>2042641</v>
      </c>
      <c r="N27" s="7">
        <v>2144131</v>
      </c>
      <c r="O27" s="7">
        <v>2161609</v>
      </c>
      <c r="P27" s="7">
        <v>2279290</v>
      </c>
      <c r="Q27" s="7">
        <v>2323136</v>
      </c>
      <c r="R27" s="7">
        <v>2389775</v>
      </c>
      <c r="S27" s="7">
        <v>2442657</v>
      </c>
      <c r="T27" s="7">
        <v>2618180</v>
      </c>
      <c r="U27" s="7">
        <v>2706812</v>
      </c>
      <c r="V27" s="7">
        <v>2702325</v>
      </c>
      <c r="W27" s="7">
        <v>2780284</v>
      </c>
      <c r="X27" s="7">
        <v>2778325</v>
      </c>
      <c r="Y27" s="7">
        <v>2693537</v>
      </c>
      <c r="Z27" s="7">
        <v>2695018</v>
      </c>
      <c r="AA27" s="7">
        <v>2776390</v>
      </c>
      <c r="AB27" s="7">
        <v>2886916</v>
      </c>
      <c r="AC27" s="7">
        <v>2858992</v>
      </c>
      <c r="AD27" s="7">
        <v>3105320</v>
      </c>
      <c r="AE27" s="7">
        <v>3267800</v>
      </c>
      <c r="AF27" s="7">
        <v>3234397</v>
      </c>
      <c r="AG27" s="7">
        <v>3351864</v>
      </c>
      <c r="AH27" s="7">
        <v>3784229</v>
      </c>
      <c r="AI27" s="7">
        <v>3700135</v>
      </c>
      <c r="AJ27" s="7">
        <v>3566143</v>
      </c>
      <c r="AK27" s="7">
        <v>3696683</v>
      </c>
      <c r="AL27" s="7">
        <v>4171144</v>
      </c>
      <c r="AM27" s="7">
        <v>4111166</v>
      </c>
      <c r="AN27" s="7">
        <v>4062242</v>
      </c>
      <c r="AO27" s="7">
        <v>4533378</v>
      </c>
      <c r="AP27" s="7">
        <v>6094704</v>
      </c>
      <c r="AQ27" s="7">
        <v>6787469</v>
      </c>
      <c r="AR27" s="7">
        <v>7420943</v>
      </c>
      <c r="AS27" s="7">
        <v>8754756</v>
      </c>
      <c r="AT27" s="7">
        <v>10005320</v>
      </c>
      <c r="AU27" s="7">
        <v>10336511</v>
      </c>
      <c r="AV27" s="7">
        <v>10522935</v>
      </c>
      <c r="AW27" s="7">
        <v>11520139</v>
      </c>
      <c r="AX27" s="7">
        <v>13213373</v>
      </c>
      <c r="AY27" s="7">
        <v>13065965</v>
      </c>
      <c r="AZ27" s="7">
        <v>13282786</v>
      </c>
      <c r="BA27" s="7">
        <v>14232954</v>
      </c>
      <c r="BB27" s="7">
        <v>15063823</v>
      </c>
    </row>
    <row r="28" spans="1:54" x14ac:dyDescent="0.4">
      <c r="A28" s="35" t="s">
        <v>13</v>
      </c>
      <c r="B28" s="7">
        <v>0</v>
      </c>
      <c r="C28" s="7">
        <v>0</v>
      </c>
      <c r="D28" s="7">
        <v>0</v>
      </c>
      <c r="E28" s="7">
        <v>0</v>
      </c>
      <c r="F28" s="7">
        <v>0</v>
      </c>
      <c r="G28" s="7">
        <v>873</v>
      </c>
      <c r="H28" s="7">
        <v>873</v>
      </c>
      <c r="I28" s="7">
        <v>873</v>
      </c>
      <c r="J28" s="7">
        <v>0</v>
      </c>
      <c r="K28" s="7">
        <v>0</v>
      </c>
      <c r="L28" s="7">
        <v>0</v>
      </c>
      <c r="M28" s="7">
        <v>0</v>
      </c>
      <c r="N28" s="7">
        <v>0</v>
      </c>
      <c r="O28" s="7">
        <v>0</v>
      </c>
      <c r="P28" s="7">
        <v>0</v>
      </c>
      <c r="Q28" s="7">
        <v>0</v>
      </c>
      <c r="R28" s="7">
        <v>30</v>
      </c>
      <c r="S28" s="7">
        <v>80</v>
      </c>
      <c r="T28" s="7">
        <v>108</v>
      </c>
      <c r="U28" s="7">
        <v>138</v>
      </c>
      <c r="V28" s="7">
        <v>148</v>
      </c>
      <c r="W28" s="7">
        <v>50759</v>
      </c>
      <c r="X28" s="7">
        <v>40430</v>
      </c>
      <c r="Y28" s="7">
        <v>14062</v>
      </c>
      <c r="Z28" s="7">
        <v>8490</v>
      </c>
      <c r="AA28" s="7">
        <v>20926</v>
      </c>
      <c r="AB28" s="7">
        <v>41838</v>
      </c>
      <c r="AC28" s="7">
        <v>25272</v>
      </c>
      <c r="AD28" s="7">
        <v>8142</v>
      </c>
      <c r="AE28" s="7">
        <v>1632</v>
      </c>
      <c r="AF28" s="7">
        <v>2454</v>
      </c>
      <c r="AG28" s="7">
        <v>6399</v>
      </c>
      <c r="AH28" s="7">
        <v>8332</v>
      </c>
      <c r="AI28" s="7">
        <v>14784</v>
      </c>
      <c r="AJ28" s="7">
        <v>29394</v>
      </c>
      <c r="AK28" s="7">
        <v>21063</v>
      </c>
      <c r="AL28" s="7">
        <v>56867</v>
      </c>
      <c r="AM28" s="7">
        <v>62344</v>
      </c>
      <c r="AN28" s="7">
        <v>63029</v>
      </c>
      <c r="AO28" s="7">
        <v>113361</v>
      </c>
      <c r="AP28" s="7">
        <v>89672</v>
      </c>
      <c r="AQ28" s="7">
        <v>83953</v>
      </c>
      <c r="AR28" s="7">
        <v>78293</v>
      </c>
      <c r="AS28" s="7">
        <v>109835</v>
      </c>
      <c r="AT28" s="7">
        <v>126842</v>
      </c>
      <c r="AU28" s="7">
        <v>139768</v>
      </c>
      <c r="AV28" s="7">
        <v>217461</v>
      </c>
      <c r="AW28" s="7">
        <v>163646</v>
      </c>
      <c r="AX28" s="7">
        <v>277729</v>
      </c>
      <c r="AY28" s="7">
        <v>331171</v>
      </c>
      <c r="AZ28" s="7">
        <v>351154</v>
      </c>
      <c r="BA28" s="7">
        <v>400632</v>
      </c>
      <c r="BB28" s="7">
        <v>330915</v>
      </c>
    </row>
    <row r="29" spans="1:54" x14ac:dyDescent="0.4">
      <c r="A29" s="35" t="s">
        <v>14</v>
      </c>
      <c r="B29" s="7">
        <v>1045141</v>
      </c>
      <c r="C29" s="7">
        <v>1137851</v>
      </c>
      <c r="D29" s="7">
        <v>1174287</v>
      </c>
      <c r="E29" s="7">
        <v>1264231</v>
      </c>
      <c r="F29" s="7">
        <v>1318061</v>
      </c>
      <c r="G29" s="7">
        <v>1476487</v>
      </c>
      <c r="H29" s="7">
        <v>1503874</v>
      </c>
      <c r="I29" s="7">
        <v>1695590</v>
      </c>
      <c r="J29" s="7">
        <v>1860427</v>
      </c>
      <c r="K29" s="7">
        <v>1879853</v>
      </c>
      <c r="L29" s="7">
        <v>1914413</v>
      </c>
      <c r="M29" s="7">
        <v>2042641</v>
      </c>
      <c r="N29" s="7">
        <v>2144131</v>
      </c>
      <c r="O29" s="7">
        <v>2161609</v>
      </c>
      <c r="P29" s="7">
        <v>2279290</v>
      </c>
      <c r="Q29" s="7">
        <v>2323136</v>
      </c>
      <c r="R29" s="7">
        <v>2389745</v>
      </c>
      <c r="S29" s="7">
        <v>2442577</v>
      </c>
      <c r="T29" s="7">
        <v>2618071</v>
      </c>
      <c r="U29" s="7">
        <v>2706673</v>
      </c>
      <c r="V29" s="7">
        <v>2702176</v>
      </c>
      <c r="W29" s="7">
        <v>2729525</v>
      </c>
      <c r="X29" s="7">
        <v>2737895</v>
      </c>
      <c r="Y29" s="7">
        <v>2679475</v>
      </c>
      <c r="Z29" s="7">
        <v>2686528</v>
      </c>
      <c r="AA29" s="7">
        <v>2755464</v>
      </c>
      <c r="AB29" s="7">
        <v>2845078</v>
      </c>
      <c r="AC29" s="7">
        <v>2833720</v>
      </c>
      <c r="AD29" s="7">
        <v>3097178</v>
      </c>
      <c r="AE29" s="7">
        <v>3266168</v>
      </c>
      <c r="AF29" s="7">
        <v>3231942</v>
      </c>
      <c r="AG29" s="7">
        <v>3345465</v>
      </c>
      <c r="AH29" s="7">
        <v>3775897</v>
      </c>
      <c r="AI29" s="7">
        <v>3685351</v>
      </c>
      <c r="AJ29" s="7">
        <v>3536750</v>
      </c>
      <c r="AK29" s="7">
        <v>3675620</v>
      </c>
      <c r="AL29" s="7">
        <v>4114277</v>
      </c>
      <c r="AM29" s="7">
        <v>4048822</v>
      </c>
      <c r="AN29" s="7">
        <v>3999213</v>
      </c>
      <c r="AO29" s="7">
        <v>4420016</v>
      </c>
      <c r="AP29" s="7">
        <v>6005032</v>
      </c>
      <c r="AQ29" s="7">
        <v>6703517</v>
      </c>
      <c r="AR29" s="7">
        <v>7342650</v>
      </c>
      <c r="AS29" s="7">
        <v>8644921</v>
      </c>
      <c r="AT29" s="7">
        <v>9878479</v>
      </c>
      <c r="AU29" s="7">
        <v>10196743</v>
      </c>
      <c r="AV29" s="7">
        <v>10305475</v>
      </c>
      <c r="AW29" s="7">
        <v>11356493</v>
      </c>
      <c r="AX29" s="7">
        <v>12935644</v>
      </c>
      <c r="AY29" s="7">
        <v>12734795</v>
      </c>
      <c r="AZ29" s="7">
        <v>12931632</v>
      </c>
      <c r="BA29" s="7">
        <v>13832322</v>
      </c>
      <c r="BB29" s="7">
        <v>14732908</v>
      </c>
    </row>
    <row r="30" spans="1:54" x14ac:dyDescent="0.4">
      <c r="A30" s="35" t="s">
        <v>27</v>
      </c>
      <c r="B30" s="7"/>
      <c r="C30" s="7"/>
      <c r="D30" s="7"/>
      <c r="E30" s="7"/>
      <c r="F30" s="7"/>
      <c r="G30" s="7"/>
      <c r="H30" s="7"/>
      <c r="I30" s="7"/>
      <c r="J30" s="7"/>
      <c r="K30" s="7"/>
      <c r="L30" s="7"/>
      <c r="M30" s="7"/>
      <c r="N30" s="7"/>
      <c r="O30" s="7"/>
      <c r="P30" s="7"/>
      <c r="Q30" s="7"/>
      <c r="R30" s="7"/>
      <c r="S30" s="7"/>
      <c r="T30" s="7"/>
      <c r="U30" s="7"/>
      <c r="V30" s="7"/>
      <c r="W30" s="7"/>
      <c r="X30" s="7"/>
      <c r="Y30" s="7"/>
      <c r="Z30" s="7">
        <v>113608</v>
      </c>
      <c r="AA30" s="7">
        <v>109746</v>
      </c>
      <c r="AB30" s="7">
        <v>153350</v>
      </c>
      <c r="AC30" s="7">
        <v>146871</v>
      </c>
      <c r="AD30" s="7">
        <v>173871</v>
      </c>
      <c r="AE30" s="7">
        <v>243887</v>
      </c>
      <c r="AF30" s="7">
        <v>539083</v>
      </c>
      <c r="AG30" s="7">
        <v>612969</v>
      </c>
      <c r="AH30" s="7">
        <v>566943</v>
      </c>
      <c r="AI30" s="7">
        <v>536633</v>
      </c>
      <c r="AJ30" s="7">
        <v>230278</v>
      </c>
      <c r="AK30" s="7">
        <v>152532</v>
      </c>
      <c r="AL30" s="7">
        <v>194369</v>
      </c>
      <c r="AM30" s="7">
        <v>192058</v>
      </c>
      <c r="AN30" s="7">
        <v>164135</v>
      </c>
      <c r="AO30" s="7">
        <v>198101</v>
      </c>
      <c r="AP30" s="7">
        <v>206753</v>
      </c>
      <c r="AQ30" s="7">
        <v>254680</v>
      </c>
      <c r="AR30" s="7">
        <v>296754</v>
      </c>
      <c r="AS30" s="7">
        <v>424006</v>
      </c>
      <c r="AT30" s="7">
        <v>441890</v>
      </c>
      <c r="AU30" s="7">
        <v>536991</v>
      </c>
      <c r="AV30" s="7">
        <v>690654</v>
      </c>
      <c r="AW30" s="7">
        <v>822063</v>
      </c>
      <c r="AX30" s="7">
        <v>1413237</v>
      </c>
      <c r="AY30" s="7">
        <v>1324575</v>
      </c>
      <c r="AZ30" s="7">
        <v>1213840</v>
      </c>
      <c r="BA30" s="7">
        <v>1601036</v>
      </c>
      <c r="BB30" s="7">
        <v>1142072</v>
      </c>
    </row>
    <row r="31" spans="1:54" x14ac:dyDescent="0.4">
      <c r="A31" s="35" t="s">
        <v>30</v>
      </c>
      <c r="B31" s="7"/>
      <c r="C31" s="7"/>
      <c r="D31" s="7"/>
      <c r="E31" s="7"/>
      <c r="F31" s="7"/>
      <c r="G31" s="7"/>
      <c r="H31" s="7"/>
      <c r="I31" s="7"/>
      <c r="J31" s="7"/>
      <c r="K31" s="7"/>
      <c r="L31" s="7"/>
      <c r="M31" s="7"/>
      <c r="N31" s="7"/>
      <c r="O31" s="7"/>
      <c r="P31" s="7"/>
      <c r="Q31" s="7"/>
      <c r="R31" s="7"/>
      <c r="S31" s="7"/>
      <c r="T31" s="7"/>
      <c r="U31" s="7"/>
      <c r="V31" s="7"/>
      <c r="W31" s="7"/>
      <c r="X31" s="7"/>
      <c r="Y31" s="7"/>
      <c r="Z31" s="7">
        <v>2572921</v>
      </c>
      <c r="AA31" s="7">
        <v>2645718</v>
      </c>
      <c r="AB31" s="7">
        <v>2691728</v>
      </c>
      <c r="AC31" s="7">
        <v>2686850</v>
      </c>
      <c r="AD31" s="7">
        <v>2923308</v>
      </c>
      <c r="AE31" s="7">
        <v>3022282</v>
      </c>
      <c r="AF31" s="7">
        <v>2692860</v>
      </c>
      <c r="AG31" s="7">
        <v>2732497</v>
      </c>
      <c r="AH31" s="7">
        <v>3208954</v>
      </c>
      <c r="AI31" s="7">
        <v>3148718</v>
      </c>
      <c r="AJ31" s="7">
        <v>3306472</v>
      </c>
      <c r="AK31" s="7">
        <v>3523088</v>
      </c>
      <c r="AL31" s="7">
        <v>3919907</v>
      </c>
      <c r="AM31" s="7">
        <v>3856764</v>
      </c>
      <c r="AN31" s="7">
        <v>3835078</v>
      </c>
      <c r="AO31" s="7">
        <v>4221915</v>
      </c>
      <c r="AP31" s="7">
        <v>5798279</v>
      </c>
      <c r="AQ31" s="7">
        <v>6448837</v>
      </c>
      <c r="AR31" s="7">
        <v>7045896</v>
      </c>
      <c r="AS31" s="7">
        <v>8220915</v>
      </c>
      <c r="AT31" s="7">
        <v>9436589</v>
      </c>
      <c r="AU31" s="7">
        <v>9659753</v>
      </c>
      <c r="AV31" s="7">
        <v>9614820</v>
      </c>
      <c r="AW31" s="7">
        <v>10534430</v>
      </c>
      <c r="AX31" s="7">
        <v>11522407</v>
      </c>
      <c r="AY31" s="7">
        <v>11410219</v>
      </c>
      <c r="AZ31" s="7">
        <v>11717792</v>
      </c>
      <c r="BA31" s="7">
        <v>12231287</v>
      </c>
      <c r="BB31" s="7">
        <v>13590835</v>
      </c>
    </row>
    <row r="32" spans="1:54" x14ac:dyDescent="0.4">
      <c r="A32" s="34" t="s">
        <v>6</v>
      </c>
      <c r="B32" s="7">
        <v>4414257</v>
      </c>
      <c r="C32" s="7">
        <v>4233274</v>
      </c>
      <c r="D32" s="7">
        <v>4415712</v>
      </c>
      <c r="E32" s="7">
        <v>4569162</v>
      </c>
      <c r="F32" s="7">
        <v>4859751</v>
      </c>
      <c r="G32" s="7">
        <v>4857140</v>
      </c>
      <c r="H32" s="7">
        <v>4896539</v>
      </c>
      <c r="I32" s="7">
        <v>4892619</v>
      </c>
      <c r="J32" s="7">
        <v>5892743</v>
      </c>
      <c r="K32" s="7">
        <v>5791168</v>
      </c>
      <c r="L32" s="7">
        <v>5864372</v>
      </c>
      <c r="M32" s="7">
        <v>5829353</v>
      </c>
      <c r="N32" s="7">
        <v>6012760</v>
      </c>
      <c r="O32" s="7">
        <v>6117163</v>
      </c>
      <c r="P32" s="7">
        <v>6258021</v>
      </c>
      <c r="Q32" s="7">
        <v>6272802</v>
      </c>
      <c r="R32" s="7">
        <v>6586035</v>
      </c>
      <c r="S32" s="7">
        <v>6947083</v>
      </c>
      <c r="T32" s="7">
        <v>7116831</v>
      </c>
      <c r="U32" s="7">
        <v>7572861</v>
      </c>
      <c r="V32" s="7">
        <v>7820146</v>
      </c>
      <c r="W32" s="7">
        <v>7879971</v>
      </c>
      <c r="X32" s="7">
        <v>8135309</v>
      </c>
      <c r="Y32" s="7">
        <v>8261275</v>
      </c>
      <c r="Z32" s="7">
        <v>8462574</v>
      </c>
      <c r="AA32" s="7">
        <v>8804502</v>
      </c>
      <c r="AB32" s="7">
        <v>9456789</v>
      </c>
      <c r="AC32" s="7">
        <v>9945470</v>
      </c>
      <c r="AD32" s="7">
        <v>10146562</v>
      </c>
      <c r="AE32" s="7">
        <v>10571931</v>
      </c>
      <c r="AF32" s="7">
        <v>11480294</v>
      </c>
      <c r="AG32" s="7">
        <v>12796005</v>
      </c>
      <c r="AH32" s="7">
        <v>15325835</v>
      </c>
      <c r="AI32" s="7">
        <v>16012522</v>
      </c>
      <c r="AJ32" s="7">
        <v>16847854</v>
      </c>
      <c r="AK32" s="7">
        <v>17352866</v>
      </c>
      <c r="AL32" s="7">
        <v>17081503</v>
      </c>
      <c r="AM32" s="7">
        <v>17205947</v>
      </c>
      <c r="AN32" s="7">
        <v>17255435</v>
      </c>
      <c r="AO32" s="7">
        <v>16828191</v>
      </c>
      <c r="AP32" s="7">
        <v>19559128</v>
      </c>
      <c r="AQ32" s="7">
        <v>20118883</v>
      </c>
      <c r="AR32" s="7">
        <v>21002129</v>
      </c>
      <c r="AS32" s="7">
        <v>21322717</v>
      </c>
      <c r="AT32" s="7">
        <v>21852925</v>
      </c>
      <c r="AU32" s="7">
        <v>22333044</v>
      </c>
      <c r="AV32" s="7">
        <v>22436962</v>
      </c>
      <c r="AW32" s="7">
        <v>22758722</v>
      </c>
      <c r="AX32" s="7">
        <v>26946518</v>
      </c>
      <c r="AY32" s="7">
        <v>27605549</v>
      </c>
      <c r="AZ32" s="7">
        <v>28982557</v>
      </c>
      <c r="BA32" s="7">
        <v>30200873</v>
      </c>
      <c r="BB32" s="7">
        <v>33429770</v>
      </c>
    </row>
    <row r="33" spans="1:54" x14ac:dyDescent="0.4">
      <c r="A33" s="35" t="s">
        <v>13</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3000</v>
      </c>
      <c r="AA33" s="7">
        <v>3000</v>
      </c>
      <c r="AB33" s="7">
        <v>3000</v>
      </c>
      <c r="AC33" s="7">
        <v>3000</v>
      </c>
      <c r="AD33" s="7">
        <v>0</v>
      </c>
      <c r="AE33" s="7">
        <v>0</v>
      </c>
      <c r="AF33" s="7">
        <v>0</v>
      </c>
      <c r="AG33" s="7">
        <v>0</v>
      </c>
      <c r="AH33" s="7">
        <v>0</v>
      </c>
      <c r="AI33" s="7">
        <v>0</v>
      </c>
      <c r="AJ33" s="7">
        <v>0</v>
      </c>
      <c r="AK33" s="7">
        <v>0</v>
      </c>
      <c r="AL33" s="7">
        <v>0</v>
      </c>
      <c r="AM33" s="7">
        <v>5416</v>
      </c>
      <c r="AN33" s="7">
        <v>5570</v>
      </c>
      <c r="AO33" s="7">
        <v>5417</v>
      </c>
      <c r="AP33" s="7">
        <v>5574</v>
      </c>
      <c r="AQ33" s="7">
        <v>0</v>
      </c>
      <c r="AR33" s="7">
        <v>0</v>
      </c>
      <c r="AS33" s="7">
        <v>15052</v>
      </c>
      <c r="AT33" s="7">
        <v>60200</v>
      </c>
      <c r="AU33" s="7">
        <v>59928</v>
      </c>
      <c r="AV33" s="7">
        <v>6363</v>
      </c>
      <c r="AW33" s="7">
        <v>4363</v>
      </c>
      <c r="AX33" s="7">
        <v>0</v>
      </c>
      <c r="AY33" s="7">
        <v>0</v>
      </c>
      <c r="AZ33" s="7">
        <v>0</v>
      </c>
      <c r="BA33" s="7">
        <v>0</v>
      </c>
      <c r="BB33" s="7">
        <v>0</v>
      </c>
    </row>
    <row r="34" spans="1:54" x14ac:dyDescent="0.4">
      <c r="A34" s="35" t="s">
        <v>14</v>
      </c>
      <c r="B34" s="7">
        <v>4414257</v>
      </c>
      <c r="C34" s="7">
        <v>4233274</v>
      </c>
      <c r="D34" s="7">
        <v>4415712</v>
      </c>
      <c r="E34" s="7">
        <v>4569162</v>
      </c>
      <c r="F34" s="7">
        <v>4859751</v>
      </c>
      <c r="G34" s="7">
        <v>4857140</v>
      </c>
      <c r="H34" s="7">
        <v>4896539</v>
      </c>
      <c r="I34" s="7">
        <v>4892619</v>
      </c>
      <c r="J34" s="7">
        <v>5892743</v>
      </c>
      <c r="K34" s="7">
        <v>5791168</v>
      </c>
      <c r="L34" s="7">
        <v>5864372</v>
      </c>
      <c r="M34" s="7">
        <v>5829353</v>
      </c>
      <c r="N34" s="7">
        <v>6012760</v>
      </c>
      <c r="O34" s="7">
        <v>6117163</v>
      </c>
      <c r="P34" s="7">
        <v>6258021</v>
      </c>
      <c r="Q34" s="7">
        <v>6272802</v>
      </c>
      <c r="R34" s="7">
        <v>6586035</v>
      </c>
      <c r="S34" s="7">
        <v>6947083</v>
      </c>
      <c r="T34" s="7">
        <v>7116831</v>
      </c>
      <c r="U34" s="7">
        <v>7572861</v>
      </c>
      <c r="V34" s="7">
        <v>7820146</v>
      </c>
      <c r="W34" s="7">
        <v>7879971</v>
      </c>
      <c r="X34" s="7">
        <v>8135309</v>
      </c>
      <c r="Y34" s="7">
        <v>8261275</v>
      </c>
      <c r="Z34" s="7">
        <v>8459574</v>
      </c>
      <c r="AA34" s="7">
        <v>8801502</v>
      </c>
      <c r="AB34" s="7">
        <v>9453789</v>
      </c>
      <c r="AC34" s="7">
        <v>9942470</v>
      </c>
      <c r="AD34" s="7">
        <v>10146562</v>
      </c>
      <c r="AE34" s="7">
        <v>10571931</v>
      </c>
      <c r="AF34" s="7">
        <v>11480294</v>
      </c>
      <c r="AG34" s="7">
        <v>12796005</v>
      </c>
      <c r="AH34" s="7">
        <v>15325835</v>
      </c>
      <c r="AI34" s="7">
        <v>16012522</v>
      </c>
      <c r="AJ34" s="7">
        <v>16847854</v>
      </c>
      <c r="AK34" s="7">
        <v>17352866</v>
      </c>
      <c r="AL34" s="7">
        <v>17081503</v>
      </c>
      <c r="AM34" s="7">
        <v>17200532</v>
      </c>
      <c r="AN34" s="7">
        <v>17249865</v>
      </c>
      <c r="AO34" s="7">
        <v>16822774</v>
      </c>
      <c r="AP34" s="7">
        <v>19553554</v>
      </c>
      <c r="AQ34" s="7">
        <v>20118883</v>
      </c>
      <c r="AR34" s="7">
        <v>21002129</v>
      </c>
      <c r="AS34" s="7">
        <v>21307665</v>
      </c>
      <c r="AT34" s="7">
        <v>21792726</v>
      </c>
      <c r="AU34" s="7">
        <v>22273116</v>
      </c>
      <c r="AV34" s="7">
        <v>22430599</v>
      </c>
      <c r="AW34" s="7">
        <v>22754359</v>
      </c>
      <c r="AX34" s="7">
        <v>26946518</v>
      </c>
      <c r="AY34" s="7">
        <v>27605549</v>
      </c>
      <c r="AZ34" s="7">
        <v>28982557</v>
      </c>
      <c r="BA34" s="7">
        <v>30200873</v>
      </c>
      <c r="BB34" s="7">
        <v>33429770</v>
      </c>
    </row>
    <row r="35" spans="1:54" x14ac:dyDescent="0.4">
      <c r="A35" s="35" t="s">
        <v>27</v>
      </c>
      <c r="B35" s="7"/>
      <c r="C35" s="7"/>
      <c r="D35" s="7"/>
      <c r="E35" s="7"/>
      <c r="F35" s="7"/>
      <c r="G35" s="7"/>
      <c r="H35" s="7"/>
      <c r="I35" s="7"/>
      <c r="J35" s="7"/>
      <c r="K35" s="7"/>
      <c r="L35" s="7"/>
      <c r="M35" s="7"/>
      <c r="N35" s="7"/>
      <c r="O35" s="7"/>
      <c r="P35" s="7"/>
      <c r="Q35" s="7"/>
      <c r="R35" s="7"/>
      <c r="S35" s="7"/>
      <c r="T35" s="7"/>
      <c r="U35" s="7"/>
      <c r="V35" s="7"/>
      <c r="W35" s="7"/>
      <c r="X35" s="7"/>
      <c r="Y35" s="7"/>
      <c r="Z35" s="7">
        <v>728232</v>
      </c>
      <c r="AA35" s="7">
        <v>818588</v>
      </c>
      <c r="AB35" s="7">
        <v>807334</v>
      </c>
      <c r="AC35" s="7">
        <v>824086</v>
      </c>
      <c r="AD35" s="7">
        <v>565997</v>
      </c>
      <c r="AE35" s="7">
        <v>413026</v>
      </c>
      <c r="AF35" s="7">
        <v>310002</v>
      </c>
      <c r="AG35" s="7">
        <v>583059</v>
      </c>
      <c r="AH35" s="7">
        <v>1037677</v>
      </c>
      <c r="AI35" s="7">
        <v>948081</v>
      </c>
      <c r="AJ35" s="7">
        <v>809296</v>
      </c>
      <c r="AK35" s="7">
        <v>977403</v>
      </c>
      <c r="AL35" s="7">
        <v>1111038</v>
      </c>
      <c r="AM35" s="7">
        <v>1270470</v>
      </c>
      <c r="AN35" s="7">
        <v>1282520</v>
      </c>
      <c r="AO35" s="7">
        <v>1331627</v>
      </c>
      <c r="AP35" s="7">
        <v>901307</v>
      </c>
      <c r="AQ35" s="7">
        <v>1129081</v>
      </c>
      <c r="AR35" s="7">
        <v>1471083</v>
      </c>
      <c r="AS35" s="7">
        <v>1374332</v>
      </c>
      <c r="AT35" s="7">
        <v>1584551</v>
      </c>
      <c r="AU35" s="7">
        <v>1624414</v>
      </c>
      <c r="AV35" s="7">
        <v>1309235</v>
      </c>
      <c r="AW35" s="7">
        <v>1425173</v>
      </c>
      <c r="AX35" s="7">
        <v>1514274</v>
      </c>
      <c r="AY35" s="7">
        <v>1643947</v>
      </c>
      <c r="AZ35" s="7">
        <v>1848192</v>
      </c>
      <c r="BA35" s="7">
        <v>1793077</v>
      </c>
      <c r="BB35" s="7">
        <v>1697711</v>
      </c>
    </row>
    <row r="36" spans="1:54" x14ac:dyDescent="0.4">
      <c r="A36" s="35" t="s">
        <v>30</v>
      </c>
      <c r="B36" s="7"/>
      <c r="C36" s="7"/>
      <c r="D36" s="7"/>
      <c r="E36" s="7"/>
      <c r="F36" s="7"/>
      <c r="G36" s="7"/>
      <c r="H36" s="7"/>
      <c r="I36" s="7"/>
      <c r="J36" s="7"/>
      <c r="K36" s="7"/>
      <c r="L36" s="7"/>
      <c r="M36" s="7"/>
      <c r="N36" s="7"/>
      <c r="O36" s="7"/>
      <c r="P36" s="7"/>
      <c r="Q36" s="7"/>
      <c r="R36" s="7"/>
      <c r="S36" s="7"/>
      <c r="T36" s="7"/>
      <c r="U36" s="7"/>
      <c r="V36" s="7"/>
      <c r="W36" s="7"/>
      <c r="X36" s="7"/>
      <c r="Y36" s="7"/>
      <c r="Z36" s="7">
        <v>7731342</v>
      </c>
      <c r="AA36" s="7">
        <v>7982915</v>
      </c>
      <c r="AB36" s="7">
        <v>8646455</v>
      </c>
      <c r="AC36" s="7">
        <v>9118384</v>
      </c>
      <c r="AD36" s="7">
        <v>9580565</v>
      </c>
      <c r="AE36" s="7">
        <v>10158905</v>
      </c>
      <c r="AF36" s="7">
        <v>11170292</v>
      </c>
      <c r="AG36" s="7">
        <v>12212945</v>
      </c>
      <c r="AH36" s="7">
        <v>14288158</v>
      </c>
      <c r="AI36" s="7">
        <v>15064441</v>
      </c>
      <c r="AJ36" s="7">
        <v>16038558</v>
      </c>
      <c r="AK36" s="7">
        <v>16375463</v>
      </c>
      <c r="AL36" s="7">
        <v>15970465</v>
      </c>
      <c r="AM36" s="7">
        <v>15930062</v>
      </c>
      <c r="AN36" s="7">
        <v>15967345</v>
      </c>
      <c r="AO36" s="7">
        <v>15491147</v>
      </c>
      <c r="AP36" s="7">
        <v>18652247</v>
      </c>
      <c r="AQ36" s="7">
        <v>18989802</v>
      </c>
      <c r="AR36" s="7">
        <v>19531046</v>
      </c>
      <c r="AS36" s="7">
        <v>19933333</v>
      </c>
      <c r="AT36" s="7">
        <v>20208174</v>
      </c>
      <c r="AU36" s="7">
        <v>20648702</v>
      </c>
      <c r="AV36" s="7">
        <v>21121364</v>
      </c>
      <c r="AW36" s="7">
        <v>21329187</v>
      </c>
      <c r="AX36" s="7">
        <v>25432244</v>
      </c>
      <c r="AY36" s="7">
        <v>25961602</v>
      </c>
      <c r="AZ36" s="7">
        <v>27134365</v>
      </c>
      <c r="BA36" s="7">
        <v>28407796</v>
      </c>
      <c r="BB36" s="7">
        <v>31732059</v>
      </c>
    </row>
    <row r="37" spans="1:54" x14ac:dyDescent="0.4">
      <c r="A37" s="34" t="s">
        <v>7</v>
      </c>
      <c r="B37" s="7">
        <v>1835416</v>
      </c>
      <c r="C37" s="7">
        <v>1937148</v>
      </c>
      <c r="D37" s="7">
        <v>2001546</v>
      </c>
      <c r="E37" s="7">
        <v>2041163</v>
      </c>
      <c r="F37" s="7">
        <v>2126927</v>
      </c>
      <c r="G37" s="7">
        <v>2162627</v>
      </c>
      <c r="H37" s="7">
        <v>2159302</v>
      </c>
      <c r="I37" s="7">
        <v>2167025</v>
      </c>
      <c r="J37" s="7">
        <v>2847022</v>
      </c>
      <c r="K37" s="7">
        <v>3248706</v>
      </c>
      <c r="L37" s="7">
        <v>3412307</v>
      </c>
      <c r="M37" s="7">
        <v>3525571</v>
      </c>
      <c r="N37" s="7">
        <v>3731458</v>
      </c>
      <c r="O37" s="7">
        <v>3772805</v>
      </c>
      <c r="P37" s="7">
        <v>4072985</v>
      </c>
      <c r="Q37" s="7">
        <v>4287576</v>
      </c>
      <c r="R37" s="7">
        <v>5053436</v>
      </c>
      <c r="S37" s="7">
        <v>5151570</v>
      </c>
      <c r="T37" s="7">
        <v>5405886</v>
      </c>
      <c r="U37" s="7">
        <v>5709501</v>
      </c>
      <c r="V37" s="7">
        <v>6486115</v>
      </c>
      <c r="W37" s="7">
        <v>6598917</v>
      </c>
      <c r="X37" s="7">
        <v>6641897</v>
      </c>
      <c r="Y37" s="7">
        <v>6630854</v>
      </c>
      <c r="Z37" s="7">
        <v>6719667</v>
      </c>
      <c r="AA37" s="7">
        <v>6774317</v>
      </c>
      <c r="AB37" s="7">
        <v>6936857</v>
      </c>
      <c r="AC37" s="7">
        <v>6995819</v>
      </c>
      <c r="AD37" s="7">
        <v>7345798</v>
      </c>
      <c r="AE37" s="7">
        <v>7639022</v>
      </c>
      <c r="AF37" s="7">
        <v>7698515</v>
      </c>
      <c r="AG37" s="7">
        <v>7824063</v>
      </c>
      <c r="AH37" s="7">
        <v>8988494</v>
      </c>
      <c r="AI37" s="7">
        <v>8721208</v>
      </c>
      <c r="AJ37" s="7">
        <v>8652817</v>
      </c>
      <c r="AK37" s="7">
        <v>9048586</v>
      </c>
      <c r="AL37" s="7">
        <v>9301861</v>
      </c>
      <c r="AM37" s="7">
        <v>9165760</v>
      </c>
      <c r="AN37" s="7">
        <v>8843816</v>
      </c>
      <c r="AO37" s="7">
        <v>9227874</v>
      </c>
      <c r="AP37" s="7">
        <v>9427671</v>
      </c>
      <c r="AQ37" s="7">
        <v>9603681</v>
      </c>
      <c r="AR37" s="7">
        <v>9863796</v>
      </c>
      <c r="AS37" s="7">
        <v>9948864</v>
      </c>
      <c r="AT37" s="7">
        <v>10220704</v>
      </c>
      <c r="AU37" s="7">
        <v>10778411</v>
      </c>
      <c r="AV37" s="7">
        <v>10992321</v>
      </c>
      <c r="AW37" s="7">
        <v>11856339</v>
      </c>
      <c r="AX37" s="7">
        <v>13154263</v>
      </c>
      <c r="AY37" s="7">
        <v>13833531</v>
      </c>
      <c r="AZ37" s="7">
        <v>14837198</v>
      </c>
      <c r="BA37" s="7">
        <v>15886839</v>
      </c>
      <c r="BB37" s="7">
        <v>16078641</v>
      </c>
    </row>
    <row r="38" spans="1:54" x14ac:dyDescent="0.4">
      <c r="A38" s="35" t="s">
        <v>13</v>
      </c>
      <c r="B38" s="7">
        <v>0</v>
      </c>
      <c r="C38" s="7">
        <v>2000</v>
      </c>
      <c r="D38" s="7">
        <v>2000</v>
      </c>
      <c r="E38" s="7">
        <v>2000</v>
      </c>
      <c r="F38" s="7">
        <v>2000</v>
      </c>
      <c r="G38" s="7">
        <v>0</v>
      </c>
      <c r="H38" s="7">
        <v>15000</v>
      </c>
      <c r="I38" s="7">
        <v>15000</v>
      </c>
      <c r="J38" s="7">
        <v>0</v>
      </c>
      <c r="K38" s="7">
        <v>0</v>
      </c>
      <c r="L38" s="7">
        <v>0</v>
      </c>
      <c r="M38" s="7">
        <v>0</v>
      </c>
      <c r="N38" s="7">
        <v>0</v>
      </c>
      <c r="O38" s="7">
        <v>0</v>
      </c>
      <c r="P38" s="7">
        <v>0</v>
      </c>
      <c r="Q38" s="7">
        <v>100</v>
      </c>
      <c r="R38" s="7">
        <v>100</v>
      </c>
      <c r="S38" s="7">
        <v>100</v>
      </c>
      <c r="T38" s="7">
        <v>130</v>
      </c>
      <c r="U38" s="7">
        <v>60</v>
      </c>
      <c r="V38" s="7">
        <v>10060</v>
      </c>
      <c r="W38" s="7">
        <v>11770</v>
      </c>
      <c r="X38" s="7">
        <v>10990</v>
      </c>
      <c r="Y38" s="7">
        <v>10960</v>
      </c>
      <c r="Z38" s="7">
        <v>210</v>
      </c>
      <c r="AA38" s="7">
        <v>200</v>
      </c>
      <c r="AB38" s="7">
        <v>0</v>
      </c>
      <c r="AC38" s="7">
        <v>50</v>
      </c>
      <c r="AD38" s="7">
        <v>90</v>
      </c>
      <c r="AE38" s="7">
        <v>192</v>
      </c>
      <c r="AF38" s="7">
        <v>191</v>
      </c>
      <c r="AG38" s="7">
        <v>242</v>
      </c>
      <c r="AH38" s="7">
        <v>464</v>
      </c>
      <c r="AI38" s="7">
        <v>464</v>
      </c>
      <c r="AJ38" s="7">
        <v>404</v>
      </c>
      <c r="AK38" s="7">
        <v>214</v>
      </c>
      <c r="AL38" s="7">
        <v>6677</v>
      </c>
      <c r="AM38" s="7">
        <v>7539</v>
      </c>
      <c r="AN38" s="7">
        <v>4604</v>
      </c>
      <c r="AO38" s="7">
        <v>5186</v>
      </c>
      <c r="AP38" s="7">
        <v>39915</v>
      </c>
      <c r="AQ38" s="7">
        <v>44240</v>
      </c>
      <c r="AR38" s="7">
        <v>2188</v>
      </c>
      <c r="AS38" s="7">
        <v>2653</v>
      </c>
      <c r="AT38" s="7">
        <v>34891</v>
      </c>
      <c r="AU38" s="7">
        <v>58031</v>
      </c>
      <c r="AV38" s="7">
        <v>66034</v>
      </c>
      <c r="AW38" s="7">
        <v>33997</v>
      </c>
      <c r="AX38" s="7">
        <v>20473</v>
      </c>
      <c r="AY38" s="7">
        <v>28145</v>
      </c>
      <c r="AZ38" s="7">
        <v>55597</v>
      </c>
      <c r="BA38" s="7">
        <v>57195</v>
      </c>
      <c r="BB38" s="7">
        <v>37909</v>
      </c>
    </row>
    <row r="39" spans="1:54" x14ac:dyDescent="0.4">
      <c r="A39" s="35" t="s">
        <v>14</v>
      </c>
      <c r="B39" s="7">
        <v>1835416</v>
      </c>
      <c r="C39" s="7">
        <v>1935148</v>
      </c>
      <c r="D39" s="7">
        <v>1999546</v>
      </c>
      <c r="E39" s="7">
        <v>2039163</v>
      </c>
      <c r="F39" s="7">
        <v>2124927</v>
      </c>
      <c r="G39" s="7">
        <v>2162627</v>
      </c>
      <c r="H39" s="7">
        <v>2144302</v>
      </c>
      <c r="I39" s="7">
        <v>2152025</v>
      </c>
      <c r="J39" s="7">
        <v>2847022</v>
      </c>
      <c r="K39" s="7">
        <v>3248706</v>
      </c>
      <c r="L39" s="7">
        <v>3412307</v>
      </c>
      <c r="M39" s="7">
        <v>3525571</v>
      </c>
      <c r="N39" s="7">
        <v>3731458</v>
      </c>
      <c r="O39" s="7">
        <v>3772805</v>
      </c>
      <c r="P39" s="7">
        <v>4072985</v>
      </c>
      <c r="Q39" s="7">
        <v>4287476</v>
      </c>
      <c r="R39" s="7">
        <v>5053336</v>
      </c>
      <c r="S39" s="7">
        <v>5151470</v>
      </c>
      <c r="T39" s="7">
        <v>5405756</v>
      </c>
      <c r="U39" s="7">
        <v>5709441</v>
      </c>
      <c r="V39" s="7">
        <v>6476055</v>
      </c>
      <c r="W39" s="7">
        <v>6587147</v>
      </c>
      <c r="X39" s="7">
        <v>6630907</v>
      </c>
      <c r="Y39" s="7">
        <v>6619894</v>
      </c>
      <c r="Z39" s="7">
        <v>6719457</v>
      </c>
      <c r="AA39" s="7">
        <v>6774117</v>
      </c>
      <c r="AB39" s="7">
        <v>6936857</v>
      </c>
      <c r="AC39" s="7">
        <v>6995769</v>
      </c>
      <c r="AD39" s="7">
        <v>7345708</v>
      </c>
      <c r="AE39" s="7">
        <v>7638831</v>
      </c>
      <c r="AF39" s="7">
        <v>7698324</v>
      </c>
      <c r="AG39" s="7">
        <v>7823821</v>
      </c>
      <c r="AH39" s="7">
        <v>8988030</v>
      </c>
      <c r="AI39" s="7">
        <v>8720744</v>
      </c>
      <c r="AJ39" s="7">
        <v>8652413</v>
      </c>
      <c r="AK39" s="7">
        <v>9048372</v>
      </c>
      <c r="AL39" s="7">
        <v>9295185</v>
      </c>
      <c r="AM39" s="7">
        <v>9158221</v>
      </c>
      <c r="AN39" s="7">
        <v>8839212</v>
      </c>
      <c r="AO39" s="7">
        <v>9222688</v>
      </c>
      <c r="AP39" s="7">
        <v>9387756</v>
      </c>
      <c r="AQ39" s="7">
        <v>9559442</v>
      </c>
      <c r="AR39" s="7">
        <v>9861608</v>
      </c>
      <c r="AS39" s="7">
        <v>9946211</v>
      </c>
      <c r="AT39" s="7">
        <v>10185814</v>
      </c>
      <c r="AU39" s="7">
        <v>10720380</v>
      </c>
      <c r="AV39" s="7">
        <v>10926286</v>
      </c>
      <c r="AW39" s="7">
        <v>11822342</v>
      </c>
      <c r="AX39" s="7">
        <v>13133789</v>
      </c>
      <c r="AY39" s="7">
        <v>13805386</v>
      </c>
      <c r="AZ39" s="7">
        <v>14781601</v>
      </c>
      <c r="BA39" s="7">
        <v>15829644</v>
      </c>
      <c r="BB39" s="7">
        <v>16040732</v>
      </c>
    </row>
    <row r="40" spans="1:54" x14ac:dyDescent="0.4">
      <c r="A40" s="35" t="s">
        <v>27</v>
      </c>
      <c r="B40" s="7"/>
      <c r="C40" s="7"/>
      <c r="D40" s="7"/>
      <c r="E40" s="7"/>
      <c r="F40" s="7"/>
      <c r="G40" s="7"/>
      <c r="H40" s="7"/>
      <c r="I40" s="7"/>
      <c r="J40" s="7"/>
      <c r="K40" s="7"/>
      <c r="L40" s="7"/>
      <c r="M40" s="7"/>
      <c r="N40" s="7"/>
      <c r="O40" s="7"/>
      <c r="P40" s="7"/>
      <c r="Q40" s="7"/>
      <c r="R40" s="7"/>
      <c r="S40" s="7"/>
      <c r="T40" s="7"/>
      <c r="U40" s="7"/>
      <c r="V40" s="7"/>
      <c r="W40" s="7"/>
      <c r="X40" s="7"/>
      <c r="Y40" s="7"/>
      <c r="Z40" s="7">
        <v>219196</v>
      </c>
      <c r="AA40" s="7">
        <v>283075</v>
      </c>
      <c r="AB40" s="7">
        <v>262721</v>
      </c>
      <c r="AC40" s="7">
        <v>202947</v>
      </c>
      <c r="AD40" s="7">
        <v>727370</v>
      </c>
      <c r="AE40" s="7">
        <v>1159490</v>
      </c>
      <c r="AF40" s="7">
        <v>1187476</v>
      </c>
      <c r="AG40" s="7">
        <v>1186910</v>
      </c>
      <c r="AH40" s="7">
        <v>710306</v>
      </c>
      <c r="AI40" s="7">
        <v>329491</v>
      </c>
      <c r="AJ40" s="7">
        <v>365457</v>
      </c>
      <c r="AK40" s="7">
        <v>404112</v>
      </c>
      <c r="AL40" s="7">
        <v>500862</v>
      </c>
      <c r="AM40" s="7">
        <v>604841</v>
      </c>
      <c r="AN40" s="7">
        <v>656252</v>
      </c>
      <c r="AO40" s="7">
        <v>617243</v>
      </c>
      <c r="AP40" s="7">
        <v>605380</v>
      </c>
      <c r="AQ40" s="7">
        <v>593232</v>
      </c>
      <c r="AR40" s="7">
        <v>512410</v>
      </c>
      <c r="AS40" s="7">
        <v>586007</v>
      </c>
      <c r="AT40" s="7">
        <v>837139</v>
      </c>
      <c r="AU40" s="7">
        <v>881557</v>
      </c>
      <c r="AV40" s="7">
        <v>978794</v>
      </c>
      <c r="AW40" s="7">
        <v>972190</v>
      </c>
      <c r="AX40" s="7">
        <v>1065558</v>
      </c>
      <c r="AY40" s="7">
        <v>1064401</v>
      </c>
      <c r="AZ40" s="7">
        <v>1415759</v>
      </c>
      <c r="BA40" s="7">
        <v>1777579</v>
      </c>
      <c r="BB40" s="7">
        <v>2428478</v>
      </c>
    </row>
    <row r="41" spans="1:54" x14ac:dyDescent="0.4">
      <c r="A41" s="35" t="s">
        <v>30</v>
      </c>
      <c r="B41" s="7"/>
      <c r="C41" s="7"/>
      <c r="D41" s="7"/>
      <c r="E41" s="7"/>
      <c r="F41" s="7"/>
      <c r="G41" s="7"/>
      <c r="H41" s="7"/>
      <c r="I41" s="7"/>
      <c r="J41" s="7"/>
      <c r="K41" s="7"/>
      <c r="L41" s="7"/>
      <c r="M41" s="7"/>
      <c r="N41" s="7"/>
      <c r="O41" s="7"/>
      <c r="P41" s="7"/>
      <c r="Q41" s="7"/>
      <c r="R41" s="7"/>
      <c r="S41" s="7"/>
      <c r="T41" s="7"/>
      <c r="U41" s="7"/>
      <c r="V41" s="7"/>
      <c r="W41" s="7"/>
      <c r="X41" s="7"/>
      <c r="Y41" s="7"/>
      <c r="Z41" s="7">
        <v>6500261</v>
      </c>
      <c r="AA41" s="7">
        <v>6491042</v>
      </c>
      <c r="AB41" s="7">
        <v>6674136</v>
      </c>
      <c r="AC41" s="7">
        <v>6792822</v>
      </c>
      <c r="AD41" s="7">
        <v>6618338</v>
      </c>
      <c r="AE41" s="7">
        <v>6479340</v>
      </c>
      <c r="AF41" s="7">
        <v>6510848</v>
      </c>
      <c r="AG41" s="7">
        <v>6636912</v>
      </c>
      <c r="AH41" s="7">
        <v>8277724</v>
      </c>
      <c r="AI41" s="7">
        <v>8391253</v>
      </c>
      <c r="AJ41" s="7">
        <v>8286956</v>
      </c>
      <c r="AK41" s="7">
        <v>8644259</v>
      </c>
      <c r="AL41" s="7">
        <v>8794323</v>
      </c>
      <c r="AM41" s="7">
        <v>8553380</v>
      </c>
      <c r="AN41" s="7">
        <v>8182961</v>
      </c>
      <c r="AO41" s="7">
        <v>8605445</v>
      </c>
      <c r="AP41" s="7">
        <v>8782376</v>
      </c>
      <c r="AQ41" s="7">
        <v>8966209</v>
      </c>
      <c r="AR41" s="7">
        <v>9349198</v>
      </c>
      <c r="AS41" s="7">
        <v>9360204</v>
      </c>
      <c r="AT41" s="7">
        <v>9348674</v>
      </c>
      <c r="AU41" s="7">
        <v>9838824</v>
      </c>
      <c r="AV41" s="7">
        <v>9947492</v>
      </c>
      <c r="AW41" s="7">
        <v>10850152</v>
      </c>
      <c r="AX41" s="7">
        <v>12068232</v>
      </c>
      <c r="AY41" s="7">
        <v>12740985</v>
      </c>
      <c r="AZ41" s="7">
        <v>13365842</v>
      </c>
      <c r="BA41" s="7">
        <v>14052065</v>
      </c>
      <c r="BB41" s="7">
        <v>13612254</v>
      </c>
    </row>
    <row r="42" spans="1:54" x14ac:dyDescent="0.4">
      <c r="A42" s="34" t="s">
        <v>8</v>
      </c>
      <c r="B42" s="7">
        <v>70300</v>
      </c>
      <c r="C42" s="7">
        <v>70300</v>
      </c>
      <c r="D42" s="7">
        <v>70300</v>
      </c>
      <c r="E42" s="7">
        <v>87800</v>
      </c>
      <c r="F42" s="7">
        <v>102800</v>
      </c>
      <c r="G42" s="7">
        <v>102800</v>
      </c>
      <c r="H42" s="7">
        <v>101800</v>
      </c>
      <c r="I42" s="7">
        <v>101800</v>
      </c>
      <c r="J42" s="7">
        <v>105800</v>
      </c>
      <c r="K42" s="7">
        <v>105800</v>
      </c>
      <c r="L42" s="7">
        <v>108800</v>
      </c>
      <c r="M42" s="7">
        <v>108800</v>
      </c>
      <c r="N42" s="7">
        <v>113800</v>
      </c>
      <c r="O42" s="7">
        <v>115800</v>
      </c>
      <c r="P42" s="7">
        <v>114800</v>
      </c>
      <c r="Q42" s="7">
        <v>114800</v>
      </c>
      <c r="R42" s="7">
        <v>109800</v>
      </c>
      <c r="S42" s="7">
        <v>109800</v>
      </c>
      <c r="T42" s="7">
        <v>119800</v>
      </c>
      <c r="U42" s="7">
        <v>119800</v>
      </c>
      <c r="V42" s="7">
        <v>106800</v>
      </c>
      <c r="W42" s="7">
        <v>106800</v>
      </c>
      <c r="X42" s="7">
        <v>106800</v>
      </c>
      <c r="Y42" s="7">
        <v>109800</v>
      </c>
      <c r="Z42" s="7">
        <v>107800</v>
      </c>
      <c r="AA42" s="7">
        <v>102800</v>
      </c>
      <c r="AB42" s="7">
        <v>102800</v>
      </c>
      <c r="AC42" s="7">
        <v>109800</v>
      </c>
      <c r="AD42" s="7">
        <v>121800</v>
      </c>
      <c r="AE42" s="7">
        <v>120521</v>
      </c>
      <c r="AF42" s="7">
        <v>160310</v>
      </c>
      <c r="AG42" s="7">
        <v>152064</v>
      </c>
      <c r="AH42" s="7">
        <v>133844</v>
      </c>
      <c r="AI42" s="7">
        <v>131637</v>
      </c>
      <c r="AJ42" s="7">
        <v>121085</v>
      </c>
      <c r="AK42" s="7">
        <v>121314</v>
      </c>
      <c r="AL42" s="7">
        <v>106808</v>
      </c>
      <c r="AM42" s="7">
        <v>107014</v>
      </c>
      <c r="AN42" s="7">
        <v>113859</v>
      </c>
      <c r="AO42" s="7">
        <v>207885</v>
      </c>
      <c r="AP42" s="7">
        <v>242339</v>
      </c>
      <c r="AQ42" s="7">
        <v>199025</v>
      </c>
      <c r="AR42" s="7">
        <v>204654</v>
      </c>
      <c r="AS42" s="7">
        <v>220662</v>
      </c>
      <c r="AT42" s="7">
        <v>230012</v>
      </c>
      <c r="AU42" s="7">
        <v>255805</v>
      </c>
      <c r="AV42" s="7">
        <v>239832</v>
      </c>
      <c r="AW42" s="7">
        <v>249874</v>
      </c>
      <c r="AX42" s="7">
        <v>258333</v>
      </c>
      <c r="AY42" s="7">
        <v>232670</v>
      </c>
      <c r="AZ42" s="7">
        <v>210423</v>
      </c>
      <c r="BA42" s="7">
        <v>211680</v>
      </c>
      <c r="BB42" s="7">
        <v>200547</v>
      </c>
    </row>
    <row r="43" spans="1:54" x14ac:dyDescent="0.4">
      <c r="A43" s="35" t="s">
        <v>13</v>
      </c>
      <c r="B43" s="7">
        <v>13000</v>
      </c>
      <c r="C43" s="7">
        <v>13000</v>
      </c>
      <c r="D43" s="7">
        <v>13000</v>
      </c>
      <c r="E43" s="7">
        <v>13000</v>
      </c>
      <c r="F43" s="7">
        <v>0</v>
      </c>
      <c r="G43" s="7">
        <v>0</v>
      </c>
      <c r="H43" s="7">
        <v>0</v>
      </c>
      <c r="I43" s="7">
        <v>0</v>
      </c>
      <c r="J43" s="7">
        <v>0</v>
      </c>
      <c r="K43" s="7">
        <v>0</v>
      </c>
      <c r="L43" s="7">
        <v>0</v>
      </c>
      <c r="M43" s="7">
        <v>0</v>
      </c>
      <c r="N43" s="7">
        <v>0</v>
      </c>
      <c r="O43" s="7">
        <v>3000</v>
      </c>
      <c r="P43" s="7">
        <v>3000</v>
      </c>
      <c r="Q43" s="7">
        <v>3000</v>
      </c>
      <c r="R43" s="7">
        <v>3000</v>
      </c>
      <c r="S43" s="7">
        <v>13000</v>
      </c>
      <c r="T43" s="7">
        <v>0</v>
      </c>
      <c r="U43" s="7">
        <v>3000</v>
      </c>
      <c r="V43" s="7">
        <v>0</v>
      </c>
      <c r="W43" s="7">
        <v>0</v>
      </c>
      <c r="X43" s="7">
        <v>0</v>
      </c>
      <c r="Y43" s="7">
        <v>0</v>
      </c>
      <c r="Z43" s="7">
        <v>0</v>
      </c>
      <c r="AA43" s="7">
        <v>0</v>
      </c>
      <c r="AB43" s="7">
        <v>0</v>
      </c>
      <c r="AC43" s="7">
        <v>2000</v>
      </c>
      <c r="AD43" s="7">
        <v>3000</v>
      </c>
      <c r="AE43" s="7">
        <v>0</v>
      </c>
      <c r="AF43" s="7">
        <v>0</v>
      </c>
      <c r="AG43" s="7">
        <v>0</v>
      </c>
      <c r="AH43" s="7">
        <v>0</v>
      </c>
      <c r="AI43" s="7">
        <v>0</v>
      </c>
      <c r="AJ43" s="7">
        <v>0</v>
      </c>
      <c r="AK43" s="7">
        <v>0</v>
      </c>
      <c r="AL43" s="7">
        <v>0</v>
      </c>
      <c r="AM43" s="7">
        <v>0</v>
      </c>
      <c r="AN43" s="7">
        <v>0</v>
      </c>
      <c r="AO43" s="7">
        <v>43395</v>
      </c>
      <c r="AP43" s="7">
        <v>44327</v>
      </c>
      <c r="AQ43" s="7">
        <v>0</v>
      </c>
      <c r="AR43" s="7">
        <v>0</v>
      </c>
      <c r="AS43" s="7">
        <v>0</v>
      </c>
      <c r="AT43" s="7">
        <v>0</v>
      </c>
      <c r="AU43" s="7">
        <v>0</v>
      </c>
      <c r="AV43" s="7">
        <v>0</v>
      </c>
      <c r="AW43" s="7">
        <v>0</v>
      </c>
      <c r="AX43" s="7">
        <v>0</v>
      </c>
      <c r="AY43" s="7">
        <v>0</v>
      </c>
      <c r="AZ43" s="7">
        <v>0</v>
      </c>
      <c r="BA43" s="7">
        <v>0</v>
      </c>
      <c r="BB43" s="7">
        <v>0</v>
      </c>
    </row>
    <row r="44" spans="1:54" x14ac:dyDescent="0.4">
      <c r="A44" s="34" t="s">
        <v>19</v>
      </c>
      <c r="B44" s="7">
        <v>57300</v>
      </c>
      <c r="C44" s="7">
        <v>57300</v>
      </c>
      <c r="D44" s="7">
        <v>57300</v>
      </c>
      <c r="E44" s="7">
        <v>74800</v>
      </c>
      <c r="F44" s="7">
        <v>102800</v>
      </c>
      <c r="G44" s="7">
        <v>102800</v>
      </c>
      <c r="H44" s="7">
        <v>101800</v>
      </c>
      <c r="I44" s="7">
        <v>101800</v>
      </c>
      <c r="J44" s="7">
        <v>105800</v>
      </c>
      <c r="K44" s="7">
        <v>105800</v>
      </c>
      <c r="L44" s="7">
        <v>108800</v>
      </c>
      <c r="M44" s="7">
        <v>108800</v>
      </c>
      <c r="N44" s="7">
        <v>113800</v>
      </c>
      <c r="O44" s="7">
        <v>112800</v>
      </c>
      <c r="P44" s="7">
        <v>111800</v>
      </c>
      <c r="Q44" s="7">
        <v>111800</v>
      </c>
      <c r="R44" s="7">
        <v>106800</v>
      </c>
      <c r="S44" s="7">
        <v>96800</v>
      </c>
      <c r="T44" s="7">
        <v>119800</v>
      </c>
      <c r="U44" s="7">
        <v>116800</v>
      </c>
      <c r="V44" s="7">
        <v>106800</v>
      </c>
      <c r="W44" s="7">
        <v>106800</v>
      </c>
      <c r="X44" s="7">
        <v>106800</v>
      </c>
      <c r="Y44" s="7">
        <v>109800</v>
      </c>
      <c r="Z44" s="7">
        <v>107800</v>
      </c>
      <c r="AA44" s="7">
        <v>102800</v>
      </c>
      <c r="AB44" s="7">
        <v>102800</v>
      </c>
      <c r="AC44" s="7">
        <v>107800</v>
      </c>
      <c r="AD44" s="7">
        <v>118800</v>
      </c>
      <c r="AE44" s="7">
        <v>120521</v>
      </c>
      <c r="AF44" s="7">
        <v>160310</v>
      </c>
      <c r="AG44" s="7">
        <v>152064</v>
      </c>
      <c r="AH44" s="7">
        <v>133844</v>
      </c>
      <c r="AI44" s="7">
        <v>131637</v>
      </c>
      <c r="AJ44" s="7">
        <v>121085</v>
      </c>
      <c r="AK44" s="7">
        <v>121314</v>
      </c>
      <c r="AL44" s="7">
        <v>106808</v>
      </c>
      <c r="AM44" s="7">
        <v>107014</v>
      </c>
      <c r="AN44" s="7">
        <v>113859</v>
      </c>
      <c r="AO44" s="7">
        <v>164490</v>
      </c>
      <c r="AP44" s="7">
        <v>198012</v>
      </c>
      <c r="AQ44" s="7">
        <v>199025</v>
      </c>
      <c r="AR44" s="7">
        <v>204654</v>
      </c>
      <c r="AS44" s="7">
        <v>220662</v>
      </c>
      <c r="AT44" s="7">
        <v>230012</v>
      </c>
      <c r="AU44" s="7">
        <v>255805</v>
      </c>
      <c r="AV44" s="7">
        <v>239832</v>
      </c>
      <c r="AW44" s="7">
        <v>249874</v>
      </c>
      <c r="AX44" s="7">
        <v>258333</v>
      </c>
      <c r="AY44" s="7">
        <v>232670</v>
      </c>
      <c r="AZ44" s="7">
        <v>210423</v>
      </c>
      <c r="BA44" s="7">
        <v>211680</v>
      </c>
      <c r="BB44" s="7">
        <v>200547</v>
      </c>
    </row>
    <row r="45" spans="1:54" x14ac:dyDescent="0.4">
      <c r="A45" s="35" t="s">
        <v>27</v>
      </c>
      <c r="B45" s="7"/>
      <c r="C45" s="7"/>
      <c r="D45" s="7"/>
      <c r="E45" s="7"/>
      <c r="F45" s="7"/>
      <c r="G45" s="7"/>
      <c r="H45" s="7"/>
      <c r="I45" s="7"/>
      <c r="J45" s="7"/>
      <c r="K45" s="7"/>
      <c r="L45" s="7"/>
      <c r="M45" s="7"/>
      <c r="N45" s="7"/>
      <c r="O45" s="7"/>
      <c r="P45" s="7"/>
      <c r="Q45" s="7"/>
      <c r="R45" s="7"/>
      <c r="S45" s="7"/>
      <c r="T45" s="7"/>
      <c r="U45" s="7"/>
      <c r="V45" s="7"/>
      <c r="W45" s="7"/>
      <c r="X45" s="7"/>
      <c r="Y45" s="7"/>
      <c r="Z45" s="7">
        <v>10000</v>
      </c>
      <c r="AA45" s="7">
        <v>0</v>
      </c>
      <c r="AB45" s="7">
        <v>0</v>
      </c>
      <c r="AC45" s="7">
        <v>15000</v>
      </c>
      <c r="AD45" s="7">
        <v>20000</v>
      </c>
      <c r="AE45" s="7">
        <v>25320</v>
      </c>
      <c r="AF45" s="7">
        <v>35733</v>
      </c>
      <c r="AG45" s="7">
        <v>20560</v>
      </c>
      <c r="AH45" s="7">
        <v>29551</v>
      </c>
      <c r="AI45" s="7">
        <v>24635</v>
      </c>
      <c r="AJ45" s="7">
        <v>14300</v>
      </c>
      <c r="AK45" s="7">
        <v>14300</v>
      </c>
      <c r="AL45" s="7">
        <v>0</v>
      </c>
      <c r="AM45" s="7">
        <v>14165</v>
      </c>
      <c r="AN45" s="7">
        <v>34492</v>
      </c>
      <c r="AO45" s="7">
        <v>34568</v>
      </c>
      <c r="AP45" s="7">
        <v>34505</v>
      </c>
      <c r="AQ45" s="7">
        <v>20400</v>
      </c>
      <c r="AR45" s="7">
        <v>12060</v>
      </c>
      <c r="AS45" s="7">
        <v>12062</v>
      </c>
      <c r="AT45" s="7">
        <v>19136</v>
      </c>
      <c r="AU45" s="7">
        <v>24222</v>
      </c>
      <c r="AV45" s="7">
        <v>27444</v>
      </c>
      <c r="AW45" s="7">
        <v>37723</v>
      </c>
      <c r="AX45" s="7">
        <v>35782</v>
      </c>
      <c r="AY45" s="7">
        <v>39901</v>
      </c>
      <c r="AZ45" s="7">
        <v>24960</v>
      </c>
      <c r="BA45" s="7">
        <v>13722</v>
      </c>
      <c r="BB45" s="7">
        <v>14491</v>
      </c>
    </row>
    <row r="46" spans="1:54" x14ac:dyDescent="0.4">
      <c r="A46" s="35" t="s">
        <v>30</v>
      </c>
      <c r="B46" s="7"/>
      <c r="C46" s="7"/>
      <c r="D46" s="7"/>
      <c r="E46" s="7"/>
      <c r="F46" s="7"/>
      <c r="G46" s="7"/>
      <c r="H46" s="7"/>
      <c r="I46" s="7"/>
      <c r="J46" s="7"/>
      <c r="K46" s="7"/>
      <c r="L46" s="7"/>
      <c r="M46" s="7"/>
      <c r="N46" s="7"/>
      <c r="O46" s="7"/>
      <c r="P46" s="7"/>
      <c r="Q46" s="7"/>
      <c r="R46" s="7"/>
      <c r="S46" s="7"/>
      <c r="T46" s="7"/>
      <c r="U46" s="7"/>
      <c r="V46" s="7"/>
      <c r="W46" s="7"/>
      <c r="X46" s="7"/>
      <c r="Y46" s="7"/>
      <c r="Z46" s="7">
        <v>97800</v>
      </c>
      <c r="AA46" s="7">
        <v>102800</v>
      </c>
      <c r="AB46" s="7">
        <v>102800</v>
      </c>
      <c r="AC46" s="7">
        <v>92800</v>
      </c>
      <c r="AD46" s="7">
        <v>98800</v>
      </c>
      <c r="AE46" s="7">
        <v>95201</v>
      </c>
      <c r="AF46" s="7">
        <v>124577</v>
      </c>
      <c r="AG46" s="7">
        <v>131504</v>
      </c>
      <c r="AH46" s="7">
        <v>104292</v>
      </c>
      <c r="AI46" s="7">
        <v>107002</v>
      </c>
      <c r="AJ46" s="7">
        <v>106785</v>
      </c>
      <c r="AK46" s="7">
        <v>107014</v>
      </c>
      <c r="AL46" s="7">
        <v>106808</v>
      </c>
      <c r="AM46" s="7">
        <v>92849</v>
      </c>
      <c r="AN46" s="7">
        <v>79367</v>
      </c>
      <c r="AO46" s="7">
        <v>129922</v>
      </c>
      <c r="AP46" s="7">
        <v>163507</v>
      </c>
      <c r="AQ46" s="7">
        <v>178626</v>
      </c>
      <c r="AR46" s="7">
        <v>192594</v>
      </c>
      <c r="AS46" s="7">
        <v>208601</v>
      </c>
      <c r="AT46" s="7">
        <v>210876</v>
      </c>
      <c r="AU46" s="7">
        <v>231584</v>
      </c>
      <c r="AV46" s="7">
        <v>212387</v>
      </c>
      <c r="AW46" s="7">
        <v>212151</v>
      </c>
      <c r="AX46" s="7">
        <v>222550</v>
      </c>
      <c r="AY46" s="7">
        <v>192769</v>
      </c>
      <c r="AZ46" s="7">
        <v>185463</v>
      </c>
      <c r="BA46" s="7">
        <v>197957</v>
      </c>
      <c r="BB46" s="7">
        <v>186057</v>
      </c>
    </row>
    <row r="47" spans="1:54" x14ac:dyDescent="0.4">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7"/>
      <c r="AL47" s="7"/>
      <c r="AM47" s="7"/>
      <c r="AN47" s="7"/>
      <c r="AO47" s="7"/>
      <c r="AP47" s="7"/>
      <c r="AQ47" s="7"/>
      <c r="AR47" s="7"/>
      <c r="AS47" s="7"/>
      <c r="AT47" s="7"/>
      <c r="AU47" s="7"/>
      <c r="AV47" s="7"/>
      <c r="AW47" s="7"/>
      <c r="AX47" s="7"/>
      <c r="AY47" s="7"/>
      <c r="AZ47" s="7"/>
      <c r="BA47" s="7"/>
      <c r="BB47" s="7"/>
    </row>
    <row r="48" spans="1:54" x14ac:dyDescent="0.4">
      <c r="A48" s="31" t="s">
        <v>16</v>
      </c>
      <c r="B48" s="23"/>
      <c r="C48" s="23"/>
      <c r="D48" s="23"/>
      <c r="E48" s="23"/>
      <c r="F48" s="23"/>
      <c r="G48" s="23"/>
      <c r="H48" s="23"/>
      <c r="I48" s="23"/>
      <c r="J48" s="23"/>
      <c r="K48" s="23"/>
      <c r="L48" s="23"/>
      <c r="M48" s="23"/>
      <c r="N48" s="23"/>
      <c r="O48" s="23"/>
      <c r="P48" s="23"/>
      <c r="Q48" s="23"/>
      <c r="R48" s="23"/>
      <c r="S48" s="23"/>
      <c r="T48" s="23"/>
      <c r="U48" s="23"/>
      <c r="V48" s="23"/>
      <c r="W48" s="23"/>
      <c r="X48" s="23"/>
      <c r="AK48" s="7"/>
      <c r="AL48" s="7"/>
      <c r="AM48" s="7"/>
      <c r="AN48" s="7"/>
      <c r="AO48" s="7"/>
      <c r="AP48" s="7"/>
      <c r="AQ48" s="7"/>
      <c r="AR48" s="7"/>
      <c r="AS48" s="7"/>
      <c r="AT48" s="7"/>
      <c r="AU48" s="7"/>
      <c r="AV48" s="7"/>
      <c r="AW48" s="7"/>
      <c r="AX48" s="7"/>
      <c r="AY48" s="7"/>
      <c r="AZ48" s="7"/>
      <c r="BA48" s="7"/>
      <c r="BB48" s="7"/>
    </row>
    <row r="49" spans="1:54" x14ac:dyDescent="0.4">
      <c r="A49" s="32" t="s">
        <v>2</v>
      </c>
      <c r="B49" s="22">
        <v>8472170</v>
      </c>
      <c r="C49" s="22">
        <v>8568201</v>
      </c>
      <c r="D49" s="22">
        <v>8865711</v>
      </c>
      <c r="E49" s="22">
        <v>9226758</v>
      </c>
      <c r="F49" s="22">
        <v>9719081</v>
      </c>
      <c r="G49" s="22">
        <v>9875231</v>
      </c>
      <c r="H49" s="22">
        <v>9967202</v>
      </c>
      <c r="I49" s="22">
        <v>10187920</v>
      </c>
      <c r="J49" s="22">
        <v>12082211</v>
      </c>
      <c r="K49" s="22">
        <v>12423522</v>
      </c>
      <c r="L49" s="22">
        <v>12755354</v>
      </c>
      <c r="M49" s="22">
        <v>12901507</v>
      </c>
      <c r="N49" s="22">
        <v>13293487</v>
      </c>
      <c r="O49" s="22">
        <v>13303747</v>
      </c>
      <c r="P49" s="22">
        <v>13840422</v>
      </c>
      <c r="Q49" s="22">
        <v>13974483</v>
      </c>
      <c r="R49" s="22">
        <v>15122429</v>
      </c>
      <c r="S49" s="22">
        <v>15719232</v>
      </c>
      <c r="T49" s="22">
        <v>16452322</v>
      </c>
      <c r="U49" s="22">
        <v>17352674</v>
      </c>
      <c r="V49" s="22">
        <v>18666789</v>
      </c>
      <c r="W49" s="22">
        <v>19745907</v>
      </c>
      <c r="X49" s="22">
        <v>19930859</v>
      </c>
      <c r="Y49" s="22">
        <v>20434930</v>
      </c>
      <c r="Z49" s="22">
        <v>20637139</v>
      </c>
      <c r="AA49" s="22">
        <v>21408087</v>
      </c>
      <c r="AB49" s="22">
        <v>22695123</v>
      </c>
      <c r="AC49" s="22">
        <v>22481479</v>
      </c>
      <c r="AD49" s="22">
        <v>24581595</v>
      </c>
      <c r="AE49" s="22">
        <v>25013468</v>
      </c>
      <c r="AF49" s="22">
        <v>25182492</v>
      </c>
      <c r="AG49" s="22">
        <v>26848271</v>
      </c>
      <c r="AH49" s="22">
        <v>30951227</v>
      </c>
      <c r="AI49" s="22">
        <v>31340997</v>
      </c>
      <c r="AJ49" s="22">
        <v>32106007</v>
      </c>
      <c r="AK49" s="22">
        <v>32970476</v>
      </c>
      <c r="AL49" s="22">
        <v>32677779</v>
      </c>
      <c r="AM49" s="22">
        <v>32484392</v>
      </c>
      <c r="AN49" s="22">
        <v>32448031</v>
      </c>
      <c r="AO49" s="22">
        <v>32535025</v>
      </c>
      <c r="AP49" s="22">
        <v>35656287</v>
      </c>
      <c r="AQ49" s="22">
        <v>36185409</v>
      </c>
      <c r="AR49" s="22">
        <v>37540086</v>
      </c>
      <c r="AS49" s="22">
        <v>38769345</v>
      </c>
      <c r="AT49" s="22">
        <v>40722702</v>
      </c>
      <c r="AU49" s="22">
        <v>41592963</v>
      </c>
      <c r="AV49" s="22">
        <v>42107203</v>
      </c>
      <c r="AW49" s="22">
        <v>43523979</v>
      </c>
      <c r="AX49" s="22">
        <v>48254236</v>
      </c>
      <c r="AY49" s="22">
        <v>50596018</v>
      </c>
      <c r="AZ49" s="22">
        <v>53149746</v>
      </c>
      <c r="BA49" s="22">
        <v>55376219</v>
      </c>
      <c r="BB49" s="22">
        <v>60348225</v>
      </c>
    </row>
    <row r="50" spans="1:54" x14ac:dyDescent="0.4">
      <c r="A50" s="33" t="s">
        <v>13</v>
      </c>
      <c r="B50" s="22">
        <v>13000</v>
      </c>
      <c r="C50" s="22">
        <v>15000</v>
      </c>
      <c r="D50" s="22">
        <v>15000</v>
      </c>
      <c r="E50" s="22">
        <v>15000</v>
      </c>
      <c r="F50" s="22">
        <v>2000</v>
      </c>
      <c r="G50" s="22">
        <v>873</v>
      </c>
      <c r="H50" s="22">
        <v>15873</v>
      </c>
      <c r="I50" s="22">
        <v>15873</v>
      </c>
      <c r="J50" s="22">
        <v>0</v>
      </c>
      <c r="K50" s="22">
        <v>0</v>
      </c>
      <c r="L50" s="22">
        <v>0</v>
      </c>
      <c r="M50" s="22">
        <v>0</v>
      </c>
      <c r="N50" s="22">
        <v>0</v>
      </c>
      <c r="O50" s="22">
        <v>3000</v>
      </c>
      <c r="P50" s="22">
        <v>3000</v>
      </c>
      <c r="Q50" s="22">
        <v>3100</v>
      </c>
      <c r="R50" s="22">
        <v>4086</v>
      </c>
      <c r="S50" s="22">
        <v>71413</v>
      </c>
      <c r="T50" s="22">
        <v>81738</v>
      </c>
      <c r="U50" s="22">
        <v>165588</v>
      </c>
      <c r="V50" s="22">
        <v>399890</v>
      </c>
      <c r="W50" s="22">
        <v>1225796</v>
      </c>
      <c r="X50" s="22">
        <v>1196256</v>
      </c>
      <c r="Y50" s="22">
        <v>1540427</v>
      </c>
      <c r="Z50" s="22">
        <v>1396218</v>
      </c>
      <c r="AA50" s="22">
        <v>1537398</v>
      </c>
      <c r="AB50" s="22">
        <v>1814693</v>
      </c>
      <c r="AC50" s="22">
        <v>981499</v>
      </c>
      <c r="AD50" s="22">
        <v>2115601</v>
      </c>
      <c r="AE50" s="22">
        <v>1713463</v>
      </c>
      <c r="AF50" s="22">
        <v>871475</v>
      </c>
      <c r="AG50" s="22">
        <v>958202</v>
      </c>
      <c r="AH50" s="22">
        <v>707112</v>
      </c>
      <c r="AI50" s="22">
        <v>756482</v>
      </c>
      <c r="AJ50" s="22">
        <v>723835</v>
      </c>
      <c r="AK50" s="22">
        <v>691104</v>
      </c>
      <c r="AL50" s="22">
        <v>147867</v>
      </c>
      <c r="AM50" s="22">
        <v>140067</v>
      </c>
      <c r="AN50" s="22">
        <v>135107</v>
      </c>
      <c r="AO50" s="22">
        <v>229562</v>
      </c>
      <c r="AP50" s="22">
        <v>141673</v>
      </c>
      <c r="AQ50" s="22">
        <v>122317</v>
      </c>
      <c r="AR50" s="22">
        <v>152592</v>
      </c>
      <c r="AS50" s="22">
        <v>291938</v>
      </c>
      <c r="AT50" s="22">
        <v>289130</v>
      </c>
      <c r="AU50" s="22">
        <v>370324</v>
      </c>
      <c r="AV50" s="22">
        <v>345072</v>
      </c>
      <c r="AW50" s="22">
        <v>274239</v>
      </c>
      <c r="AX50" s="22">
        <v>388690</v>
      </c>
      <c r="AY50" s="22">
        <v>424428</v>
      </c>
      <c r="AZ50" s="22">
        <v>429250</v>
      </c>
      <c r="BA50" s="22">
        <v>440218</v>
      </c>
      <c r="BB50" s="22">
        <v>384450</v>
      </c>
    </row>
    <row r="51" spans="1:54" x14ac:dyDescent="0.4">
      <c r="A51" s="33" t="s">
        <v>14</v>
      </c>
      <c r="B51" s="22">
        <v>8459170</v>
      </c>
      <c r="C51" s="22">
        <v>8553201</v>
      </c>
      <c r="D51" s="22">
        <v>8850711</v>
      </c>
      <c r="E51" s="22">
        <v>9211758</v>
      </c>
      <c r="F51" s="22">
        <v>9717081</v>
      </c>
      <c r="G51" s="22">
        <v>9874358</v>
      </c>
      <c r="H51" s="22">
        <v>9951329</v>
      </c>
      <c r="I51" s="22">
        <v>10172047</v>
      </c>
      <c r="J51" s="22">
        <v>12082211</v>
      </c>
      <c r="K51" s="22">
        <v>12423522</v>
      </c>
      <c r="L51" s="22">
        <v>12755354</v>
      </c>
      <c r="M51" s="22">
        <v>12901507</v>
      </c>
      <c r="N51" s="22">
        <v>13293487</v>
      </c>
      <c r="O51" s="22">
        <v>13300747</v>
      </c>
      <c r="P51" s="22">
        <v>13837422</v>
      </c>
      <c r="Q51" s="22">
        <v>13971383</v>
      </c>
      <c r="R51" s="22">
        <v>15118343</v>
      </c>
      <c r="S51" s="22">
        <v>15647819</v>
      </c>
      <c r="T51" s="22">
        <v>16370584</v>
      </c>
      <c r="U51" s="22">
        <v>17187086</v>
      </c>
      <c r="V51" s="22">
        <v>18266900</v>
      </c>
      <c r="W51" s="22">
        <v>18520111</v>
      </c>
      <c r="X51" s="22">
        <v>18734603</v>
      </c>
      <c r="Y51" s="22">
        <v>18894503</v>
      </c>
      <c r="Z51" s="22">
        <v>19240921</v>
      </c>
      <c r="AA51" s="22">
        <v>19870690</v>
      </c>
      <c r="AB51" s="22">
        <v>20880430</v>
      </c>
      <c r="AC51" s="22">
        <v>21499980</v>
      </c>
      <c r="AD51" s="22">
        <v>22465995</v>
      </c>
      <c r="AE51" s="22">
        <v>23300006</v>
      </c>
      <c r="AF51" s="22">
        <v>24311017</v>
      </c>
      <c r="AG51" s="22">
        <v>25890070</v>
      </c>
      <c r="AH51" s="22">
        <v>30244115</v>
      </c>
      <c r="AI51" s="22">
        <v>30584515</v>
      </c>
      <c r="AJ51" s="22">
        <v>31382172</v>
      </c>
      <c r="AK51" s="22">
        <v>32279373</v>
      </c>
      <c r="AL51" s="22">
        <v>32529912</v>
      </c>
      <c r="AM51" s="22">
        <v>32344326</v>
      </c>
      <c r="AN51" s="22">
        <v>32312923</v>
      </c>
      <c r="AO51" s="22">
        <v>32305463</v>
      </c>
      <c r="AP51" s="22">
        <v>35514615</v>
      </c>
      <c r="AQ51" s="22">
        <v>36063092</v>
      </c>
      <c r="AR51" s="22">
        <v>37387494</v>
      </c>
      <c r="AS51" s="22">
        <v>38477407</v>
      </c>
      <c r="AT51" s="22">
        <v>40433573</v>
      </c>
      <c r="AU51" s="22">
        <v>41222639</v>
      </c>
      <c r="AV51" s="22">
        <v>41762130</v>
      </c>
      <c r="AW51" s="22">
        <v>43249740</v>
      </c>
      <c r="AX51" s="22">
        <v>47865546</v>
      </c>
      <c r="AY51" s="22">
        <v>50171589</v>
      </c>
      <c r="AZ51" s="22">
        <v>52720496</v>
      </c>
      <c r="BA51" s="22">
        <v>54936000</v>
      </c>
      <c r="BB51" s="22">
        <v>59963775</v>
      </c>
    </row>
    <row r="52" spans="1:54" x14ac:dyDescent="0.4">
      <c r="A52" s="33" t="s">
        <v>27</v>
      </c>
      <c r="B52" s="22"/>
      <c r="C52" s="22"/>
      <c r="D52" s="22"/>
      <c r="E52" s="22"/>
      <c r="F52" s="22"/>
      <c r="G52" s="22"/>
      <c r="H52" s="22"/>
      <c r="I52" s="22"/>
      <c r="J52" s="22"/>
      <c r="K52" s="22"/>
      <c r="L52" s="22"/>
      <c r="M52" s="22"/>
      <c r="N52" s="22"/>
      <c r="O52" s="22"/>
      <c r="P52" s="22"/>
      <c r="Q52" s="22"/>
      <c r="R52" s="22"/>
      <c r="S52" s="22"/>
      <c r="T52" s="22"/>
      <c r="U52" s="22"/>
      <c r="V52" s="22"/>
      <c r="W52" s="22"/>
      <c r="X52" s="22"/>
      <c r="Y52" s="22"/>
      <c r="Z52" s="22">
        <v>1222726</v>
      </c>
      <c r="AA52" s="22">
        <v>1401520</v>
      </c>
      <c r="AB52" s="22">
        <v>1455933</v>
      </c>
      <c r="AC52" s="22">
        <v>1408533</v>
      </c>
      <c r="AD52" s="22">
        <v>1745940</v>
      </c>
      <c r="AE52" s="22">
        <v>2143670</v>
      </c>
      <c r="AF52" s="22">
        <v>2410761</v>
      </c>
      <c r="AG52" s="22">
        <v>2811150</v>
      </c>
      <c r="AH52" s="22">
        <v>2752476</v>
      </c>
      <c r="AI52" s="22">
        <v>2290881</v>
      </c>
      <c r="AJ52" s="22">
        <v>1883015</v>
      </c>
      <c r="AK52" s="22">
        <v>1983820</v>
      </c>
      <c r="AL52" s="22">
        <v>2216537</v>
      </c>
      <c r="AM52" s="22">
        <v>2451045</v>
      </c>
      <c r="AN52" s="22">
        <v>2549999</v>
      </c>
      <c r="AO52" s="22">
        <v>2642138</v>
      </c>
      <c r="AP52" s="22">
        <v>2313728</v>
      </c>
      <c r="AQ52" s="22">
        <v>2503629</v>
      </c>
      <c r="AR52" s="22">
        <v>2704819</v>
      </c>
      <c r="AS52" s="22">
        <v>2753166</v>
      </c>
      <c r="AT52" s="22">
        <v>3198083</v>
      </c>
      <c r="AU52" s="22">
        <v>3363105</v>
      </c>
      <c r="AV52" s="22">
        <v>3151270</v>
      </c>
      <c r="AW52" s="22">
        <v>3291856</v>
      </c>
      <c r="AX52" s="22">
        <v>3314282</v>
      </c>
      <c r="AY52" s="22">
        <v>3212075</v>
      </c>
      <c r="AZ52" s="22">
        <v>3713894</v>
      </c>
      <c r="BA52" s="22">
        <v>4241076</v>
      </c>
      <c r="BB52" s="22">
        <v>4958324</v>
      </c>
    </row>
    <row r="53" spans="1:54" x14ac:dyDescent="0.4">
      <c r="A53" s="33" t="s">
        <v>30</v>
      </c>
      <c r="B53" s="22"/>
      <c r="C53" s="22"/>
      <c r="D53" s="22"/>
      <c r="E53" s="22"/>
      <c r="F53" s="22"/>
      <c r="G53" s="22"/>
      <c r="H53" s="22"/>
      <c r="I53" s="22"/>
      <c r="J53" s="22"/>
      <c r="K53" s="22"/>
      <c r="L53" s="22"/>
      <c r="M53" s="22"/>
      <c r="N53" s="22"/>
      <c r="O53" s="22"/>
      <c r="P53" s="22"/>
      <c r="Q53" s="22"/>
      <c r="R53" s="22"/>
      <c r="S53" s="22"/>
      <c r="T53" s="22"/>
      <c r="U53" s="22"/>
      <c r="V53" s="22"/>
      <c r="W53" s="22"/>
      <c r="X53" s="22"/>
      <c r="Y53" s="22"/>
      <c r="Z53" s="22">
        <v>18018195</v>
      </c>
      <c r="AA53" s="22">
        <v>18469170</v>
      </c>
      <c r="AB53" s="22">
        <v>19424498</v>
      </c>
      <c r="AC53" s="22">
        <v>20091447</v>
      </c>
      <c r="AD53" s="22">
        <v>20720055</v>
      </c>
      <c r="AE53" s="22">
        <v>21156336</v>
      </c>
      <c r="AF53" s="22">
        <v>21900257</v>
      </c>
      <c r="AG53" s="22">
        <v>23078920</v>
      </c>
      <c r="AH53" s="22">
        <v>27491638</v>
      </c>
      <c r="AI53" s="22">
        <v>28293634</v>
      </c>
      <c r="AJ53" s="22">
        <v>29499157</v>
      </c>
      <c r="AK53" s="22">
        <v>30295553</v>
      </c>
      <c r="AL53" s="22">
        <v>30313375</v>
      </c>
      <c r="AM53" s="22">
        <v>29893281</v>
      </c>
      <c r="AN53" s="22">
        <v>29762924</v>
      </c>
      <c r="AO53" s="22">
        <v>29663325</v>
      </c>
      <c r="AP53" s="22">
        <v>33200886</v>
      </c>
      <c r="AQ53" s="22">
        <v>33559463</v>
      </c>
      <c r="AR53" s="22">
        <v>34682674</v>
      </c>
      <c r="AS53" s="22">
        <v>35724242</v>
      </c>
      <c r="AT53" s="22">
        <v>37235489</v>
      </c>
      <c r="AU53" s="22">
        <v>37859534</v>
      </c>
      <c r="AV53" s="22">
        <v>38610860</v>
      </c>
      <c r="AW53" s="22">
        <v>39957884</v>
      </c>
      <c r="AX53" s="22">
        <v>44551264</v>
      </c>
      <c r="AY53" s="22">
        <v>46959514</v>
      </c>
      <c r="AZ53" s="22">
        <v>49006602</v>
      </c>
      <c r="BA53" s="22">
        <v>50694924</v>
      </c>
      <c r="BB53" s="22">
        <v>55005451</v>
      </c>
    </row>
    <row r="54" spans="1:54" x14ac:dyDescent="0.4">
      <c r="A54" s="34" t="s">
        <v>11</v>
      </c>
      <c r="B54" s="7">
        <v>0</v>
      </c>
      <c r="C54" s="7">
        <v>0</v>
      </c>
      <c r="D54" s="7">
        <v>0</v>
      </c>
      <c r="E54" s="7">
        <v>0</v>
      </c>
      <c r="F54" s="7">
        <v>0</v>
      </c>
      <c r="G54" s="7">
        <v>0</v>
      </c>
      <c r="H54" s="7">
        <v>0</v>
      </c>
      <c r="I54" s="7">
        <v>0</v>
      </c>
      <c r="J54" s="7">
        <v>0</v>
      </c>
      <c r="K54" s="7">
        <v>0</v>
      </c>
      <c r="L54" s="7">
        <v>0</v>
      </c>
      <c r="M54" s="7">
        <v>0</v>
      </c>
      <c r="N54" s="7">
        <v>0</v>
      </c>
      <c r="O54" s="7">
        <v>0</v>
      </c>
      <c r="P54" s="7">
        <v>0</v>
      </c>
      <c r="Q54" s="7">
        <v>0</v>
      </c>
      <c r="R54" s="7">
        <v>0</v>
      </c>
      <c r="S54" s="7">
        <v>0</v>
      </c>
      <c r="T54" s="7">
        <v>0</v>
      </c>
      <c r="U54" s="7">
        <v>149530</v>
      </c>
      <c r="V54" s="7">
        <v>352321</v>
      </c>
      <c r="W54" s="7">
        <v>1128680</v>
      </c>
      <c r="X54" s="7">
        <v>1112149</v>
      </c>
      <c r="Y54" s="7">
        <v>1486459</v>
      </c>
      <c r="Z54" s="7">
        <v>1374230</v>
      </c>
      <c r="AA54" s="7">
        <v>1500000</v>
      </c>
      <c r="AB54" s="7">
        <v>1700000</v>
      </c>
      <c r="AC54" s="7">
        <v>800000</v>
      </c>
      <c r="AD54" s="7">
        <v>1936705</v>
      </c>
      <c r="AE54" s="7">
        <v>1544228</v>
      </c>
      <c r="AF54" s="7">
        <v>708128</v>
      </c>
      <c r="AG54" s="7">
        <v>818535</v>
      </c>
      <c r="AH54" s="7">
        <v>574227</v>
      </c>
      <c r="AI54" s="7">
        <v>645069</v>
      </c>
      <c r="AJ54" s="7">
        <v>626380</v>
      </c>
      <c r="AK54" s="7">
        <v>603353</v>
      </c>
      <c r="AL54" s="7">
        <v>0</v>
      </c>
      <c r="AM54" s="7">
        <v>0</v>
      </c>
      <c r="AN54" s="7">
        <v>0</v>
      </c>
      <c r="AO54" s="7">
        <v>0</v>
      </c>
      <c r="AP54" s="7">
        <v>0</v>
      </c>
      <c r="AQ54" s="7">
        <v>0</v>
      </c>
      <c r="AR54" s="7">
        <v>0</v>
      </c>
      <c r="AS54" s="7">
        <v>0</v>
      </c>
      <c r="AT54" s="7">
        <v>0</v>
      </c>
      <c r="AU54" s="7">
        <v>0</v>
      </c>
      <c r="AV54" s="7">
        <v>0</v>
      </c>
      <c r="AW54" s="7">
        <v>0</v>
      </c>
      <c r="AX54" s="7">
        <v>0</v>
      </c>
      <c r="AY54" s="7">
        <v>0</v>
      </c>
      <c r="AZ54" s="7">
        <v>0</v>
      </c>
      <c r="BA54" s="7">
        <v>0</v>
      </c>
      <c r="BB54" s="7">
        <v>0</v>
      </c>
    </row>
    <row r="55" spans="1:54" x14ac:dyDescent="0.4">
      <c r="A55" s="35" t="s">
        <v>13</v>
      </c>
      <c r="B55" s="7">
        <v>0</v>
      </c>
      <c r="C55" s="7">
        <v>0</v>
      </c>
      <c r="D55" s="7">
        <v>0</v>
      </c>
      <c r="E55" s="7">
        <v>0</v>
      </c>
      <c r="F55" s="7">
        <v>0</v>
      </c>
      <c r="G55" s="7">
        <v>0</v>
      </c>
      <c r="H55" s="7">
        <v>0</v>
      </c>
      <c r="I55" s="7">
        <v>0</v>
      </c>
      <c r="J55" s="7">
        <v>0</v>
      </c>
      <c r="K55" s="7">
        <v>0</v>
      </c>
      <c r="L55" s="7">
        <v>0</v>
      </c>
      <c r="M55" s="7">
        <v>0</v>
      </c>
      <c r="N55" s="7">
        <v>0</v>
      </c>
      <c r="O55" s="7">
        <v>0</v>
      </c>
      <c r="P55" s="7">
        <v>0</v>
      </c>
      <c r="Q55" s="7">
        <v>0</v>
      </c>
      <c r="R55" s="7">
        <v>0</v>
      </c>
      <c r="S55" s="7">
        <v>0</v>
      </c>
      <c r="T55" s="7">
        <v>0</v>
      </c>
      <c r="U55" s="7">
        <v>149530</v>
      </c>
      <c r="V55" s="7">
        <v>352321</v>
      </c>
      <c r="W55" s="7">
        <v>1128680</v>
      </c>
      <c r="X55" s="7">
        <v>1112149</v>
      </c>
      <c r="Y55" s="7">
        <v>1486459</v>
      </c>
      <c r="Z55" s="7">
        <v>1374230</v>
      </c>
      <c r="AA55" s="7">
        <v>1500000</v>
      </c>
      <c r="AB55" s="7">
        <v>1700000</v>
      </c>
      <c r="AC55" s="7">
        <v>800000</v>
      </c>
      <c r="AD55" s="7">
        <v>1936705</v>
      </c>
      <c r="AE55" s="7">
        <v>1544228</v>
      </c>
      <c r="AF55" s="7">
        <v>708128</v>
      </c>
      <c r="AG55" s="7">
        <v>818535</v>
      </c>
      <c r="AH55" s="7">
        <v>574227</v>
      </c>
      <c r="AI55" s="7">
        <v>645069</v>
      </c>
      <c r="AJ55" s="7">
        <v>626380</v>
      </c>
      <c r="AK55" s="7">
        <v>603353</v>
      </c>
      <c r="AL55" s="7">
        <v>0</v>
      </c>
      <c r="AM55" s="7">
        <v>0</v>
      </c>
      <c r="AN55" s="7">
        <v>0</v>
      </c>
      <c r="AO55" s="7">
        <v>0</v>
      </c>
      <c r="AP55" s="7">
        <v>0</v>
      </c>
      <c r="AQ55" s="7">
        <v>0</v>
      </c>
      <c r="AR55" s="7">
        <v>0</v>
      </c>
      <c r="AS55" s="7">
        <v>0</v>
      </c>
      <c r="AT55" s="7">
        <v>0</v>
      </c>
      <c r="AU55" s="7">
        <v>0</v>
      </c>
      <c r="AV55" s="7">
        <v>0</v>
      </c>
      <c r="AW55" s="7">
        <v>0</v>
      </c>
      <c r="AX55" s="7">
        <v>0</v>
      </c>
      <c r="AY55" s="7">
        <v>0</v>
      </c>
      <c r="AZ55" s="7">
        <v>0</v>
      </c>
      <c r="BA55" s="7">
        <v>0</v>
      </c>
      <c r="BB55" s="7">
        <v>0</v>
      </c>
    </row>
    <row r="56" spans="1:54" x14ac:dyDescent="0.4">
      <c r="A56" s="35" t="s">
        <v>14</v>
      </c>
      <c r="B56" s="7">
        <v>0</v>
      </c>
      <c r="C56" s="7">
        <v>0</v>
      </c>
      <c r="D56" s="7">
        <v>0</v>
      </c>
      <c r="E56" s="7">
        <v>0</v>
      </c>
      <c r="F56" s="7">
        <v>0</v>
      </c>
      <c r="G56" s="7">
        <v>0</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c r="AF56" s="7">
        <v>0</v>
      </c>
      <c r="AG56" s="7">
        <v>0</v>
      </c>
      <c r="AH56" s="7">
        <v>0</v>
      </c>
      <c r="AI56" s="7">
        <v>0</v>
      </c>
      <c r="AJ56" s="7">
        <v>0</v>
      </c>
      <c r="AK56" s="7">
        <v>0</v>
      </c>
      <c r="AL56" s="7">
        <v>0</v>
      </c>
      <c r="AM56" s="7">
        <v>0</v>
      </c>
      <c r="AN56" s="7">
        <v>0</v>
      </c>
      <c r="AO56" s="7">
        <v>0</v>
      </c>
      <c r="AP56" s="7">
        <v>0</v>
      </c>
      <c r="AQ56" s="7">
        <v>0</v>
      </c>
      <c r="AR56" s="7">
        <v>0</v>
      </c>
      <c r="AS56" s="7">
        <v>0</v>
      </c>
      <c r="AT56" s="7">
        <v>0</v>
      </c>
      <c r="AU56" s="7">
        <v>0</v>
      </c>
      <c r="AV56" s="7">
        <v>0</v>
      </c>
      <c r="AW56" s="7">
        <v>0</v>
      </c>
      <c r="AX56" s="7">
        <v>0</v>
      </c>
      <c r="AY56" s="7">
        <v>0</v>
      </c>
      <c r="AZ56" s="7">
        <v>0</v>
      </c>
      <c r="BA56" s="7">
        <v>0</v>
      </c>
      <c r="BB56" s="7">
        <v>0</v>
      </c>
    </row>
    <row r="57" spans="1:54" x14ac:dyDescent="0.4">
      <c r="A57" s="35" t="s">
        <v>27</v>
      </c>
      <c r="B57" s="7"/>
      <c r="C57" s="7"/>
      <c r="D57" s="7"/>
      <c r="E57" s="7"/>
      <c r="F57" s="7"/>
      <c r="G57" s="7"/>
      <c r="H57" s="7"/>
      <c r="I57" s="7"/>
      <c r="J57" s="7"/>
      <c r="K57" s="7"/>
      <c r="L57" s="7"/>
      <c r="M57" s="7"/>
      <c r="N57" s="7"/>
      <c r="O57" s="7"/>
      <c r="P57" s="7"/>
      <c r="Q57" s="7"/>
      <c r="R57" s="7"/>
      <c r="S57" s="7"/>
      <c r="T57" s="7"/>
      <c r="U57" s="7"/>
      <c r="V57" s="7"/>
      <c r="W57" s="7"/>
      <c r="X57" s="7"/>
      <c r="Y57" s="7"/>
      <c r="Z57" s="7">
        <v>0</v>
      </c>
      <c r="AA57" s="7">
        <v>0</v>
      </c>
      <c r="AB57" s="7">
        <v>0</v>
      </c>
      <c r="AC57" s="7">
        <v>0</v>
      </c>
      <c r="AD57" s="7">
        <v>0</v>
      </c>
      <c r="AE57" s="7">
        <v>0</v>
      </c>
      <c r="AF57" s="7">
        <v>0</v>
      </c>
      <c r="AG57" s="7">
        <v>0</v>
      </c>
      <c r="AH57" s="7">
        <v>0</v>
      </c>
      <c r="AI57" s="7">
        <v>0</v>
      </c>
      <c r="AJ57" s="7">
        <v>0</v>
      </c>
      <c r="AK57" s="7">
        <v>0</v>
      </c>
      <c r="AL57" s="7">
        <v>0</v>
      </c>
      <c r="AM57" s="7">
        <v>0</v>
      </c>
      <c r="AN57" s="7">
        <v>0</v>
      </c>
      <c r="AO57" s="7">
        <v>0</v>
      </c>
      <c r="AP57" s="7">
        <v>0</v>
      </c>
      <c r="AQ57" s="7">
        <v>0</v>
      </c>
      <c r="AR57" s="7">
        <v>0</v>
      </c>
      <c r="AS57" s="7">
        <v>0</v>
      </c>
      <c r="AT57" s="7">
        <v>0</v>
      </c>
      <c r="AU57" s="7">
        <v>0</v>
      </c>
      <c r="AV57" s="7">
        <v>0</v>
      </c>
      <c r="AW57" s="7">
        <v>0</v>
      </c>
      <c r="AX57" s="7">
        <v>0</v>
      </c>
      <c r="AY57" s="7">
        <v>0</v>
      </c>
      <c r="AZ57" s="7">
        <v>0</v>
      </c>
      <c r="BA57" s="7">
        <v>0</v>
      </c>
      <c r="BB57" s="7">
        <v>0</v>
      </c>
    </row>
    <row r="58" spans="1:54" x14ac:dyDescent="0.4">
      <c r="A58" s="35" t="s">
        <v>30</v>
      </c>
      <c r="B58" s="7"/>
      <c r="C58" s="7"/>
      <c r="D58" s="7"/>
      <c r="E58" s="7"/>
      <c r="F58" s="7"/>
      <c r="G58" s="7"/>
      <c r="H58" s="7"/>
      <c r="I58" s="7"/>
      <c r="J58" s="7"/>
      <c r="K58" s="7"/>
      <c r="L58" s="7"/>
      <c r="M58" s="7"/>
      <c r="N58" s="7"/>
      <c r="O58" s="7"/>
      <c r="P58" s="7"/>
      <c r="Q58" s="7"/>
      <c r="R58" s="7"/>
      <c r="S58" s="7"/>
      <c r="T58" s="7"/>
      <c r="U58" s="7"/>
      <c r="V58" s="7"/>
      <c r="W58" s="7"/>
      <c r="X58" s="7"/>
      <c r="Y58" s="7"/>
      <c r="Z58" s="7">
        <v>0</v>
      </c>
      <c r="AA58" s="7">
        <v>0</v>
      </c>
      <c r="AB58" s="7">
        <v>0</v>
      </c>
      <c r="AC58" s="7">
        <v>0</v>
      </c>
      <c r="AD58" s="7">
        <v>0</v>
      </c>
      <c r="AE58" s="7">
        <v>0</v>
      </c>
      <c r="AF58" s="7">
        <v>0</v>
      </c>
      <c r="AG58" s="7">
        <v>0</v>
      </c>
      <c r="AH58" s="7">
        <v>0</v>
      </c>
      <c r="AI58" s="7">
        <v>0</v>
      </c>
      <c r="AJ58" s="7">
        <v>0</v>
      </c>
      <c r="AK58" s="7">
        <v>0</v>
      </c>
      <c r="AL58" s="7">
        <v>0</v>
      </c>
      <c r="AM58" s="7">
        <v>0</v>
      </c>
      <c r="AN58" s="7">
        <v>0</v>
      </c>
      <c r="AO58" s="7">
        <v>0</v>
      </c>
      <c r="AP58" s="7">
        <v>0</v>
      </c>
      <c r="AQ58" s="7">
        <v>0</v>
      </c>
      <c r="AR58" s="7">
        <v>0</v>
      </c>
      <c r="AS58" s="7">
        <v>0</v>
      </c>
      <c r="AT58" s="7">
        <v>0</v>
      </c>
      <c r="AU58" s="7">
        <v>0</v>
      </c>
      <c r="AV58" s="7">
        <v>0</v>
      </c>
      <c r="AW58" s="7">
        <v>0</v>
      </c>
      <c r="AX58" s="7">
        <v>0</v>
      </c>
      <c r="AY58" s="7">
        <v>0</v>
      </c>
      <c r="AZ58" s="7">
        <v>0</v>
      </c>
      <c r="BA58" s="7">
        <v>0</v>
      </c>
      <c r="BB58" s="7">
        <v>0</v>
      </c>
    </row>
    <row r="59" spans="1:54" x14ac:dyDescent="0.4">
      <c r="A59" s="34" t="s">
        <v>3</v>
      </c>
      <c r="B59" s="7">
        <v>1136389</v>
      </c>
      <c r="C59" s="7">
        <v>1219871</v>
      </c>
      <c r="D59" s="7">
        <v>1233855</v>
      </c>
      <c r="E59" s="7">
        <v>1306554</v>
      </c>
      <c r="F59" s="7">
        <v>1354406</v>
      </c>
      <c r="G59" s="7">
        <v>1337946</v>
      </c>
      <c r="H59" s="7">
        <v>1379623</v>
      </c>
      <c r="I59" s="7">
        <v>1420707</v>
      </c>
      <c r="J59" s="7">
        <v>1518473</v>
      </c>
      <c r="K59" s="7">
        <v>1517104</v>
      </c>
      <c r="L59" s="7">
        <v>1570534</v>
      </c>
      <c r="M59" s="7">
        <v>1545062</v>
      </c>
      <c r="N59" s="7">
        <v>1585148</v>
      </c>
      <c r="O59" s="7">
        <v>1489579</v>
      </c>
      <c r="P59" s="7">
        <v>1526008</v>
      </c>
      <c r="Q59" s="7">
        <v>1468023</v>
      </c>
      <c r="R59" s="7">
        <v>1455244</v>
      </c>
      <c r="S59" s="7">
        <v>1524665</v>
      </c>
      <c r="T59" s="7">
        <v>1654901</v>
      </c>
      <c r="U59" s="7">
        <v>1567014</v>
      </c>
      <c r="V59" s="7">
        <v>1658700</v>
      </c>
      <c r="W59" s="7">
        <v>1708156</v>
      </c>
      <c r="X59" s="7">
        <v>1655136</v>
      </c>
      <c r="Y59" s="7">
        <v>1771989</v>
      </c>
      <c r="Z59" s="7">
        <v>1825874</v>
      </c>
      <c r="AA59" s="7">
        <v>1908957</v>
      </c>
      <c r="AB59" s="7">
        <v>2057550</v>
      </c>
      <c r="AC59" s="7">
        <v>2229209</v>
      </c>
      <c r="AD59" s="7">
        <v>2362807</v>
      </c>
      <c r="AE59" s="7">
        <v>2425855</v>
      </c>
      <c r="AF59" s="7">
        <v>2375042</v>
      </c>
      <c r="AG59" s="7">
        <v>2445286</v>
      </c>
      <c r="AH59" s="7">
        <v>2670097</v>
      </c>
      <c r="AI59" s="7">
        <v>2668017</v>
      </c>
      <c r="AJ59" s="7">
        <v>2821530</v>
      </c>
      <c r="AK59" s="7">
        <v>2898106</v>
      </c>
      <c r="AL59" s="7">
        <v>3014962</v>
      </c>
      <c r="AM59" s="7">
        <v>2876559</v>
      </c>
      <c r="AN59" s="7">
        <v>2765651</v>
      </c>
      <c r="AO59" s="7">
        <v>2686412</v>
      </c>
      <c r="AP59" s="7">
        <v>2654661</v>
      </c>
      <c r="AQ59" s="7">
        <v>2736215</v>
      </c>
      <c r="AR59" s="7">
        <v>2767967</v>
      </c>
      <c r="AS59" s="7">
        <v>2738145</v>
      </c>
      <c r="AT59" s="7">
        <v>2698021</v>
      </c>
      <c r="AU59" s="7">
        <v>2770115</v>
      </c>
      <c r="AV59" s="7">
        <v>2626750</v>
      </c>
      <c r="AW59" s="7">
        <v>2619509</v>
      </c>
      <c r="AX59" s="7">
        <v>2624940</v>
      </c>
      <c r="AY59" s="7">
        <v>2594612</v>
      </c>
      <c r="AZ59" s="7">
        <v>2649106</v>
      </c>
      <c r="BA59" s="7">
        <v>2667386</v>
      </c>
      <c r="BB59" s="7">
        <v>2696948</v>
      </c>
    </row>
    <row r="60" spans="1:54" x14ac:dyDescent="0.4">
      <c r="A60" s="35" t="s">
        <v>13</v>
      </c>
      <c r="B60" s="7">
        <v>0</v>
      </c>
      <c r="C60" s="7">
        <v>0</v>
      </c>
      <c r="D60" s="7">
        <v>0</v>
      </c>
      <c r="E60" s="7">
        <v>0</v>
      </c>
      <c r="F60" s="7">
        <v>0</v>
      </c>
      <c r="G60" s="7">
        <v>0</v>
      </c>
      <c r="H60" s="7">
        <v>0</v>
      </c>
      <c r="I60" s="7">
        <v>0</v>
      </c>
      <c r="J60" s="7">
        <v>0</v>
      </c>
      <c r="K60" s="7">
        <v>0</v>
      </c>
      <c r="L60" s="7">
        <v>0</v>
      </c>
      <c r="M60" s="7">
        <v>0</v>
      </c>
      <c r="N60" s="7">
        <v>0</v>
      </c>
      <c r="O60" s="7">
        <v>0</v>
      </c>
      <c r="P60" s="7">
        <v>0</v>
      </c>
      <c r="Q60" s="7">
        <v>0</v>
      </c>
      <c r="R60" s="7">
        <v>956</v>
      </c>
      <c r="S60" s="7">
        <v>58233</v>
      </c>
      <c r="T60" s="7">
        <v>81500</v>
      </c>
      <c r="U60" s="7">
        <v>12860</v>
      </c>
      <c r="V60" s="7">
        <v>37360</v>
      </c>
      <c r="W60" s="7">
        <v>34587</v>
      </c>
      <c r="X60" s="7">
        <v>32687</v>
      </c>
      <c r="Y60" s="7">
        <v>28946</v>
      </c>
      <c r="Z60" s="7">
        <v>10288</v>
      </c>
      <c r="AA60" s="7">
        <v>13271</v>
      </c>
      <c r="AB60" s="7">
        <v>69855</v>
      </c>
      <c r="AC60" s="7">
        <v>151177</v>
      </c>
      <c r="AD60" s="7">
        <v>167664</v>
      </c>
      <c r="AE60" s="7">
        <v>167411</v>
      </c>
      <c r="AF60" s="7">
        <v>160701</v>
      </c>
      <c r="AG60" s="7">
        <v>133026</v>
      </c>
      <c r="AH60" s="7">
        <v>124089</v>
      </c>
      <c r="AI60" s="7">
        <v>96165</v>
      </c>
      <c r="AJ60" s="7">
        <v>67659</v>
      </c>
      <c r="AK60" s="7">
        <v>66474</v>
      </c>
      <c r="AL60" s="7">
        <v>90960</v>
      </c>
      <c r="AM60" s="7">
        <v>72307</v>
      </c>
      <c r="AN60" s="7">
        <v>66508</v>
      </c>
      <c r="AO60" s="7">
        <v>67388</v>
      </c>
      <c r="AP60" s="7">
        <v>28684</v>
      </c>
      <c r="AQ60" s="7">
        <v>67891</v>
      </c>
      <c r="AR60" s="7">
        <v>74347</v>
      </c>
      <c r="AS60" s="7">
        <v>166892</v>
      </c>
      <c r="AT60" s="7">
        <v>122696</v>
      </c>
      <c r="AU60" s="7">
        <v>192211</v>
      </c>
      <c r="AV60" s="7">
        <v>119157</v>
      </c>
      <c r="AW60" s="7">
        <v>104085</v>
      </c>
      <c r="AX60" s="7">
        <v>90488</v>
      </c>
      <c r="AY60" s="7">
        <v>96681</v>
      </c>
      <c r="AZ60" s="7">
        <v>80102</v>
      </c>
      <c r="BA60" s="7">
        <v>95597</v>
      </c>
      <c r="BB60" s="7">
        <v>124045</v>
      </c>
    </row>
    <row r="61" spans="1:54" x14ac:dyDescent="0.4">
      <c r="A61" s="35" t="s">
        <v>14</v>
      </c>
      <c r="B61" s="7">
        <v>1136389</v>
      </c>
      <c r="C61" s="7">
        <v>1219871</v>
      </c>
      <c r="D61" s="7">
        <v>1233855</v>
      </c>
      <c r="E61" s="7">
        <v>1306554</v>
      </c>
      <c r="F61" s="7">
        <v>1354406</v>
      </c>
      <c r="G61" s="7">
        <v>1337946</v>
      </c>
      <c r="H61" s="7">
        <v>1379623</v>
      </c>
      <c r="I61" s="7">
        <v>1420707</v>
      </c>
      <c r="J61" s="7">
        <v>1518473</v>
      </c>
      <c r="K61" s="7">
        <v>1517104</v>
      </c>
      <c r="L61" s="7">
        <v>1570534</v>
      </c>
      <c r="M61" s="7">
        <v>1545062</v>
      </c>
      <c r="N61" s="7">
        <v>1585148</v>
      </c>
      <c r="O61" s="7">
        <v>1489579</v>
      </c>
      <c r="P61" s="7">
        <v>1526008</v>
      </c>
      <c r="Q61" s="7">
        <v>1468023</v>
      </c>
      <c r="R61" s="7">
        <v>1454287</v>
      </c>
      <c r="S61" s="7">
        <v>1466432</v>
      </c>
      <c r="T61" s="7">
        <v>1573401</v>
      </c>
      <c r="U61" s="7">
        <v>1554154</v>
      </c>
      <c r="V61" s="7">
        <v>1621340</v>
      </c>
      <c r="W61" s="7">
        <v>1673569</v>
      </c>
      <c r="X61" s="7">
        <v>1622449</v>
      </c>
      <c r="Y61" s="7">
        <v>1743043</v>
      </c>
      <c r="Z61" s="7">
        <v>1815587</v>
      </c>
      <c r="AA61" s="7">
        <v>1895686</v>
      </c>
      <c r="AB61" s="7">
        <v>1987695</v>
      </c>
      <c r="AC61" s="7">
        <v>2078033</v>
      </c>
      <c r="AD61" s="7">
        <v>2195143</v>
      </c>
      <c r="AE61" s="7">
        <v>2258444</v>
      </c>
      <c r="AF61" s="7">
        <v>2214341</v>
      </c>
      <c r="AG61" s="7">
        <v>2312260</v>
      </c>
      <c r="AH61" s="7">
        <v>2546008</v>
      </c>
      <c r="AI61" s="7">
        <v>2571853</v>
      </c>
      <c r="AJ61" s="7">
        <v>2753871</v>
      </c>
      <c r="AK61" s="7">
        <v>2831631</v>
      </c>
      <c r="AL61" s="7">
        <v>2924002</v>
      </c>
      <c r="AM61" s="7">
        <v>2804252</v>
      </c>
      <c r="AN61" s="7">
        <v>2699143</v>
      </c>
      <c r="AO61" s="7">
        <v>2619023</v>
      </c>
      <c r="AP61" s="7">
        <v>2625976</v>
      </c>
      <c r="AQ61" s="7">
        <v>2668324</v>
      </c>
      <c r="AR61" s="7">
        <v>2693621</v>
      </c>
      <c r="AS61" s="7">
        <v>2571252</v>
      </c>
      <c r="AT61" s="7">
        <v>2575325</v>
      </c>
      <c r="AU61" s="7">
        <v>2577904</v>
      </c>
      <c r="AV61" s="7">
        <v>2507593</v>
      </c>
      <c r="AW61" s="7">
        <v>2515424</v>
      </c>
      <c r="AX61" s="7">
        <v>2534452</v>
      </c>
      <c r="AY61" s="7">
        <v>2497932</v>
      </c>
      <c r="AZ61" s="7">
        <v>2569004</v>
      </c>
      <c r="BA61" s="7">
        <v>2571789</v>
      </c>
      <c r="BB61" s="7">
        <v>2572903</v>
      </c>
    </row>
    <row r="62" spans="1:54" x14ac:dyDescent="0.4">
      <c r="A62" s="35" t="s">
        <v>27</v>
      </c>
      <c r="B62" s="7"/>
      <c r="C62" s="7"/>
      <c r="D62" s="7"/>
      <c r="E62" s="7"/>
      <c r="F62" s="7"/>
      <c r="G62" s="7"/>
      <c r="H62" s="7"/>
      <c r="I62" s="7"/>
      <c r="J62" s="7"/>
      <c r="K62" s="7"/>
      <c r="L62" s="7"/>
      <c r="M62" s="7"/>
      <c r="N62" s="7"/>
      <c r="O62" s="7"/>
      <c r="P62" s="7"/>
      <c r="Q62" s="7"/>
      <c r="R62" s="7"/>
      <c r="S62" s="7"/>
      <c r="T62" s="7"/>
      <c r="U62" s="7"/>
      <c r="V62" s="7"/>
      <c r="W62" s="7"/>
      <c r="X62" s="7"/>
      <c r="Y62" s="7"/>
      <c r="Z62" s="7">
        <v>151691</v>
      </c>
      <c r="AA62" s="7">
        <v>190111</v>
      </c>
      <c r="AB62" s="7">
        <v>255214</v>
      </c>
      <c r="AC62" s="7">
        <v>242852</v>
      </c>
      <c r="AD62" s="7">
        <v>281021</v>
      </c>
      <c r="AE62" s="7">
        <v>329973</v>
      </c>
      <c r="AF62" s="7">
        <v>338530</v>
      </c>
      <c r="AG62" s="7">
        <v>455957</v>
      </c>
      <c r="AH62" s="7">
        <v>453330</v>
      </c>
      <c r="AI62" s="7">
        <v>497932</v>
      </c>
      <c r="AJ62" s="7">
        <v>504021</v>
      </c>
      <c r="AK62" s="7">
        <v>431336</v>
      </c>
      <c r="AL62" s="7">
        <v>448409</v>
      </c>
      <c r="AM62" s="7">
        <v>416187</v>
      </c>
      <c r="AN62" s="7">
        <v>443217</v>
      </c>
      <c r="AO62" s="7">
        <v>495298</v>
      </c>
      <c r="AP62" s="7">
        <v>609957</v>
      </c>
      <c r="AQ62" s="7">
        <v>588518</v>
      </c>
      <c r="AR62" s="7">
        <v>592114</v>
      </c>
      <c r="AS62" s="7">
        <v>575890</v>
      </c>
      <c r="AT62" s="7">
        <v>553515</v>
      </c>
      <c r="AU62" s="7">
        <v>657625</v>
      </c>
      <c r="AV62" s="7">
        <v>567738</v>
      </c>
      <c r="AW62" s="7">
        <v>582860</v>
      </c>
      <c r="AX62" s="7">
        <v>529612</v>
      </c>
      <c r="AY62" s="7">
        <v>375877</v>
      </c>
      <c r="AZ62" s="7">
        <v>564604</v>
      </c>
      <c r="BA62" s="7">
        <v>529787</v>
      </c>
      <c r="BB62" s="7">
        <v>546181</v>
      </c>
    </row>
    <row r="63" spans="1:54" x14ac:dyDescent="0.4">
      <c r="A63" s="35" t="s">
        <v>30</v>
      </c>
      <c r="B63" s="7"/>
      <c r="C63" s="7"/>
      <c r="D63" s="7"/>
      <c r="E63" s="7"/>
      <c r="F63" s="7"/>
      <c r="G63" s="7"/>
      <c r="H63" s="7"/>
      <c r="I63" s="7"/>
      <c r="J63" s="7"/>
      <c r="K63" s="7"/>
      <c r="L63" s="7"/>
      <c r="M63" s="7"/>
      <c r="N63" s="7"/>
      <c r="O63" s="7"/>
      <c r="P63" s="7"/>
      <c r="Q63" s="7"/>
      <c r="R63" s="7"/>
      <c r="S63" s="7"/>
      <c r="T63" s="7"/>
      <c r="U63" s="7"/>
      <c r="V63" s="7"/>
      <c r="W63" s="7"/>
      <c r="X63" s="7"/>
      <c r="Y63" s="7"/>
      <c r="Z63" s="7">
        <v>1663896</v>
      </c>
      <c r="AA63" s="7">
        <v>1705575</v>
      </c>
      <c r="AB63" s="7">
        <v>1732482</v>
      </c>
      <c r="AC63" s="7">
        <v>1835181</v>
      </c>
      <c r="AD63" s="7">
        <v>1914122</v>
      </c>
      <c r="AE63" s="7">
        <v>1928471</v>
      </c>
      <c r="AF63" s="7">
        <v>1875811</v>
      </c>
      <c r="AG63" s="7">
        <v>1856304</v>
      </c>
      <c r="AH63" s="7">
        <v>2092678</v>
      </c>
      <c r="AI63" s="7">
        <v>2073920</v>
      </c>
      <c r="AJ63" s="7">
        <v>2249850</v>
      </c>
      <c r="AK63" s="7">
        <v>2400296</v>
      </c>
      <c r="AL63" s="7">
        <v>2475593</v>
      </c>
      <c r="AM63" s="7">
        <v>2388065</v>
      </c>
      <c r="AN63" s="7">
        <v>2255926</v>
      </c>
      <c r="AO63" s="7">
        <v>2123725</v>
      </c>
      <c r="AP63" s="7">
        <v>2016020</v>
      </c>
      <c r="AQ63" s="7">
        <v>2079806</v>
      </c>
      <c r="AR63" s="7">
        <v>2101506</v>
      </c>
      <c r="AS63" s="7">
        <v>1995362</v>
      </c>
      <c r="AT63" s="7">
        <v>2021810</v>
      </c>
      <c r="AU63" s="7">
        <v>1920279</v>
      </c>
      <c r="AV63" s="7">
        <v>1939855</v>
      </c>
      <c r="AW63" s="7">
        <v>1932564</v>
      </c>
      <c r="AX63" s="7">
        <v>2004840</v>
      </c>
      <c r="AY63" s="7">
        <v>2122055</v>
      </c>
      <c r="AZ63" s="7">
        <v>2004401</v>
      </c>
      <c r="BA63" s="7">
        <v>2042002</v>
      </c>
      <c r="BB63" s="7">
        <v>2026721</v>
      </c>
    </row>
    <row r="64" spans="1:54" x14ac:dyDescent="0.4">
      <c r="A64" s="34" t="s">
        <v>4</v>
      </c>
      <c r="B64" s="7">
        <v>15000</v>
      </c>
      <c r="C64" s="7">
        <v>15000</v>
      </c>
      <c r="D64" s="7">
        <v>18000</v>
      </c>
      <c r="E64" s="7">
        <v>18000</v>
      </c>
      <c r="F64" s="7">
        <v>18000</v>
      </c>
      <c r="G64" s="7">
        <v>18000</v>
      </c>
      <c r="H64" s="7">
        <v>18000</v>
      </c>
      <c r="I64" s="7">
        <v>18000</v>
      </c>
      <c r="J64" s="7">
        <v>13000</v>
      </c>
      <c r="K64" s="7">
        <v>13000</v>
      </c>
      <c r="L64" s="7">
        <v>13000</v>
      </c>
      <c r="M64" s="7">
        <v>13000</v>
      </c>
      <c r="N64" s="7">
        <v>13000</v>
      </c>
      <c r="O64" s="7">
        <v>13000</v>
      </c>
      <c r="P64" s="7">
        <v>13000</v>
      </c>
      <c r="Q64" s="7">
        <v>13000</v>
      </c>
      <c r="R64" s="7">
        <v>13000</v>
      </c>
      <c r="S64" s="7">
        <v>13000</v>
      </c>
      <c r="T64" s="7">
        <v>17000</v>
      </c>
      <c r="U64" s="7">
        <v>12000</v>
      </c>
      <c r="V64" s="7">
        <v>7000</v>
      </c>
      <c r="W64" s="7">
        <v>7000</v>
      </c>
      <c r="X64" s="7">
        <v>7000</v>
      </c>
      <c r="Y64" s="7">
        <v>7000</v>
      </c>
      <c r="Z64" s="7">
        <v>7000</v>
      </c>
      <c r="AA64" s="7">
        <v>7000</v>
      </c>
      <c r="AB64" s="7">
        <v>7000</v>
      </c>
      <c r="AC64" s="7">
        <v>4000</v>
      </c>
      <c r="AD64" s="7">
        <v>7000</v>
      </c>
      <c r="AE64" s="7">
        <v>7343</v>
      </c>
      <c r="AF64" s="7">
        <v>7157</v>
      </c>
      <c r="AG64" s="7">
        <v>7329</v>
      </c>
      <c r="AH64" s="7">
        <v>7161</v>
      </c>
      <c r="AI64" s="7">
        <v>7329</v>
      </c>
      <c r="AJ64" s="7">
        <v>7127</v>
      </c>
      <c r="AK64" s="7">
        <v>7266</v>
      </c>
      <c r="AL64" s="7">
        <v>4068</v>
      </c>
      <c r="AM64" s="7">
        <v>4137</v>
      </c>
      <c r="AN64" s="7">
        <v>0</v>
      </c>
      <c r="AO64" s="7">
        <v>0</v>
      </c>
      <c r="AP64" s="7">
        <v>0</v>
      </c>
      <c r="AQ64" s="7">
        <v>0</v>
      </c>
      <c r="AR64" s="7">
        <v>0</v>
      </c>
      <c r="AS64" s="7">
        <v>0</v>
      </c>
      <c r="AT64" s="7">
        <v>0</v>
      </c>
      <c r="AU64" s="7">
        <v>0</v>
      </c>
      <c r="AV64" s="7">
        <v>0</v>
      </c>
      <c r="AW64" s="7">
        <v>0</v>
      </c>
      <c r="AX64" s="7">
        <v>0</v>
      </c>
      <c r="AY64" s="7">
        <v>0</v>
      </c>
      <c r="AZ64" s="7">
        <v>0</v>
      </c>
      <c r="BA64" s="7">
        <v>0</v>
      </c>
      <c r="BB64" s="7">
        <v>0</v>
      </c>
    </row>
    <row r="65" spans="1:54" x14ac:dyDescent="0.4">
      <c r="A65" s="35" t="s">
        <v>13</v>
      </c>
      <c r="B65" s="7">
        <v>0</v>
      </c>
      <c r="C65" s="7">
        <v>0</v>
      </c>
      <c r="D65" s="7">
        <v>0</v>
      </c>
      <c r="E65" s="7">
        <v>0</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c r="AF65" s="7">
        <v>0</v>
      </c>
      <c r="AG65" s="7">
        <v>0</v>
      </c>
      <c r="AH65" s="7">
        <v>0</v>
      </c>
      <c r="AI65" s="7">
        <v>0</v>
      </c>
      <c r="AJ65" s="7">
        <v>0</v>
      </c>
      <c r="AK65" s="7">
        <v>0</v>
      </c>
      <c r="AL65" s="7">
        <v>0</v>
      </c>
      <c r="AM65" s="7">
        <v>0</v>
      </c>
      <c r="AN65" s="7">
        <v>0</v>
      </c>
      <c r="AO65" s="7">
        <v>0</v>
      </c>
      <c r="AP65" s="7">
        <v>0</v>
      </c>
      <c r="AQ65" s="7">
        <v>0</v>
      </c>
      <c r="AR65" s="7">
        <v>0</v>
      </c>
      <c r="AS65" s="7">
        <v>0</v>
      </c>
      <c r="AT65" s="7">
        <v>0</v>
      </c>
      <c r="AU65" s="7">
        <v>0</v>
      </c>
      <c r="AV65" s="7">
        <v>0</v>
      </c>
      <c r="AW65" s="7">
        <v>0</v>
      </c>
      <c r="AX65" s="7">
        <v>0</v>
      </c>
      <c r="AY65" s="7">
        <v>0</v>
      </c>
      <c r="AZ65" s="7">
        <v>0</v>
      </c>
      <c r="BA65" s="7">
        <v>0</v>
      </c>
      <c r="BB65" s="7">
        <v>0</v>
      </c>
    </row>
    <row r="66" spans="1:54" x14ac:dyDescent="0.4">
      <c r="A66" s="35" t="s">
        <v>14</v>
      </c>
      <c r="B66" s="7">
        <v>15000</v>
      </c>
      <c r="C66" s="7">
        <v>15000</v>
      </c>
      <c r="D66" s="7">
        <v>18000</v>
      </c>
      <c r="E66" s="7">
        <v>18000</v>
      </c>
      <c r="F66" s="7">
        <v>18000</v>
      </c>
      <c r="G66" s="7">
        <v>18000</v>
      </c>
      <c r="H66" s="7">
        <v>18000</v>
      </c>
      <c r="I66" s="7">
        <v>18000</v>
      </c>
      <c r="J66" s="7">
        <v>13000</v>
      </c>
      <c r="K66" s="7">
        <v>13000</v>
      </c>
      <c r="L66" s="7">
        <v>13000</v>
      </c>
      <c r="M66" s="7">
        <v>13000</v>
      </c>
      <c r="N66" s="7">
        <v>13000</v>
      </c>
      <c r="O66" s="7">
        <v>13000</v>
      </c>
      <c r="P66" s="7">
        <v>13000</v>
      </c>
      <c r="Q66" s="7">
        <v>13000</v>
      </c>
      <c r="R66" s="7">
        <v>13000</v>
      </c>
      <c r="S66" s="7">
        <v>13000</v>
      </c>
      <c r="T66" s="7">
        <v>17000</v>
      </c>
      <c r="U66" s="7">
        <v>12000</v>
      </c>
      <c r="V66" s="7">
        <v>7000</v>
      </c>
      <c r="W66" s="7">
        <v>7000</v>
      </c>
      <c r="X66" s="7">
        <v>7000</v>
      </c>
      <c r="Y66" s="7">
        <v>7000</v>
      </c>
      <c r="Z66" s="7">
        <v>7000</v>
      </c>
      <c r="AA66" s="7">
        <v>7000</v>
      </c>
      <c r="AB66" s="7">
        <v>7000</v>
      </c>
      <c r="AC66" s="7">
        <v>4000</v>
      </c>
      <c r="AD66" s="7">
        <v>7000</v>
      </c>
      <c r="AE66" s="7">
        <v>7343</v>
      </c>
      <c r="AF66" s="7">
        <v>7157</v>
      </c>
      <c r="AG66" s="7">
        <v>7329</v>
      </c>
      <c r="AH66" s="7">
        <v>7161</v>
      </c>
      <c r="AI66" s="7">
        <v>7329</v>
      </c>
      <c r="AJ66" s="7">
        <v>7127</v>
      </c>
      <c r="AK66" s="7">
        <v>7266</v>
      </c>
      <c r="AL66" s="7">
        <v>4068</v>
      </c>
      <c r="AM66" s="7">
        <v>4137</v>
      </c>
      <c r="AN66" s="7">
        <v>0</v>
      </c>
      <c r="AO66" s="7">
        <v>0</v>
      </c>
      <c r="AP66" s="7">
        <v>0</v>
      </c>
      <c r="AQ66" s="7">
        <v>0</v>
      </c>
      <c r="AR66" s="7">
        <v>0</v>
      </c>
      <c r="AS66" s="7">
        <v>0</v>
      </c>
      <c r="AT66" s="7">
        <v>0</v>
      </c>
      <c r="AU66" s="7">
        <v>0</v>
      </c>
      <c r="AV66" s="7">
        <v>0</v>
      </c>
      <c r="AW66" s="7">
        <v>0</v>
      </c>
      <c r="AX66" s="7">
        <v>0</v>
      </c>
      <c r="AY66" s="7">
        <v>0</v>
      </c>
      <c r="AZ66" s="7">
        <v>0</v>
      </c>
      <c r="BA66" s="7">
        <v>0</v>
      </c>
      <c r="BB66" s="7">
        <v>0</v>
      </c>
    </row>
    <row r="67" spans="1:54" x14ac:dyDescent="0.4">
      <c r="A67" s="35" t="s">
        <v>27</v>
      </c>
      <c r="B67" s="7"/>
      <c r="C67" s="7"/>
      <c r="D67" s="7"/>
      <c r="E67" s="7"/>
      <c r="F67" s="7"/>
      <c r="G67" s="7"/>
      <c r="H67" s="7"/>
      <c r="I67" s="7"/>
      <c r="J67" s="7"/>
      <c r="K67" s="7"/>
      <c r="L67" s="7"/>
      <c r="M67" s="7"/>
      <c r="N67" s="7"/>
      <c r="O67" s="7"/>
      <c r="P67" s="7"/>
      <c r="Q67" s="7"/>
      <c r="R67" s="7"/>
      <c r="S67" s="7"/>
      <c r="T67" s="7"/>
      <c r="U67" s="7"/>
      <c r="V67" s="7"/>
      <c r="W67" s="7"/>
      <c r="X67" s="7"/>
      <c r="Y67" s="7"/>
      <c r="Z67" s="7">
        <v>0</v>
      </c>
      <c r="AA67" s="7">
        <v>0</v>
      </c>
      <c r="AB67" s="7">
        <v>0</v>
      </c>
      <c r="AC67" s="7">
        <v>0</v>
      </c>
      <c r="AD67" s="7">
        <v>0</v>
      </c>
      <c r="AE67" s="7">
        <v>0</v>
      </c>
      <c r="AF67" s="7">
        <v>0</v>
      </c>
      <c r="AG67" s="7">
        <v>0</v>
      </c>
      <c r="AH67" s="7">
        <v>0</v>
      </c>
      <c r="AI67" s="7">
        <v>0</v>
      </c>
      <c r="AJ67" s="7">
        <v>4066</v>
      </c>
      <c r="AK67" s="7">
        <v>4137</v>
      </c>
      <c r="AL67" s="7">
        <v>4068</v>
      </c>
      <c r="AM67" s="7">
        <v>4137</v>
      </c>
      <c r="AN67" s="7">
        <v>0</v>
      </c>
      <c r="AO67" s="7">
        <v>0</v>
      </c>
      <c r="AP67" s="7">
        <v>0</v>
      </c>
      <c r="AQ67" s="7">
        <v>0</v>
      </c>
      <c r="AR67" s="7">
        <v>0</v>
      </c>
      <c r="AS67" s="7">
        <v>0</v>
      </c>
      <c r="AT67" s="7">
        <v>0</v>
      </c>
      <c r="AU67" s="7">
        <v>0</v>
      </c>
      <c r="AV67" s="7">
        <v>0</v>
      </c>
      <c r="AW67" s="7">
        <v>0</v>
      </c>
      <c r="AX67" s="7">
        <v>0</v>
      </c>
      <c r="AY67" s="7">
        <v>0</v>
      </c>
      <c r="AZ67" s="7">
        <v>0</v>
      </c>
      <c r="BA67" s="7">
        <v>0</v>
      </c>
      <c r="BB67" s="7">
        <v>0</v>
      </c>
    </row>
    <row r="68" spans="1:54" x14ac:dyDescent="0.4">
      <c r="A68" s="35" t="s">
        <v>30</v>
      </c>
      <c r="B68" s="7"/>
      <c r="C68" s="7"/>
      <c r="D68" s="7"/>
      <c r="E68" s="7"/>
      <c r="F68" s="7"/>
      <c r="G68" s="7"/>
      <c r="H68" s="7"/>
      <c r="I68" s="7"/>
      <c r="J68" s="7"/>
      <c r="K68" s="7"/>
      <c r="L68" s="7"/>
      <c r="M68" s="7"/>
      <c r="N68" s="7"/>
      <c r="O68" s="7"/>
      <c r="P68" s="7"/>
      <c r="Q68" s="7"/>
      <c r="R68" s="7"/>
      <c r="S68" s="7"/>
      <c r="T68" s="7"/>
      <c r="U68" s="7"/>
      <c r="V68" s="7"/>
      <c r="W68" s="7"/>
      <c r="X68" s="7"/>
      <c r="Y68" s="7"/>
      <c r="Z68" s="7">
        <v>7000</v>
      </c>
      <c r="AA68" s="7">
        <v>7000</v>
      </c>
      <c r="AB68" s="7">
        <v>7000</v>
      </c>
      <c r="AC68" s="7">
        <v>4000</v>
      </c>
      <c r="AD68" s="7">
        <v>7000</v>
      </c>
      <c r="AE68" s="7">
        <v>7343</v>
      </c>
      <c r="AF68" s="7">
        <v>7157</v>
      </c>
      <c r="AG68" s="7">
        <v>7329</v>
      </c>
      <c r="AH68" s="7">
        <v>7161</v>
      </c>
      <c r="AI68" s="7">
        <v>7329</v>
      </c>
      <c r="AJ68" s="7">
        <v>3061</v>
      </c>
      <c r="AK68" s="7">
        <v>3129</v>
      </c>
      <c r="AL68" s="7">
        <v>0</v>
      </c>
      <c r="AM68" s="7">
        <v>0</v>
      </c>
      <c r="AN68" s="7">
        <v>0</v>
      </c>
      <c r="AO68" s="7">
        <v>0</v>
      </c>
      <c r="AP68" s="7">
        <v>0</v>
      </c>
      <c r="AQ68" s="7">
        <v>0</v>
      </c>
      <c r="AR68" s="7">
        <v>0</v>
      </c>
      <c r="AS68" s="7">
        <v>0</v>
      </c>
      <c r="AT68" s="7">
        <v>0</v>
      </c>
      <c r="AU68" s="7">
        <v>0</v>
      </c>
      <c r="AV68" s="7">
        <v>0</v>
      </c>
      <c r="AW68" s="7">
        <v>0</v>
      </c>
      <c r="AX68" s="7">
        <v>0</v>
      </c>
      <c r="AY68" s="7">
        <v>0</v>
      </c>
      <c r="AZ68" s="7">
        <v>0</v>
      </c>
      <c r="BA68" s="7">
        <v>0</v>
      </c>
      <c r="BB68" s="7">
        <v>0</v>
      </c>
    </row>
    <row r="69" spans="1:54" x14ac:dyDescent="0.4">
      <c r="A69" s="34" t="s">
        <v>5</v>
      </c>
      <c r="B69" s="7">
        <v>1000807</v>
      </c>
      <c r="C69" s="7">
        <v>1092607</v>
      </c>
      <c r="D69" s="7">
        <v>1126298</v>
      </c>
      <c r="E69" s="7">
        <v>1204080</v>
      </c>
      <c r="F69" s="7">
        <v>1257196</v>
      </c>
      <c r="G69" s="7">
        <v>1396719</v>
      </c>
      <c r="H69" s="7">
        <v>1411938</v>
      </c>
      <c r="I69" s="7">
        <v>1587769</v>
      </c>
      <c r="J69" s="7">
        <v>1705173</v>
      </c>
      <c r="K69" s="7">
        <v>1747744</v>
      </c>
      <c r="L69" s="7">
        <v>1786341</v>
      </c>
      <c r="M69" s="7">
        <v>1879721</v>
      </c>
      <c r="N69" s="7">
        <v>1964864</v>
      </c>
      <c r="O69" s="7">
        <v>1995318</v>
      </c>
      <c r="P69" s="7">
        <v>2119915</v>
      </c>
      <c r="Q69" s="7">
        <v>2128593</v>
      </c>
      <c r="R69" s="7">
        <v>2202936</v>
      </c>
      <c r="S69" s="7">
        <v>2250112</v>
      </c>
      <c r="T69" s="7">
        <v>2428205</v>
      </c>
      <c r="U69" s="7">
        <v>2509026</v>
      </c>
      <c r="V69" s="7">
        <v>2518853</v>
      </c>
      <c r="W69" s="7">
        <v>2597881</v>
      </c>
      <c r="X69" s="7">
        <v>2592549</v>
      </c>
      <c r="Y69" s="7">
        <v>2500293</v>
      </c>
      <c r="Z69" s="7">
        <v>2491104</v>
      </c>
      <c r="AA69" s="7">
        <v>2586182</v>
      </c>
      <c r="AB69" s="7">
        <v>2702457</v>
      </c>
      <c r="AC69" s="7">
        <v>2671210</v>
      </c>
      <c r="AD69" s="7">
        <v>2924276</v>
      </c>
      <c r="AE69" s="7">
        <v>3037340</v>
      </c>
      <c r="AF69" s="7">
        <v>3052232</v>
      </c>
      <c r="AG69" s="7">
        <v>3145559</v>
      </c>
      <c r="AH69" s="7">
        <v>3567140</v>
      </c>
      <c r="AI69" s="7">
        <v>3478706</v>
      </c>
      <c r="AJ69" s="7">
        <v>3346350</v>
      </c>
      <c r="AK69" s="7">
        <v>3472765</v>
      </c>
      <c r="AL69" s="7">
        <v>3938599</v>
      </c>
      <c r="AM69" s="7">
        <v>3843340</v>
      </c>
      <c r="AN69" s="7">
        <v>3899972</v>
      </c>
      <c r="AO69" s="7">
        <v>4281324</v>
      </c>
      <c r="AP69" s="7">
        <v>4901740</v>
      </c>
      <c r="AQ69" s="7">
        <v>4899270</v>
      </c>
      <c r="AR69" s="7">
        <v>5243056</v>
      </c>
      <c r="AS69" s="7">
        <v>6327476</v>
      </c>
      <c r="AT69" s="7">
        <v>7529949</v>
      </c>
      <c r="AU69" s="7">
        <v>7763130</v>
      </c>
      <c r="AV69" s="7">
        <v>8196878</v>
      </c>
      <c r="AW69" s="7">
        <v>8978068</v>
      </c>
      <c r="AX69" s="7">
        <v>10547263</v>
      </c>
      <c r="AY69" s="7">
        <v>10899055</v>
      </c>
      <c r="AZ69" s="7">
        <v>11138107</v>
      </c>
      <c r="BA69" s="7">
        <v>11782673</v>
      </c>
      <c r="BB69" s="7">
        <v>13117845</v>
      </c>
    </row>
    <row r="70" spans="1:54" x14ac:dyDescent="0.4">
      <c r="A70" s="35" t="s">
        <v>13</v>
      </c>
      <c r="B70" s="7">
        <v>0</v>
      </c>
      <c r="C70" s="7">
        <v>0</v>
      </c>
      <c r="D70" s="7">
        <v>0</v>
      </c>
      <c r="E70" s="7">
        <v>0</v>
      </c>
      <c r="F70" s="7">
        <v>0</v>
      </c>
      <c r="G70" s="7">
        <v>873</v>
      </c>
      <c r="H70" s="7">
        <v>873</v>
      </c>
      <c r="I70" s="7">
        <v>873</v>
      </c>
      <c r="J70" s="7">
        <v>0</v>
      </c>
      <c r="K70" s="7">
        <v>0</v>
      </c>
      <c r="L70" s="7">
        <v>0</v>
      </c>
      <c r="M70" s="7">
        <v>0</v>
      </c>
      <c r="N70" s="7">
        <v>0</v>
      </c>
      <c r="O70" s="7">
        <v>0</v>
      </c>
      <c r="P70" s="7">
        <v>0</v>
      </c>
      <c r="Q70" s="7">
        <v>0</v>
      </c>
      <c r="R70" s="7">
        <v>30</v>
      </c>
      <c r="S70" s="7">
        <v>80</v>
      </c>
      <c r="T70" s="7">
        <v>108</v>
      </c>
      <c r="U70" s="7">
        <v>138</v>
      </c>
      <c r="V70" s="7">
        <v>148</v>
      </c>
      <c r="W70" s="7">
        <v>50759</v>
      </c>
      <c r="X70" s="7">
        <v>40430</v>
      </c>
      <c r="Y70" s="7">
        <v>14062</v>
      </c>
      <c r="Z70" s="7">
        <v>8490</v>
      </c>
      <c r="AA70" s="7">
        <v>20926</v>
      </c>
      <c r="AB70" s="7">
        <v>41838</v>
      </c>
      <c r="AC70" s="7">
        <v>25272</v>
      </c>
      <c r="AD70" s="7">
        <v>8142</v>
      </c>
      <c r="AE70" s="7">
        <v>1632</v>
      </c>
      <c r="AF70" s="7">
        <v>2454</v>
      </c>
      <c r="AG70" s="7">
        <v>6399</v>
      </c>
      <c r="AH70" s="7">
        <v>8332</v>
      </c>
      <c r="AI70" s="7">
        <v>14784</v>
      </c>
      <c r="AJ70" s="7">
        <v>29394</v>
      </c>
      <c r="AK70" s="7">
        <v>21063</v>
      </c>
      <c r="AL70" s="7">
        <v>56867</v>
      </c>
      <c r="AM70" s="7">
        <v>62344</v>
      </c>
      <c r="AN70" s="7">
        <v>63029</v>
      </c>
      <c r="AO70" s="7">
        <v>113361</v>
      </c>
      <c r="AP70" s="7">
        <v>63087</v>
      </c>
      <c r="AQ70" s="7">
        <v>54426</v>
      </c>
      <c r="AR70" s="7">
        <v>78245</v>
      </c>
      <c r="AS70" s="7">
        <v>109782</v>
      </c>
      <c r="AT70" s="7">
        <v>104129</v>
      </c>
      <c r="AU70" s="7">
        <v>116079</v>
      </c>
      <c r="AV70" s="7">
        <v>217461</v>
      </c>
      <c r="AW70" s="7">
        <v>163646</v>
      </c>
      <c r="AX70" s="7">
        <v>277729</v>
      </c>
      <c r="AY70" s="7">
        <v>299602</v>
      </c>
      <c r="AZ70" s="7">
        <v>321031</v>
      </c>
      <c r="BA70" s="7">
        <v>316462</v>
      </c>
      <c r="BB70" s="7">
        <v>249910</v>
      </c>
    </row>
    <row r="71" spans="1:54" x14ac:dyDescent="0.4">
      <c r="A71" s="35" t="s">
        <v>14</v>
      </c>
      <c r="B71" s="7">
        <v>1000807</v>
      </c>
      <c r="C71" s="7">
        <v>1092607</v>
      </c>
      <c r="D71" s="7">
        <v>1126298</v>
      </c>
      <c r="E71" s="7">
        <v>1204080</v>
      </c>
      <c r="F71" s="7">
        <v>1257196</v>
      </c>
      <c r="G71" s="7">
        <v>1395846</v>
      </c>
      <c r="H71" s="7">
        <v>1411065</v>
      </c>
      <c r="I71" s="7">
        <v>1586896</v>
      </c>
      <c r="J71" s="7">
        <v>1705173</v>
      </c>
      <c r="K71" s="7">
        <v>1747744</v>
      </c>
      <c r="L71" s="7">
        <v>1786341</v>
      </c>
      <c r="M71" s="7">
        <v>1879721</v>
      </c>
      <c r="N71" s="7">
        <v>1964864</v>
      </c>
      <c r="O71" s="7">
        <v>1995318</v>
      </c>
      <c r="P71" s="7">
        <v>2119915</v>
      </c>
      <c r="Q71" s="7">
        <v>2128593</v>
      </c>
      <c r="R71" s="7">
        <v>2202906</v>
      </c>
      <c r="S71" s="7">
        <v>2250032</v>
      </c>
      <c r="T71" s="7">
        <v>2428096</v>
      </c>
      <c r="U71" s="7">
        <v>2508888</v>
      </c>
      <c r="V71" s="7">
        <v>2518705</v>
      </c>
      <c r="W71" s="7">
        <v>2547121</v>
      </c>
      <c r="X71" s="7">
        <v>2552119</v>
      </c>
      <c r="Y71" s="7">
        <v>2486231</v>
      </c>
      <c r="Z71" s="7">
        <v>2482614</v>
      </c>
      <c r="AA71" s="7">
        <v>2565255</v>
      </c>
      <c r="AB71" s="7">
        <v>2660619</v>
      </c>
      <c r="AC71" s="7">
        <v>2645939</v>
      </c>
      <c r="AD71" s="7">
        <v>2916135</v>
      </c>
      <c r="AE71" s="7">
        <v>3035708</v>
      </c>
      <c r="AF71" s="7">
        <v>3049778</v>
      </c>
      <c r="AG71" s="7">
        <v>3139160</v>
      </c>
      <c r="AH71" s="7">
        <v>3558808</v>
      </c>
      <c r="AI71" s="7">
        <v>3463922</v>
      </c>
      <c r="AJ71" s="7">
        <v>3316957</v>
      </c>
      <c r="AK71" s="7">
        <v>3451702</v>
      </c>
      <c r="AL71" s="7">
        <v>3881732</v>
      </c>
      <c r="AM71" s="7">
        <v>3780996</v>
      </c>
      <c r="AN71" s="7">
        <v>3836943</v>
      </c>
      <c r="AO71" s="7">
        <v>4167963</v>
      </c>
      <c r="AP71" s="7">
        <v>4838653</v>
      </c>
      <c r="AQ71" s="7">
        <v>4844843</v>
      </c>
      <c r="AR71" s="7">
        <v>5164811</v>
      </c>
      <c r="AS71" s="7">
        <v>6217694</v>
      </c>
      <c r="AT71" s="7">
        <v>7425820</v>
      </c>
      <c r="AU71" s="7">
        <v>7647052</v>
      </c>
      <c r="AV71" s="7">
        <v>7979417</v>
      </c>
      <c r="AW71" s="7">
        <v>8814422</v>
      </c>
      <c r="AX71" s="7">
        <v>10269534</v>
      </c>
      <c r="AY71" s="7">
        <v>10599453</v>
      </c>
      <c r="AZ71" s="7">
        <v>10817076</v>
      </c>
      <c r="BA71" s="7">
        <v>11466211</v>
      </c>
      <c r="BB71" s="7">
        <v>12867935</v>
      </c>
    </row>
    <row r="72" spans="1:54" x14ac:dyDescent="0.4">
      <c r="A72" s="35" t="s">
        <v>27</v>
      </c>
      <c r="B72" s="7"/>
      <c r="C72" s="7"/>
      <c r="D72" s="7"/>
      <c r="E72" s="7"/>
      <c r="F72" s="7"/>
      <c r="G72" s="7"/>
      <c r="H72" s="7"/>
      <c r="I72" s="7"/>
      <c r="J72" s="7"/>
      <c r="K72" s="7"/>
      <c r="L72" s="7"/>
      <c r="M72" s="7"/>
      <c r="N72" s="7"/>
      <c r="O72" s="7"/>
      <c r="P72" s="7"/>
      <c r="Q72" s="7"/>
      <c r="R72" s="7"/>
      <c r="S72" s="7"/>
      <c r="T72" s="7"/>
      <c r="U72" s="7"/>
      <c r="V72" s="7"/>
      <c r="W72" s="7"/>
      <c r="X72" s="7"/>
      <c r="Y72" s="7"/>
      <c r="Z72" s="7">
        <v>113608</v>
      </c>
      <c r="AA72" s="7">
        <v>109746</v>
      </c>
      <c r="AB72" s="7">
        <v>130664</v>
      </c>
      <c r="AC72" s="7">
        <v>123703</v>
      </c>
      <c r="AD72" s="7">
        <v>151606</v>
      </c>
      <c r="AE72" s="7">
        <v>215930</v>
      </c>
      <c r="AF72" s="7">
        <v>539083</v>
      </c>
      <c r="AG72" s="7">
        <v>564664</v>
      </c>
      <c r="AH72" s="7">
        <v>521612</v>
      </c>
      <c r="AI72" s="7">
        <v>490742</v>
      </c>
      <c r="AJ72" s="7">
        <v>185875</v>
      </c>
      <c r="AK72" s="7">
        <v>152532</v>
      </c>
      <c r="AL72" s="7">
        <v>152160</v>
      </c>
      <c r="AM72" s="7">
        <v>141245</v>
      </c>
      <c r="AN72" s="7">
        <v>133519</v>
      </c>
      <c r="AO72" s="7">
        <v>163402</v>
      </c>
      <c r="AP72" s="7">
        <v>171220</v>
      </c>
      <c r="AQ72" s="7">
        <v>181903</v>
      </c>
      <c r="AR72" s="7">
        <v>154757</v>
      </c>
      <c r="AS72" s="7">
        <v>251131</v>
      </c>
      <c r="AT72" s="7">
        <v>254800</v>
      </c>
      <c r="AU72" s="7">
        <v>269144</v>
      </c>
      <c r="AV72" s="7">
        <v>340322</v>
      </c>
      <c r="AW72" s="7">
        <v>408038</v>
      </c>
      <c r="AX72" s="7">
        <v>452565</v>
      </c>
      <c r="AY72" s="7">
        <v>452499</v>
      </c>
      <c r="AZ72" s="7">
        <v>520301</v>
      </c>
      <c r="BA72" s="7">
        <v>787766</v>
      </c>
      <c r="BB72" s="7">
        <v>810784</v>
      </c>
    </row>
    <row r="73" spans="1:54" x14ac:dyDescent="0.4">
      <c r="A73" s="35" t="s">
        <v>30</v>
      </c>
      <c r="B73" s="7"/>
      <c r="C73" s="7"/>
      <c r="D73" s="7"/>
      <c r="E73" s="7"/>
      <c r="F73" s="7"/>
      <c r="G73" s="7"/>
      <c r="H73" s="7"/>
      <c r="I73" s="7"/>
      <c r="J73" s="7"/>
      <c r="K73" s="7"/>
      <c r="L73" s="7"/>
      <c r="M73" s="7"/>
      <c r="N73" s="7"/>
      <c r="O73" s="7"/>
      <c r="P73" s="7"/>
      <c r="Q73" s="7"/>
      <c r="R73" s="7"/>
      <c r="S73" s="7"/>
      <c r="T73" s="7"/>
      <c r="U73" s="7"/>
      <c r="V73" s="7"/>
      <c r="W73" s="7"/>
      <c r="X73" s="7"/>
      <c r="Y73" s="7"/>
      <c r="Z73" s="7">
        <v>2369007</v>
      </c>
      <c r="AA73" s="7">
        <v>2455509</v>
      </c>
      <c r="AB73" s="7">
        <v>2529955</v>
      </c>
      <c r="AC73" s="7">
        <v>2522235</v>
      </c>
      <c r="AD73" s="7">
        <v>2764529</v>
      </c>
      <c r="AE73" s="7">
        <v>2819778</v>
      </c>
      <c r="AF73" s="7">
        <v>2510695</v>
      </c>
      <c r="AG73" s="7">
        <v>2574496</v>
      </c>
      <c r="AH73" s="7">
        <v>3037196</v>
      </c>
      <c r="AI73" s="7">
        <v>2973180</v>
      </c>
      <c r="AJ73" s="7">
        <v>3131081</v>
      </c>
      <c r="AK73" s="7">
        <v>3299170</v>
      </c>
      <c r="AL73" s="7">
        <v>3729571</v>
      </c>
      <c r="AM73" s="7">
        <v>3639750</v>
      </c>
      <c r="AN73" s="7">
        <v>3703425</v>
      </c>
      <c r="AO73" s="7">
        <v>4004561</v>
      </c>
      <c r="AP73" s="7">
        <v>4667433</v>
      </c>
      <c r="AQ73" s="7">
        <v>4662941</v>
      </c>
      <c r="AR73" s="7">
        <v>5010054</v>
      </c>
      <c r="AS73" s="7">
        <v>5966563</v>
      </c>
      <c r="AT73" s="7">
        <v>7171021</v>
      </c>
      <c r="AU73" s="7">
        <v>7377908</v>
      </c>
      <c r="AV73" s="7">
        <v>7639095</v>
      </c>
      <c r="AW73" s="7">
        <v>8406384</v>
      </c>
      <c r="AX73" s="7">
        <v>9816969</v>
      </c>
      <c r="AY73" s="7">
        <v>10146954</v>
      </c>
      <c r="AZ73" s="7">
        <v>10296776</v>
      </c>
      <c r="BA73" s="7">
        <v>10678445</v>
      </c>
      <c r="BB73" s="7">
        <v>12057151</v>
      </c>
    </row>
    <row r="74" spans="1:54" x14ac:dyDescent="0.4">
      <c r="A74" s="34" t="s">
        <v>6</v>
      </c>
      <c r="B74" s="7">
        <v>4414257</v>
      </c>
      <c r="C74" s="7">
        <v>4233274</v>
      </c>
      <c r="D74" s="7">
        <v>4415712</v>
      </c>
      <c r="E74" s="7">
        <v>4569162</v>
      </c>
      <c r="F74" s="7">
        <v>4859751</v>
      </c>
      <c r="G74" s="7">
        <v>4857140</v>
      </c>
      <c r="H74" s="7">
        <v>4896539</v>
      </c>
      <c r="I74" s="7">
        <v>4892619</v>
      </c>
      <c r="J74" s="7">
        <v>5892743</v>
      </c>
      <c r="K74" s="7">
        <v>5791168</v>
      </c>
      <c r="L74" s="7">
        <v>5864372</v>
      </c>
      <c r="M74" s="7">
        <v>5829353</v>
      </c>
      <c r="N74" s="7">
        <v>6012760</v>
      </c>
      <c r="O74" s="7">
        <v>6117163</v>
      </c>
      <c r="P74" s="7">
        <v>6258021</v>
      </c>
      <c r="Q74" s="7">
        <v>6272802</v>
      </c>
      <c r="R74" s="7">
        <v>6586035</v>
      </c>
      <c r="S74" s="7">
        <v>6947083</v>
      </c>
      <c r="T74" s="7">
        <v>7116831</v>
      </c>
      <c r="U74" s="7">
        <v>7572861</v>
      </c>
      <c r="V74" s="7">
        <v>7820146</v>
      </c>
      <c r="W74" s="7">
        <v>7879971</v>
      </c>
      <c r="X74" s="7">
        <v>8135309</v>
      </c>
      <c r="Y74" s="7">
        <v>8261275</v>
      </c>
      <c r="Z74" s="7">
        <v>8462574</v>
      </c>
      <c r="AA74" s="7">
        <v>8804502</v>
      </c>
      <c r="AB74" s="7">
        <v>9456789</v>
      </c>
      <c r="AC74" s="7">
        <v>9945470</v>
      </c>
      <c r="AD74" s="7">
        <v>10146562</v>
      </c>
      <c r="AE74" s="7">
        <v>10571931</v>
      </c>
      <c r="AF74" s="7">
        <v>11480294</v>
      </c>
      <c r="AG74" s="7">
        <v>12796005</v>
      </c>
      <c r="AH74" s="7">
        <v>15325835</v>
      </c>
      <c r="AI74" s="7">
        <v>16012522</v>
      </c>
      <c r="AJ74" s="7">
        <v>16847854</v>
      </c>
      <c r="AK74" s="7">
        <v>17352866</v>
      </c>
      <c r="AL74" s="7">
        <v>17081503</v>
      </c>
      <c r="AM74" s="7">
        <v>17205947</v>
      </c>
      <c r="AN74" s="7">
        <v>17255435</v>
      </c>
      <c r="AO74" s="7">
        <v>16828191</v>
      </c>
      <c r="AP74" s="7">
        <v>19559128</v>
      </c>
      <c r="AQ74" s="7">
        <v>20118883</v>
      </c>
      <c r="AR74" s="7">
        <v>21002129</v>
      </c>
      <c r="AS74" s="7">
        <v>21322717</v>
      </c>
      <c r="AT74" s="7">
        <v>21852925</v>
      </c>
      <c r="AU74" s="7">
        <v>22333044</v>
      </c>
      <c r="AV74" s="7">
        <v>22436962</v>
      </c>
      <c r="AW74" s="7">
        <v>22758722</v>
      </c>
      <c r="AX74" s="7">
        <v>24818717</v>
      </c>
      <c r="AY74" s="7">
        <v>25835272</v>
      </c>
      <c r="AZ74" s="7">
        <v>27296405</v>
      </c>
      <c r="BA74" s="7">
        <v>28414190</v>
      </c>
      <c r="BB74" s="7">
        <v>31655502</v>
      </c>
    </row>
    <row r="75" spans="1:54" x14ac:dyDescent="0.4">
      <c r="A75" s="35" t="s">
        <v>13</v>
      </c>
      <c r="B75" s="7">
        <v>0</v>
      </c>
      <c r="C75" s="7">
        <v>0</v>
      </c>
      <c r="D75" s="7">
        <v>0</v>
      </c>
      <c r="E75" s="7">
        <v>0</v>
      </c>
      <c r="F75" s="7">
        <v>0</v>
      </c>
      <c r="G75" s="7">
        <v>0</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3000</v>
      </c>
      <c r="AA75" s="7">
        <v>3000</v>
      </c>
      <c r="AB75" s="7">
        <v>3000</v>
      </c>
      <c r="AC75" s="7">
        <v>3000</v>
      </c>
      <c r="AD75" s="7">
        <v>0</v>
      </c>
      <c r="AE75" s="7">
        <v>0</v>
      </c>
      <c r="AF75" s="7">
        <v>0</v>
      </c>
      <c r="AG75" s="7">
        <v>0</v>
      </c>
      <c r="AH75" s="7">
        <v>0</v>
      </c>
      <c r="AI75" s="7">
        <v>0</v>
      </c>
      <c r="AJ75" s="7">
        <v>0</v>
      </c>
      <c r="AK75" s="7">
        <v>0</v>
      </c>
      <c r="AL75" s="7">
        <v>0</v>
      </c>
      <c r="AM75" s="7">
        <v>5416</v>
      </c>
      <c r="AN75" s="7">
        <v>5570</v>
      </c>
      <c r="AO75" s="7">
        <v>5417</v>
      </c>
      <c r="AP75" s="7">
        <v>5574</v>
      </c>
      <c r="AQ75" s="7">
        <v>0</v>
      </c>
      <c r="AR75" s="7">
        <v>0</v>
      </c>
      <c r="AS75" s="7">
        <v>15052</v>
      </c>
      <c r="AT75" s="7">
        <v>60200</v>
      </c>
      <c r="AU75" s="7">
        <v>59928</v>
      </c>
      <c r="AV75" s="7">
        <v>6363</v>
      </c>
      <c r="AW75" s="7">
        <v>4363</v>
      </c>
      <c r="AX75" s="7">
        <v>0</v>
      </c>
      <c r="AY75" s="7">
        <v>0</v>
      </c>
      <c r="AZ75" s="7">
        <v>0</v>
      </c>
      <c r="BA75" s="7">
        <v>0</v>
      </c>
      <c r="BB75" s="7">
        <v>0</v>
      </c>
    </row>
    <row r="76" spans="1:54" x14ac:dyDescent="0.4">
      <c r="A76" s="35" t="s">
        <v>14</v>
      </c>
      <c r="B76" s="7">
        <v>4414257</v>
      </c>
      <c r="C76" s="7">
        <v>4233274</v>
      </c>
      <c r="D76" s="7">
        <v>4415712</v>
      </c>
      <c r="E76" s="7">
        <v>4569162</v>
      </c>
      <c r="F76" s="7">
        <v>4859751</v>
      </c>
      <c r="G76" s="7">
        <v>4857140</v>
      </c>
      <c r="H76" s="7">
        <v>4896539</v>
      </c>
      <c r="I76" s="7">
        <v>4892619</v>
      </c>
      <c r="J76" s="7">
        <v>5892743</v>
      </c>
      <c r="K76" s="7">
        <v>5791168</v>
      </c>
      <c r="L76" s="7">
        <v>5864372</v>
      </c>
      <c r="M76" s="7">
        <v>5829353</v>
      </c>
      <c r="N76" s="7">
        <v>6012760</v>
      </c>
      <c r="O76" s="7">
        <v>6117163</v>
      </c>
      <c r="P76" s="7">
        <v>6258021</v>
      </c>
      <c r="Q76" s="7">
        <v>6272802</v>
      </c>
      <c r="R76" s="7">
        <v>6586035</v>
      </c>
      <c r="S76" s="7">
        <v>6947083</v>
      </c>
      <c r="T76" s="7">
        <v>7116831</v>
      </c>
      <c r="U76" s="7">
        <v>7572861</v>
      </c>
      <c r="V76" s="7">
        <v>7820146</v>
      </c>
      <c r="W76" s="7">
        <v>7879971</v>
      </c>
      <c r="X76" s="7">
        <v>8135309</v>
      </c>
      <c r="Y76" s="7">
        <v>8261275</v>
      </c>
      <c r="Z76" s="7">
        <v>8459574</v>
      </c>
      <c r="AA76" s="7">
        <v>8801502</v>
      </c>
      <c r="AB76" s="7">
        <v>9453789</v>
      </c>
      <c r="AC76" s="7">
        <v>9942470</v>
      </c>
      <c r="AD76" s="7">
        <v>10146562</v>
      </c>
      <c r="AE76" s="7">
        <v>10571931</v>
      </c>
      <c r="AF76" s="7">
        <v>11480294</v>
      </c>
      <c r="AG76" s="7">
        <v>12796005</v>
      </c>
      <c r="AH76" s="7">
        <v>15325835</v>
      </c>
      <c r="AI76" s="7">
        <v>16012522</v>
      </c>
      <c r="AJ76" s="7">
        <v>16847854</v>
      </c>
      <c r="AK76" s="7">
        <v>17352866</v>
      </c>
      <c r="AL76" s="7">
        <v>17081503</v>
      </c>
      <c r="AM76" s="7">
        <v>17200532</v>
      </c>
      <c r="AN76" s="7">
        <v>17249865</v>
      </c>
      <c r="AO76" s="7">
        <v>16822774</v>
      </c>
      <c r="AP76" s="7">
        <v>19553554</v>
      </c>
      <c r="AQ76" s="7">
        <v>20118883</v>
      </c>
      <c r="AR76" s="7">
        <v>21002129</v>
      </c>
      <c r="AS76" s="7">
        <v>21307665</v>
      </c>
      <c r="AT76" s="7">
        <v>21792726</v>
      </c>
      <c r="AU76" s="7">
        <v>22273116</v>
      </c>
      <c r="AV76" s="7">
        <v>22430599</v>
      </c>
      <c r="AW76" s="7">
        <v>22754359</v>
      </c>
      <c r="AX76" s="7">
        <v>24818717</v>
      </c>
      <c r="AY76" s="7">
        <v>25835272</v>
      </c>
      <c r="AZ76" s="7">
        <v>27296405</v>
      </c>
      <c r="BA76" s="7">
        <v>28414190</v>
      </c>
      <c r="BB76" s="7">
        <v>31655502</v>
      </c>
    </row>
    <row r="77" spans="1:54" x14ac:dyDescent="0.4">
      <c r="A77" s="35" t="s">
        <v>27</v>
      </c>
      <c r="B77" s="7"/>
      <c r="C77" s="7"/>
      <c r="D77" s="7"/>
      <c r="E77" s="7"/>
      <c r="F77" s="7"/>
      <c r="G77" s="7"/>
      <c r="H77" s="7"/>
      <c r="I77" s="7"/>
      <c r="J77" s="7"/>
      <c r="K77" s="7"/>
      <c r="L77" s="7"/>
      <c r="M77" s="7"/>
      <c r="N77" s="7"/>
      <c r="O77" s="7"/>
      <c r="P77" s="7"/>
      <c r="Q77" s="7"/>
      <c r="R77" s="7"/>
      <c r="S77" s="7"/>
      <c r="T77" s="7"/>
      <c r="U77" s="7"/>
      <c r="V77" s="7"/>
      <c r="W77" s="7"/>
      <c r="X77" s="7"/>
      <c r="Y77" s="7"/>
      <c r="Z77" s="7">
        <v>728232</v>
      </c>
      <c r="AA77" s="7">
        <v>818588</v>
      </c>
      <c r="AB77" s="7">
        <v>807334</v>
      </c>
      <c r="AC77" s="7">
        <v>824086</v>
      </c>
      <c r="AD77" s="7">
        <v>565997</v>
      </c>
      <c r="AE77" s="7">
        <v>413026</v>
      </c>
      <c r="AF77" s="7">
        <v>310002</v>
      </c>
      <c r="AG77" s="7">
        <v>583059</v>
      </c>
      <c r="AH77" s="7">
        <v>1037677</v>
      </c>
      <c r="AI77" s="7">
        <v>948081</v>
      </c>
      <c r="AJ77" s="7">
        <v>809296</v>
      </c>
      <c r="AK77" s="7">
        <v>977403</v>
      </c>
      <c r="AL77" s="7">
        <v>1111038</v>
      </c>
      <c r="AM77" s="7">
        <v>1270470</v>
      </c>
      <c r="AN77" s="7">
        <v>1282520</v>
      </c>
      <c r="AO77" s="7">
        <v>1331627</v>
      </c>
      <c r="AP77" s="7">
        <v>901307</v>
      </c>
      <c r="AQ77" s="7">
        <v>1129081</v>
      </c>
      <c r="AR77" s="7">
        <v>1471083</v>
      </c>
      <c r="AS77" s="7">
        <v>1374332</v>
      </c>
      <c r="AT77" s="7">
        <v>1584551</v>
      </c>
      <c r="AU77" s="7">
        <v>1624414</v>
      </c>
      <c r="AV77" s="7">
        <v>1309235</v>
      </c>
      <c r="AW77" s="7">
        <v>1425173</v>
      </c>
      <c r="AX77" s="7">
        <v>1514274</v>
      </c>
      <c r="AY77" s="7">
        <v>1521987</v>
      </c>
      <c r="AZ77" s="7">
        <v>1538813</v>
      </c>
      <c r="BA77" s="7">
        <v>1463511</v>
      </c>
      <c r="BB77" s="7">
        <v>1515317</v>
      </c>
    </row>
    <row r="78" spans="1:54" x14ac:dyDescent="0.4">
      <c r="A78" s="35" t="s">
        <v>30</v>
      </c>
      <c r="B78" s="7"/>
      <c r="C78" s="7"/>
      <c r="D78" s="7"/>
      <c r="E78" s="7"/>
      <c r="F78" s="7"/>
      <c r="G78" s="7"/>
      <c r="H78" s="7"/>
      <c r="I78" s="7"/>
      <c r="J78" s="7"/>
      <c r="K78" s="7"/>
      <c r="L78" s="7"/>
      <c r="M78" s="7"/>
      <c r="N78" s="7"/>
      <c r="O78" s="7"/>
      <c r="P78" s="7"/>
      <c r="Q78" s="7"/>
      <c r="R78" s="7"/>
      <c r="S78" s="7"/>
      <c r="T78" s="7"/>
      <c r="U78" s="7"/>
      <c r="V78" s="7"/>
      <c r="W78" s="7"/>
      <c r="X78" s="7"/>
      <c r="Y78" s="7"/>
      <c r="Z78" s="7">
        <v>7731342</v>
      </c>
      <c r="AA78" s="7">
        <v>7982915</v>
      </c>
      <c r="AB78" s="7">
        <v>8646455</v>
      </c>
      <c r="AC78" s="7">
        <v>9118384</v>
      </c>
      <c r="AD78" s="7">
        <v>9580565</v>
      </c>
      <c r="AE78" s="7">
        <v>10158905</v>
      </c>
      <c r="AF78" s="7">
        <v>11170292</v>
      </c>
      <c r="AG78" s="7">
        <v>12212945</v>
      </c>
      <c r="AH78" s="7">
        <v>14288158</v>
      </c>
      <c r="AI78" s="7">
        <v>15064441</v>
      </c>
      <c r="AJ78" s="7">
        <v>16038558</v>
      </c>
      <c r="AK78" s="7">
        <v>16375463</v>
      </c>
      <c r="AL78" s="7">
        <v>15970465</v>
      </c>
      <c r="AM78" s="7">
        <v>15930062</v>
      </c>
      <c r="AN78" s="7">
        <v>15967345</v>
      </c>
      <c r="AO78" s="7">
        <v>15491147</v>
      </c>
      <c r="AP78" s="7">
        <v>18652247</v>
      </c>
      <c r="AQ78" s="7">
        <v>18989802</v>
      </c>
      <c r="AR78" s="7">
        <v>19531046</v>
      </c>
      <c r="AS78" s="7">
        <v>19933333</v>
      </c>
      <c r="AT78" s="7">
        <v>20208174</v>
      </c>
      <c r="AU78" s="7">
        <v>20648702</v>
      </c>
      <c r="AV78" s="7">
        <v>21121364</v>
      </c>
      <c r="AW78" s="7">
        <v>21329187</v>
      </c>
      <c r="AX78" s="7">
        <v>23304442</v>
      </c>
      <c r="AY78" s="7">
        <v>24313285</v>
      </c>
      <c r="AZ78" s="7">
        <v>25757592</v>
      </c>
      <c r="BA78" s="7">
        <v>26950679</v>
      </c>
      <c r="BB78" s="7">
        <v>30140186</v>
      </c>
    </row>
    <row r="79" spans="1:54" x14ac:dyDescent="0.4">
      <c r="A79" s="34" t="s">
        <v>7</v>
      </c>
      <c r="B79" s="7">
        <v>1835416</v>
      </c>
      <c r="C79" s="7">
        <v>1937148</v>
      </c>
      <c r="D79" s="7">
        <v>2001546</v>
      </c>
      <c r="E79" s="7">
        <v>2041163</v>
      </c>
      <c r="F79" s="7">
        <v>2126927</v>
      </c>
      <c r="G79" s="7">
        <v>2162627</v>
      </c>
      <c r="H79" s="7">
        <v>2159302</v>
      </c>
      <c r="I79" s="7">
        <v>2167025</v>
      </c>
      <c r="J79" s="7">
        <v>2847022</v>
      </c>
      <c r="K79" s="7">
        <v>3248706</v>
      </c>
      <c r="L79" s="7">
        <v>3412307</v>
      </c>
      <c r="M79" s="7">
        <v>3525571</v>
      </c>
      <c r="N79" s="7">
        <v>3603914</v>
      </c>
      <c r="O79" s="7">
        <v>3572887</v>
      </c>
      <c r="P79" s="7">
        <v>3808679</v>
      </c>
      <c r="Q79" s="7">
        <v>3977265</v>
      </c>
      <c r="R79" s="7">
        <v>4755415</v>
      </c>
      <c r="S79" s="7">
        <v>4874572</v>
      </c>
      <c r="T79" s="7">
        <v>5115585</v>
      </c>
      <c r="U79" s="7">
        <v>5422443</v>
      </c>
      <c r="V79" s="7">
        <v>6202969</v>
      </c>
      <c r="W79" s="7">
        <v>6317419</v>
      </c>
      <c r="X79" s="7">
        <v>6321916</v>
      </c>
      <c r="Y79" s="7">
        <v>6298115</v>
      </c>
      <c r="Z79" s="7">
        <v>6368556</v>
      </c>
      <c r="AA79" s="7">
        <v>6498646</v>
      </c>
      <c r="AB79" s="7">
        <v>6668527</v>
      </c>
      <c r="AC79" s="7">
        <v>6721789</v>
      </c>
      <c r="AD79" s="7">
        <v>7082445</v>
      </c>
      <c r="AE79" s="7">
        <v>7306252</v>
      </c>
      <c r="AF79" s="7">
        <v>7399329</v>
      </c>
      <c r="AG79" s="7">
        <v>7483494</v>
      </c>
      <c r="AH79" s="7">
        <v>8672923</v>
      </c>
      <c r="AI79" s="7">
        <v>8397716</v>
      </c>
      <c r="AJ79" s="7">
        <v>8335681</v>
      </c>
      <c r="AK79" s="7">
        <v>8514807</v>
      </c>
      <c r="AL79" s="7">
        <v>8531840</v>
      </c>
      <c r="AM79" s="7">
        <v>8447396</v>
      </c>
      <c r="AN79" s="7">
        <v>8413114</v>
      </c>
      <c r="AO79" s="7">
        <v>8571452</v>
      </c>
      <c r="AP79" s="7">
        <v>8367074</v>
      </c>
      <c r="AQ79" s="7">
        <v>8307582</v>
      </c>
      <c r="AR79" s="7">
        <v>8406737</v>
      </c>
      <c r="AS79" s="7">
        <v>8254353</v>
      </c>
      <c r="AT79" s="7">
        <v>8499268</v>
      </c>
      <c r="AU79" s="7">
        <v>8583115</v>
      </c>
      <c r="AV79" s="7">
        <v>8710984</v>
      </c>
      <c r="AW79" s="7">
        <v>9031431</v>
      </c>
      <c r="AX79" s="7">
        <v>10128006</v>
      </c>
      <c r="AY79" s="7">
        <v>11136066</v>
      </c>
      <c r="AZ79" s="7">
        <v>11951747</v>
      </c>
      <c r="BA79" s="7">
        <v>12401459</v>
      </c>
      <c r="BB79" s="7">
        <v>12773651</v>
      </c>
    </row>
    <row r="80" spans="1:54" x14ac:dyDescent="0.4">
      <c r="A80" s="35" t="s">
        <v>13</v>
      </c>
      <c r="B80" s="7">
        <v>0</v>
      </c>
      <c r="C80" s="7">
        <v>2000</v>
      </c>
      <c r="D80" s="7">
        <v>2000</v>
      </c>
      <c r="E80" s="7">
        <v>2000</v>
      </c>
      <c r="F80" s="7">
        <v>2000</v>
      </c>
      <c r="G80" s="7">
        <v>0</v>
      </c>
      <c r="H80" s="7">
        <v>15000</v>
      </c>
      <c r="I80" s="7">
        <v>15000</v>
      </c>
      <c r="J80" s="7">
        <v>0</v>
      </c>
      <c r="K80" s="7">
        <v>0</v>
      </c>
      <c r="L80" s="7">
        <v>0</v>
      </c>
      <c r="M80" s="7">
        <v>0</v>
      </c>
      <c r="N80" s="7">
        <v>0</v>
      </c>
      <c r="O80" s="7">
        <v>0</v>
      </c>
      <c r="P80" s="7">
        <v>0</v>
      </c>
      <c r="Q80" s="7">
        <v>100</v>
      </c>
      <c r="R80" s="7">
        <v>100</v>
      </c>
      <c r="S80" s="7">
        <v>100</v>
      </c>
      <c r="T80" s="7">
        <v>130</v>
      </c>
      <c r="U80" s="7">
        <v>60</v>
      </c>
      <c r="V80" s="7">
        <v>10060</v>
      </c>
      <c r="W80" s="7">
        <v>11770</v>
      </c>
      <c r="X80" s="7">
        <v>10990</v>
      </c>
      <c r="Y80" s="7">
        <v>10960</v>
      </c>
      <c r="Z80" s="7">
        <v>210</v>
      </c>
      <c r="AA80" s="7">
        <v>200</v>
      </c>
      <c r="AB80" s="7">
        <v>0</v>
      </c>
      <c r="AC80" s="7">
        <v>50</v>
      </c>
      <c r="AD80" s="7">
        <v>90</v>
      </c>
      <c r="AE80" s="7">
        <v>192</v>
      </c>
      <c r="AF80" s="7">
        <v>191</v>
      </c>
      <c r="AG80" s="7">
        <v>242</v>
      </c>
      <c r="AH80" s="7">
        <v>464</v>
      </c>
      <c r="AI80" s="7">
        <v>464</v>
      </c>
      <c r="AJ80" s="7">
        <v>404</v>
      </c>
      <c r="AK80" s="7">
        <v>214</v>
      </c>
      <c r="AL80" s="7">
        <v>40</v>
      </c>
      <c r="AM80" s="7">
        <v>0</v>
      </c>
      <c r="AN80" s="7">
        <v>0</v>
      </c>
      <c r="AO80" s="7">
        <v>0</v>
      </c>
      <c r="AP80" s="7">
        <v>0</v>
      </c>
      <c r="AQ80" s="7">
        <v>0</v>
      </c>
      <c r="AR80" s="7">
        <v>0</v>
      </c>
      <c r="AS80" s="7">
        <v>211</v>
      </c>
      <c r="AT80" s="7">
        <v>2106</v>
      </c>
      <c r="AU80" s="7">
        <v>2107</v>
      </c>
      <c r="AV80" s="7">
        <v>2092</v>
      </c>
      <c r="AW80" s="7">
        <v>2145</v>
      </c>
      <c r="AX80" s="7">
        <v>20473</v>
      </c>
      <c r="AY80" s="7">
        <v>28145</v>
      </c>
      <c r="AZ80" s="7">
        <v>28118</v>
      </c>
      <c r="BA80" s="7">
        <v>28159</v>
      </c>
      <c r="BB80" s="7">
        <v>10495</v>
      </c>
    </row>
    <row r="81" spans="1:54" x14ac:dyDescent="0.4">
      <c r="A81" s="35" t="s">
        <v>14</v>
      </c>
      <c r="B81" s="7">
        <v>1835416</v>
      </c>
      <c r="C81" s="7">
        <v>1935148</v>
      </c>
      <c r="D81" s="7">
        <v>1999546</v>
      </c>
      <c r="E81" s="7">
        <v>2039163</v>
      </c>
      <c r="F81" s="7">
        <v>2124927</v>
      </c>
      <c r="G81" s="7">
        <v>2162627</v>
      </c>
      <c r="H81" s="7">
        <v>2144302</v>
      </c>
      <c r="I81" s="7">
        <v>2152025</v>
      </c>
      <c r="J81" s="7">
        <v>2847022</v>
      </c>
      <c r="K81" s="7">
        <v>3248706</v>
      </c>
      <c r="L81" s="7">
        <v>3412307</v>
      </c>
      <c r="M81" s="7">
        <v>3525571</v>
      </c>
      <c r="N81" s="7">
        <v>3603914</v>
      </c>
      <c r="O81" s="7">
        <v>3572887</v>
      </c>
      <c r="P81" s="7">
        <v>3808679</v>
      </c>
      <c r="Q81" s="7">
        <v>3977165</v>
      </c>
      <c r="R81" s="7">
        <v>4755315</v>
      </c>
      <c r="S81" s="7">
        <v>4874472</v>
      </c>
      <c r="T81" s="7">
        <v>5115455</v>
      </c>
      <c r="U81" s="7">
        <v>5422383</v>
      </c>
      <c r="V81" s="7">
        <v>6192909</v>
      </c>
      <c r="W81" s="7">
        <v>6305649</v>
      </c>
      <c r="X81" s="7">
        <v>6310926</v>
      </c>
      <c r="Y81" s="7">
        <v>6287155</v>
      </c>
      <c r="Z81" s="7">
        <v>6368346</v>
      </c>
      <c r="AA81" s="7">
        <v>6498446</v>
      </c>
      <c r="AB81" s="7">
        <v>6668527</v>
      </c>
      <c r="AC81" s="7">
        <v>6721739</v>
      </c>
      <c r="AD81" s="7">
        <v>7082355</v>
      </c>
      <c r="AE81" s="7">
        <v>7306060</v>
      </c>
      <c r="AF81" s="7">
        <v>7399137</v>
      </c>
      <c r="AG81" s="7">
        <v>7483252</v>
      </c>
      <c r="AH81" s="7">
        <v>8672459</v>
      </c>
      <c r="AI81" s="7">
        <v>8397252</v>
      </c>
      <c r="AJ81" s="7">
        <v>8335278</v>
      </c>
      <c r="AK81" s="7">
        <v>8514593</v>
      </c>
      <c r="AL81" s="7">
        <v>8531799</v>
      </c>
      <c r="AM81" s="7">
        <v>8447396</v>
      </c>
      <c r="AN81" s="7">
        <v>8413114</v>
      </c>
      <c r="AO81" s="7">
        <v>8571452</v>
      </c>
      <c r="AP81" s="7">
        <v>8367074</v>
      </c>
      <c r="AQ81" s="7">
        <v>8307582</v>
      </c>
      <c r="AR81" s="7">
        <v>8406737</v>
      </c>
      <c r="AS81" s="7">
        <v>8254142</v>
      </c>
      <c r="AT81" s="7">
        <v>8497162</v>
      </c>
      <c r="AU81" s="7">
        <v>8581008</v>
      </c>
      <c r="AV81" s="7">
        <v>8708892</v>
      </c>
      <c r="AW81" s="7">
        <v>9029286</v>
      </c>
      <c r="AX81" s="7">
        <v>10107533</v>
      </c>
      <c r="AY81" s="7">
        <v>11107921</v>
      </c>
      <c r="AZ81" s="7">
        <v>11923629</v>
      </c>
      <c r="BA81" s="7">
        <v>12373300</v>
      </c>
      <c r="BB81" s="7">
        <v>12763157</v>
      </c>
    </row>
    <row r="82" spans="1:54" x14ac:dyDescent="0.4">
      <c r="A82" s="35" t="s">
        <v>27</v>
      </c>
      <c r="B82" s="7"/>
      <c r="C82" s="7"/>
      <c r="D82" s="7"/>
      <c r="E82" s="7"/>
      <c r="F82" s="7"/>
      <c r="G82" s="7"/>
      <c r="H82" s="7"/>
      <c r="I82" s="7"/>
      <c r="J82" s="7"/>
      <c r="K82" s="7"/>
      <c r="L82" s="7"/>
      <c r="M82" s="7"/>
      <c r="N82" s="7"/>
      <c r="O82" s="7"/>
      <c r="P82" s="7"/>
      <c r="Q82" s="7"/>
      <c r="R82" s="7"/>
      <c r="S82" s="7"/>
      <c r="T82" s="7"/>
      <c r="U82" s="7"/>
      <c r="V82" s="7"/>
      <c r="W82" s="7"/>
      <c r="X82" s="7"/>
      <c r="Y82" s="7"/>
      <c r="Z82" s="7">
        <v>219196</v>
      </c>
      <c r="AA82" s="7">
        <v>283075</v>
      </c>
      <c r="AB82" s="7">
        <v>262721</v>
      </c>
      <c r="AC82" s="7">
        <v>202891</v>
      </c>
      <c r="AD82" s="7">
        <v>727316</v>
      </c>
      <c r="AE82" s="7">
        <v>1159422</v>
      </c>
      <c r="AF82" s="7">
        <v>1187414</v>
      </c>
      <c r="AG82" s="7">
        <v>1186910</v>
      </c>
      <c r="AH82" s="7">
        <v>710306</v>
      </c>
      <c r="AI82" s="7">
        <v>329491</v>
      </c>
      <c r="AJ82" s="7">
        <v>365457</v>
      </c>
      <c r="AK82" s="7">
        <v>404112</v>
      </c>
      <c r="AL82" s="7">
        <v>500862</v>
      </c>
      <c r="AM82" s="7">
        <v>604841</v>
      </c>
      <c r="AN82" s="7">
        <v>656252</v>
      </c>
      <c r="AO82" s="7">
        <v>617243</v>
      </c>
      <c r="AP82" s="7">
        <v>596739</v>
      </c>
      <c r="AQ82" s="7">
        <v>583728</v>
      </c>
      <c r="AR82" s="7">
        <v>474805</v>
      </c>
      <c r="AS82" s="7">
        <v>539752</v>
      </c>
      <c r="AT82" s="7">
        <v>786081</v>
      </c>
      <c r="AU82" s="7">
        <v>787700</v>
      </c>
      <c r="AV82" s="7">
        <v>906530</v>
      </c>
      <c r="AW82" s="7">
        <v>838062</v>
      </c>
      <c r="AX82" s="7">
        <v>782048</v>
      </c>
      <c r="AY82" s="7">
        <v>821812</v>
      </c>
      <c r="AZ82" s="7">
        <v>1065216</v>
      </c>
      <c r="BA82" s="7">
        <v>1446290</v>
      </c>
      <c r="BB82" s="7">
        <v>2071551</v>
      </c>
    </row>
    <row r="83" spans="1:54" x14ac:dyDescent="0.4">
      <c r="A83" s="35" t="s">
        <v>30</v>
      </c>
      <c r="B83" s="7"/>
      <c r="C83" s="7"/>
      <c r="D83" s="7"/>
      <c r="E83" s="7"/>
      <c r="F83" s="7"/>
      <c r="G83" s="7"/>
      <c r="H83" s="7"/>
      <c r="I83" s="7"/>
      <c r="J83" s="7"/>
      <c r="K83" s="7"/>
      <c r="L83" s="7"/>
      <c r="M83" s="7"/>
      <c r="N83" s="7"/>
      <c r="O83" s="7"/>
      <c r="P83" s="7"/>
      <c r="Q83" s="7"/>
      <c r="R83" s="7"/>
      <c r="S83" s="7"/>
      <c r="T83" s="7"/>
      <c r="U83" s="7"/>
      <c r="V83" s="7"/>
      <c r="W83" s="7"/>
      <c r="X83" s="7"/>
      <c r="Y83" s="7"/>
      <c r="Z83" s="7">
        <v>6149150</v>
      </c>
      <c r="AA83" s="7">
        <v>6215371</v>
      </c>
      <c r="AB83" s="7">
        <v>6405806</v>
      </c>
      <c r="AC83" s="7">
        <v>6518848</v>
      </c>
      <c r="AD83" s="7">
        <v>6355039</v>
      </c>
      <c r="AE83" s="7">
        <v>6146638</v>
      </c>
      <c r="AF83" s="7">
        <v>6211724</v>
      </c>
      <c r="AG83" s="7">
        <v>6296342</v>
      </c>
      <c r="AH83" s="7">
        <v>7962153</v>
      </c>
      <c r="AI83" s="7">
        <v>8067761</v>
      </c>
      <c r="AJ83" s="7">
        <v>7969821</v>
      </c>
      <c r="AK83" s="7">
        <v>8110481</v>
      </c>
      <c r="AL83" s="7">
        <v>8030937</v>
      </c>
      <c r="AM83" s="7">
        <v>7842554</v>
      </c>
      <c r="AN83" s="7">
        <v>7756862</v>
      </c>
      <c r="AO83" s="7">
        <v>7954208</v>
      </c>
      <c r="AP83" s="7">
        <v>7770335</v>
      </c>
      <c r="AQ83" s="7">
        <v>7723854</v>
      </c>
      <c r="AR83" s="7">
        <v>7931932</v>
      </c>
      <c r="AS83" s="7">
        <v>7714390</v>
      </c>
      <c r="AT83" s="7">
        <v>7711081</v>
      </c>
      <c r="AU83" s="7">
        <v>7793308</v>
      </c>
      <c r="AV83" s="7">
        <v>7802362</v>
      </c>
      <c r="AW83" s="7">
        <v>8191223</v>
      </c>
      <c r="AX83" s="7">
        <v>9325485</v>
      </c>
      <c r="AY83" s="7">
        <v>10286108</v>
      </c>
      <c r="AZ83" s="7">
        <v>10858412</v>
      </c>
      <c r="BA83" s="7">
        <v>10927010</v>
      </c>
      <c r="BB83" s="7">
        <v>10691605</v>
      </c>
    </row>
    <row r="84" spans="1:54" x14ac:dyDescent="0.4">
      <c r="A84" s="34" t="s">
        <v>8</v>
      </c>
      <c r="B84" s="7">
        <v>70300</v>
      </c>
      <c r="C84" s="7">
        <v>70300</v>
      </c>
      <c r="D84" s="7">
        <v>70300</v>
      </c>
      <c r="E84" s="7">
        <v>87800</v>
      </c>
      <c r="F84" s="7">
        <v>102800</v>
      </c>
      <c r="G84" s="7">
        <v>102800</v>
      </c>
      <c r="H84" s="7">
        <v>101800</v>
      </c>
      <c r="I84" s="7">
        <v>101800</v>
      </c>
      <c r="J84" s="7">
        <v>105800</v>
      </c>
      <c r="K84" s="7">
        <v>105800</v>
      </c>
      <c r="L84" s="7">
        <v>108800</v>
      </c>
      <c r="M84" s="7">
        <v>108800</v>
      </c>
      <c r="N84" s="7">
        <v>113800</v>
      </c>
      <c r="O84" s="7">
        <v>115800</v>
      </c>
      <c r="P84" s="7">
        <v>114800</v>
      </c>
      <c r="Q84" s="7">
        <v>114800</v>
      </c>
      <c r="R84" s="7">
        <v>109800</v>
      </c>
      <c r="S84" s="7">
        <v>109800</v>
      </c>
      <c r="T84" s="7">
        <v>119800</v>
      </c>
      <c r="U84" s="7">
        <v>119800</v>
      </c>
      <c r="V84" s="7">
        <v>106800</v>
      </c>
      <c r="W84" s="7">
        <v>106800</v>
      </c>
      <c r="X84" s="7">
        <v>106800</v>
      </c>
      <c r="Y84" s="7">
        <v>109800</v>
      </c>
      <c r="Z84" s="7">
        <v>107800</v>
      </c>
      <c r="AA84" s="7">
        <v>102800</v>
      </c>
      <c r="AB84" s="7">
        <v>102800</v>
      </c>
      <c r="AC84" s="7">
        <v>109800</v>
      </c>
      <c r="AD84" s="7">
        <v>121800</v>
      </c>
      <c r="AE84" s="7">
        <v>120521</v>
      </c>
      <c r="AF84" s="7">
        <v>160310</v>
      </c>
      <c r="AG84" s="7">
        <v>152064</v>
      </c>
      <c r="AH84" s="7">
        <v>133844</v>
      </c>
      <c r="AI84" s="7">
        <v>131637</v>
      </c>
      <c r="AJ84" s="7">
        <v>121085</v>
      </c>
      <c r="AK84" s="7">
        <v>121314</v>
      </c>
      <c r="AL84" s="7">
        <v>106808</v>
      </c>
      <c r="AM84" s="7">
        <v>107014</v>
      </c>
      <c r="AN84" s="7">
        <v>113859</v>
      </c>
      <c r="AO84" s="7">
        <v>167647</v>
      </c>
      <c r="AP84" s="7">
        <v>173684</v>
      </c>
      <c r="AQ84" s="7">
        <v>123460</v>
      </c>
      <c r="AR84" s="7">
        <v>120196</v>
      </c>
      <c r="AS84" s="7">
        <v>126654</v>
      </c>
      <c r="AT84" s="7">
        <v>142539</v>
      </c>
      <c r="AU84" s="7">
        <v>143560</v>
      </c>
      <c r="AV84" s="7">
        <v>135629</v>
      </c>
      <c r="AW84" s="7">
        <v>136248</v>
      </c>
      <c r="AX84" s="7">
        <v>135311</v>
      </c>
      <c r="AY84" s="7">
        <v>131013</v>
      </c>
      <c r="AZ84" s="7">
        <v>114382</v>
      </c>
      <c r="BA84" s="7">
        <v>110510</v>
      </c>
      <c r="BB84" s="7">
        <v>104278</v>
      </c>
    </row>
    <row r="85" spans="1:54" x14ac:dyDescent="0.4">
      <c r="A85" s="34" t="s">
        <v>13</v>
      </c>
      <c r="B85" s="7">
        <v>13000</v>
      </c>
      <c r="C85" s="7">
        <v>13000</v>
      </c>
      <c r="D85" s="7">
        <v>13000</v>
      </c>
      <c r="E85" s="7">
        <v>13000</v>
      </c>
      <c r="F85" s="7">
        <v>0</v>
      </c>
      <c r="G85" s="7">
        <v>0</v>
      </c>
      <c r="H85" s="7">
        <v>0</v>
      </c>
      <c r="I85" s="7">
        <v>0</v>
      </c>
      <c r="J85" s="7">
        <v>0</v>
      </c>
      <c r="K85" s="7">
        <v>0</v>
      </c>
      <c r="L85" s="7">
        <v>0</v>
      </c>
      <c r="M85" s="7">
        <v>0</v>
      </c>
      <c r="N85" s="7">
        <v>0</v>
      </c>
      <c r="O85" s="7">
        <v>3000</v>
      </c>
      <c r="P85" s="7">
        <v>3000</v>
      </c>
      <c r="Q85" s="7">
        <v>3000</v>
      </c>
      <c r="R85" s="7">
        <v>3000</v>
      </c>
      <c r="S85" s="7">
        <v>13000</v>
      </c>
      <c r="T85" s="7">
        <v>0</v>
      </c>
      <c r="U85" s="7">
        <v>3000</v>
      </c>
      <c r="V85" s="7">
        <v>0</v>
      </c>
      <c r="W85" s="7">
        <v>0</v>
      </c>
      <c r="X85" s="7">
        <v>0</v>
      </c>
      <c r="Y85" s="7">
        <v>0</v>
      </c>
      <c r="Z85" s="7">
        <v>0</v>
      </c>
      <c r="AA85" s="7">
        <v>0</v>
      </c>
      <c r="AB85" s="7">
        <v>0</v>
      </c>
      <c r="AC85" s="7">
        <v>2000</v>
      </c>
      <c r="AD85" s="7">
        <v>3000</v>
      </c>
      <c r="AE85" s="7">
        <v>0</v>
      </c>
      <c r="AF85" s="7">
        <v>0</v>
      </c>
      <c r="AG85" s="7">
        <v>0</v>
      </c>
      <c r="AH85" s="7">
        <v>0</v>
      </c>
      <c r="AI85" s="7">
        <v>0</v>
      </c>
      <c r="AJ85" s="7">
        <v>0</v>
      </c>
      <c r="AK85" s="7">
        <v>0</v>
      </c>
      <c r="AL85" s="7">
        <v>0</v>
      </c>
      <c r="AM85" s="7">
        <v>0</v>
      </c>
      <c r="AN85" s="7">
        <v>0</v>
      </c>
      <c r="AO85" s="7">
        <v>43395</v>
      </c>
      <c r="AP85" s="7">
        <v>44327</v>
      </c>
      <c r="AQ85" s="7">
        <v>0</v>
      </c>
      <c r="AR85" s="7">
        <v>0</v>
      </c>
      <c r="AS85" s="7">
        <v>0</v>
      </c>
      <c r="AT85" s="7">
        <v>0</v>
      </c>
      <c r="AU85" s="7">
        <v>0</v>
      </c>
      <c r="AV85" s="7">
        <v>0</v>
      </c>
      <c r="AW85" s="7">
        <v>0</v>
      </c>
      <c r="AX85" s="7">
        <v>0</v>
      </c>
      <c r="AY85" s="7">
        <v>0</v>
      </c>
      <c r="AZ85" s="7">
        <v>0</v>
      </c>
      <c r="BA85" s="7">
        <v>0</v>
      </c>
      <c r="BB85" s="7">
        <v>0</v>
      </c>
    </row>
    <row r="86" spans="1:54" x14ac:dyDescent="0.4">
      <c r="A86" s="34" t="s">
        <v>14</v>
      </c>
      <c r="B86" s="7">
        <v>57300</v>
      </c>
      <c r="C86" s="7">
        <v>57300</v>
      </c>
      <c r="D86" s="7">
        <v>57300</v>
      </c>
      <c r="E86" s="7">
        <v>74800</v>
      </c>
      <c r="F86" s="7">
        <v>102800</v>
      </c>
      <c r="G86" s="7">
        <v>102800</v>
      </c>
      <c r="H86" s="7">
        <v>101800</v>
      </c>
      <c r="I86" s="7">
        <v>101800</v>
      </c>
      <c r="J86" s="7">
        <v>105800</v>
      </c>
      <c r="K86" s="7">
        <v>105800</v>
      </c>
      <c r="L86" s="7">
        <v>108800</v>
      </c>
      <c r="M86" s="7">
        <v>108800</v>
      </c>
      <c r="N86" s="7">
        <v>113800</v>
      </c>
      <c r="O86" s="7">
        <v>112800</v>
      </c>
      <c r="P86" s="7">
        <v>111800</v>
      </c>
      <c r="Q86" s="7">
        <v>111800</v>
      </c>
      <c r="R86" s="7">
        <v>106800</v>
      </c>
      <c r="S86" s="7">
        <v>96800</v>
      </c>
      <c r="T86" s="7">
        <v>119800</v>
      </c>
      <c r="U86" s="7">
        <v>116800</v>
      </c>
      <c r="V86" s="7">
        <v>106800</v>
      </c>
      <c r="W86" s="7">
        <v>106800</v>
      </c>
      <c r="X86" s="7">
        <v>106800</v>
      </c>
      <c r="Y86" s="7">
        <v>109800</v>
      </c>
      <c r="Z86" s="7">
        <v>107800</v>
      </c>
      <c r="AA86" s="7">
        <v>102800</v>
      </c>
      <c r="AB86" s="7">
        <v>102800</v>
      </c>
      <c r="AC86" s="7">
        <v>107800</v>
      </c>
      <c r="AD86" s="7">
        <v>118800</v>
      </c>
      <c r="AE86" s="7">
        <v>120521</v>
      </c>
      <c r="AF86" s="7">
        <v>160310</v>
      </c>
      <c r="AG86" s="7">
        <v>152064</v>
      </c>
      <c r="AH86" s="7">
        <v>133844</v>
      </c>
      <c r="AI86" s="7">
        <v>131637</v>
      </c>
      <c r="AJ86" s="7">
        <v>121085</v>
      </c>
      <c r="AK86" s="7">
        <v>121314</v>
      </c>
      <c r="AL86" s="7">
        <v>106808</v>
      </c>
      <c r="AM86" s="7">
        <v>107014</v>
      </c>
      <c r="AN86" s="7">
        <v>113859</v>
      </c>
      <c r="AO86" s="7">
        <v>124252</v>
      </c>
      <c r="AP86" s="7">
        <v>129357</v>
      </c>
      <c r="AQ86" s="7">
        <v>123460</v>
      </c>
      <c r="AR86" s="7">
        <v>120196</v>
      </c>
      <c r="AS86" s="7">
        <v>126654</v>
      </c>
      <c r="AT86" s="7">
        <v>142539</v>
      </c>
      <c r="AU86" s="7">
        <v>143560</v>
      </c>
      <c r="AV86" s="7">
        <v>135629</v>
      </c>
      <c r="AW86" s="7">
        <v>136248</v>
      </c>
      <c r="AX86" s="7">
        <v>135311</v>
      </c>
      <c r="AY86" s="7">
        <v>131013</v>
      </c>
      <c r="AZ86" s="7">
        <v>114382</v>
      </c>
      <c r="BA86" s="7">
        <v>110510</v>
      </c>
      <c r="BB86" s="7">
        <v>104278</v>
      </c>
    </row>
    <row r="87" spans="1:54" x14ac:dyDescent="0.4">
      <c r="A87" s="35" t="s">
        <v>27</v>
      </c>
      <c r="B87" s="7"/>
      <c r="C87" s="7"/>
      <c r="D87" s="7"/>
      <c r="E87" s="7"/>
      <c r="F87" s="7"/>
      <c r="G87" s="7"/>
      <c r="H87" s="7"/>
      <c r="I87" s="7"/>
      <c r="J87" s="7"/>
      <c r="K87" s="7"/>
      <c r="L87" s="7"/>
      <c r="M87" s="7"/>
      <c r="N87" s="7"/>
      <c r="O87" s="7"/>
      <c r="P87" s="7"/>
      <c r="Q87" s="7"/>
      <c r="R87" s="7"/>
      <c r="S87" s="7"/>
      <c r="T87" s="7"/>
      <c r="U87" s="7"/>
      <c r="V87" s="7"/>
      <c r="W87" s="7"/>
      <c r="X87" s="7"/>
      <c r="Y87" s="7"/>
      <c r="Z87" s="7">
        <v>10000</v>
      </c>
      <c r="AA87" s="7">
        <v>0</v>
      </c>
      <c r="AB87" s="7">
        <v>0</v>
      </c>
      <c r="AC87" s="7">
        <v>15000</v>
      </c>
      <c r="AD87" s="7">
        <v>20000</v>
      </c>
      <c r="AE87" s="7">
        <v>25320</v>
      </c>
      <c r="AF87" s="7">
        <v>35733</v>
      </c>
      <c r="AG87" s="7">
        <v>20560</v>
      </c>
      <c r="AH87" s="7">
        <v>29551</v>
      </c>
      <c r="AI87" s="7">
        <v>24635</v>
      </c>
      <c r="AJ87" s="7">
        <v>14300</v>
      </c>
      <c r="AK87" s="7">
        <v>14300</v>
      </c>
      <c r="AL87" s="7">
        <v>0</v>
      </c>
      <c r="AM87" s="7">
        <v>14165</v>
      </c>
      <c r="AN87" s="7">
        <v>34492</v>
      </c>
      <c r="AO87" s="7">
        <v>34568</v>
      </c>
      <c r="AP87" s="7">
        <v>34505</v>
      </c>
      <c r="AQ87" s="7">
        <v>20400</v>
      </c>
      <c r="AR87" s="7">
        <v>12060</v>
      </c>
      <c r="AS87" s="7">
        <v>12062</v>
      </c>
      <c r="AT87" s="7">
        <v>19136</v>
      </c>
      <c r="AU87" s="7">
        <v>24222</v>
      </c>
      <c r="AV87" s="7">
        <v>27444</v>
      </c>
      <c r="AW87" s="7">
        <v>37723</v>
      </c>
      <c r="AX87" s="7">
        <v>35782</v>
      </c>
      <c r="AY87" s="7">
        <v>39901</v>
      </c>
      <c r="AZ87" s="7">
        <v>24960</v>
      </c>
      <c r="BA87" s="7">
        <v>13722</v>
      </c>
      <c r="BB87" s="7">
        <v>14491</v>
      </c>
    </row>
    <row r="88" spans="1:54" x14ac:dyDescent="0.4">
      <c r="A88" s="35" t="s">
        <v>30</v>
      </c>
      <c r="B88" s="7"/>
      <c r="C88" s="7"/>
      <c r="D88" s="7"/>
      <c r="E88" s="7"/>
      <c r="F88" s="7"/>
      <c r="G88" s="7"/>
      <c r="H88" s="7"/>
      <c r="I88" s="7"/>
      <c r="J88" s="7"/>
      <c r="K88" s="7"/>
      <c r="L88" s="7"/>
      <c r="M88" s="7"/>
      <c r="N88" s="7"/>
      <c r="O88" s="7"/>
      <c r="P88" s="7"/>
      <c r="Q88" s="7"/>
      <c r="R88" s="7"/>
      <c r="S88" s="7"/>
      <c r="T88" s="7"/>
      <c r="U88" s="7"/>
      <c r="V88" s="7"/>
      <c r="W88" s="7"/>
      <c r="X88" s="7"/>
      <c r="Y88" s="7"/>
      <c r="Z88" s="7">
        <v>97800</v>
      </c>
      <c r="AA88" s="7">
        <v>102800</v>
      </c>
      <c r="AB88" s="7">
        <v>102800</v>
      </c>
      <c r="AC88" s="7">
        <v>92800</v>
      </c>
      <c r="AD88" s="7">
        <v>98800</v>
      </c>
      <c r="AE88" s="7">
        <v>95201</v>
      </c>
      <c r="AF88" s="7">
        <v>124577</v>
      </c>
      <c r="AG88" s="7">
        <v>131504</v>
      </c>
      <c r="AH88" s="7">
        <v>104292</v>
      </c>
      <c r="AI88" s="7">
        <v>107002</v>
      </c>
      <c r="AJ88" s="7">
        <v>106785</v>
      </c>
      <c r="AK88" s="7">
        <v>107014</v>
      </c>
      <c r="AL88" s="7">
        <v>106808</v>
      </c>
      <c r="AM88" s="7">
        <v>92849</v>
      </c>
      <c r="AN88" s="7">
        <v>79367</v>
      </c>
      <c r="AO88" s="7">
        <v>89684</v>
      </c>
      <c r="AP88" s="7">
        <v>94852</v>
      </c>
      <c r="AQ88" s="7">
        <v>103060</v>
      </c>
      <c r="AR88" s="7">
        <v>108136</v>
      </c>
      <c r="AS88" s="7">
        <v>114592</v>
      </c>
      <c r="AT88" s="7">
        <v>123403</v>
      </c>
      <c r="AU88" s="7">
        <v>119338</v>
      </c>
      <c r="AV88" s="7">
        <v>108184</v>
      </c>
      <c r="AW88" s="7">
        <v>98526</v>
      </c>
      <c r="AX88" s="7">
        <v>99528</v>
      </c>
      <c r="AY88" s="7">
        <v>91112</v>
      </c>
      <c r="AZ88" s="7">
        <v>89422</v>
      </c>
      <c r="BA88" s="7">
        <v>96788</v>
      </c>
      <c r="BB88" s="7">
        <v>89787</v>
      </c>
    </row>
    <row r="89" spans="1:54" x14ac:dyDescent="0.4">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K89" s="7"/>
      <c r="AL89" s="7"/>
      <c r="AM89" s="7"/>
      <c r="AN89" s="7"/>
      <c r="AO89" s="7"/>
      <c r="AP89" s="7"/>
      <c r="AQ89" s="7"/>
      <c r="AR89" s="7"/>
      <c r="AS89" s="7"/>
      <c r="AT89" s="7"/>
      <c r="AU89" s="7"/>
      <c r="AV89" s="7"/>
      <c r="AW89" s="7"/>
      <c r="AX89" s="7"/>
      <c r="AY89" s="7"/>
      <c r="AZ89" s="7"/>
      <c r="BA89" s="7"/>
      <c r="BB89" s="7"/>
    </row>
    <row r="90" spans="1:54" x14ac:dyDescent="0.4">
      <c r="A90" s="31" t="s">
        <v>17</v>
      </c>
      <c r="L90" s="24"/>
      <c r="AG90" s="23"/>
      <c r="AK90" s="7"/>
      <c r="AL90" s="7"/>
      <c r="AM90" s="7"/>
      <c r="AN90" s="7"/>
      <c r="AO90" s="7"/>
      <c r="AP90" s="7"/>
      <c r="AQ90" s="7"/>
      <c r="AR90" s="7"/>
      <c r="AS90" s="7"/>
      <c r="AT90" s="7"/>
      <c r="AU90" s="7"/>
      <c r="AV90" s="7"/>
      <c r="AW90" s="7"/>
      <c r="AX90" s="7"/>
      <c r="AY90" s="7"/>
      <c r="AZ90" s="7"/>
      <c r="BA90" s="7"/>
      <c r="BB90" s="7"/>
    </row>
    <row r="91" spans="1:54" x14ac:dyDescent="0.4">
      <c r="A91" s="32" t="s">
        <v>2</v>
      </c>
      <c r="B91" s="22">
        <v>44334</v>
      </c>
      <c r="C91" s="22">
        <v>45244</v>
      </c>
      <c r="D91" s="22">
        <v>47989</v>
      </c>
      <c r="E91" s="22">
        <v>60151</v>
      </c>
      <c r="F91" s="22">
        <v>60865</v>
      </c>
      <c r="G91" s="22">
        <v>80641</v>
      </c>
      <c r="H91" s="22">
        <v>92809</v>
      </c>
      <c r="I91" s="22">
        <v>108694</v>
      </c>
      <c r="J91" s="22">
        <v>155254</v>
      </c>
      <c r="K91" s="22">
        <v>132109</v>
      </c>
      <c r="L91" s="22">
        <v>128072</v>
      </c>
      <c r="M91" s="22">
        <v>162920</v>
      </c>
      <c r="N91" s="22">
        <v>306811</v>
      </c>
      <c r="O91" s="22">
        <v>366209</v>
      </c>
      <c r="P91" s="22">
        <v>423691</v>
      </c>
      <c r="Q91" s="22">
        <v>505169</v>
      </c>
      <c r="R91" s="22">
        <v>493959</v>
      </c>
      <c r="S91" s="22">
        <v>477999</v>
      </c>
      <c r="T91" s="22">
        <v>489139</v>
      </c>
      <c r="U91" s="22">
        <v>494602</v>
      </c>
      <c r="V91" s="22">
        <v>477616</v>
      </c>
      <c r="W91" s="22">
        <v>489194</v>
      </c>
      <c r="X91" s="22">
        <v>534373</v>
      </c>
      <c r="Y91" s="22">
        <v>556297</v>
      </c>
      <c r="Z91" s="22">
        <v>590449</v>
      </c>
      <c r="AA91" s="22">
        <v>500721</v>
      </c>
      <c r="AB91" s="22">
        <v>487766</v>
      </c>
      <c r="AC91" s="22">
        <v>497472</v>
      </c>
      <c r="AD91" s="22">
        <v>489103</v>
      </c>
      <c r="AE91" s="22">
        <v>619820</v>
      </c>
      <c r="AF91" s="22">
        <v>532515</v>
      </c>
      <c r="AG91" s="22">
        <v>625962</v>
      </c>
      <c r="AH91" s="22">
        <v>606489</v>
      </c>
      <c r="AI91" s="22">
        <v>708399</v>
      </c>
      <c r="AJ91" s="22">
        <v>699301</v>
      </c>
      <c r="AK91" s="22">
        <v>920740</v>
      </c>
      <c r="AL91" s="22">
        <v>1217573</v>
      </c>
      <c r="AM91" s="22">
        <v>1228487</v>
      </c>
      <c r="AN91" s="22">
        <v>738723</v>
      </c>
      <c r="AO91" s="22">
        <v>1109098</v>
      </c>
      <c r="AP91" s="22">
        <v>2540242</v>
      </c>
      <c r="AQ91" s="22">
        <v>3501343</v>
      </c>
      <c r="AR91" s="22">
        <v>3991952</v>
      </c>
      <c r="AS91" s="22">
        <v>4524132</v>
      </c>
      <c r="AT91" s="22">
        <v>4627306</v>
      </c>
      <c r="AU91" s="22">
        <v>5266572</v>
      </c>
      <c r="AV91" s="22">
        <v>5378667</v>
      </c>
      <c r="AW91" s="22">
        <v>6210424</v>
      </c>
      <c r="AX91" s="22">
        <v>8700389</v>
      </c>
      <c r="AY91" s="22">
        <v>7349788</v>
      </c>
      <c r="AZ91" s="22">
        <v>7369725</v>
      </c>
      <c r="BA91" s="22">
        <v>8415224</v>
      </c>
      <c r="BB91" s="22">
        <v>7657326</v>
      </c>
    </row>
    <row r="92" spans="1:54" x14ac:dyDescent="0.4">
      <c r="A92" s="33" t="s">
        <v>13</v>
      </c>
      <c r="B92" s="22">
        <v>0</v>
      </c>
      <c r="C92" s="22">
        <v>0</v>
      </c>
      <c r="D92" s="22">
        <v>0</v>
      </c>
      <c r="E92" s="22">
        <v>0</v>
      </c>
      <c r="F92" s="22">
        <v>0</v>
      </c>
      <c r="G92" s="22">
        <v>0</v>
      </c>
      <c r="H92" s="22">
        <v>0</v>
      </c>
      <c r="I92" s="22">
        <v>0</v>
      </c>
      <c r="J92" s="22">
        <v>0</v>
      </c>
      <c r="K92" s="22">
        <v>0</v>
      </c>
      <c r="L92" s="22">
        <v>0</v>
      </c>
      <c r="M92" s="22">
        <v>0</v>
      </c>
      <c r="N92" s="22">
        <v>0</v>
      </c>
      <c r="O92" s="22">
        <v>0</v>
      </c>
      <c r="P92" s="22">
        <v>10</v>
      </c>
      <c r="Q92" s="22">
        <v>316</v>
      </c>
      <c r="R92" s="22">
        <v>0</v>
      </c>
      <c r="S92" s="22">
        <v>0</v>
      </c>
      <c r="T92" s="22">
        <v>0</v>
      </c>
      <c r="U92" s="22">
        <v>0</v>
      </c>
      <c r="V92" s="22">
        <v>0</v>
      </c>
      <c r="W92" s="22">
        <v>0</v>
      </c>
      <c r="X92" s="22">
        <v>0</v>
      </c>
      <c r="Y92" s="22">
        <v>0</v>
      </c>
      <c r="Z92" s="22">
        <v>0</v>
      </c>
      <c r="AA92" s="22">
        <v>0</v>
      </c>
      <c r="AB92" s="22">
        <v>0</v>
      </c>
      <c r="AC92" s="22">
        <v>0</v>
      </c>
      <c r="AD92" s="22">
        <v>0</v>
      </c>
      <c r="AE92" s="22">
        <v>0</v>
      </c>
      <c r="AF92" s="22">
        <v>0</v>
      </c>
      <c r="AG92" s="22">
        <v>0</v>
      </c>
      <c r="AH92" s="22">
        <v>0</v>
      </c>
      <c r="AI92" s="22">
        <v>0</v>
      </c>
      <c r="AJ92" s="22">
        <v>0</v>
      </c>
      <c r="AK92" s="22">
        <v>0</v>
      </c>
      <c r="AL92" s="22">
        <v>6636</v>
      </c>
      <c r="AM92" s="22">
        <v>7539</v>
      </c>
      <c r="AN92" s="22">
        <v>4604</v>
      </c>
      <c r="AO92" s="22">
        <v>5186</v>
      </c>
      <c r="AP92" s="22">
        <v>66500</v>
      </c>
      <c r="AQ92" s="22">
        <v>73801</v>
      </c>
      <c r="AR92" s="22">
        <v>2375</v>
      </c>
      <c r="AS92" s="22">
        <v>4938</v>
      </c>
      <c r="AT92" s="22">
        <v>58511</v>
      </c>
      <c r="AU92" s="22">
        <v>91102</v>
      </c>
      <c r="AV92" s="22">
        <v>101861</v>
      </c>
      <c r="AW92" s="22">
        <v>74623</v>
      </c>
      <c r="AX92" s="22">
        <v>22368</v>
      </c>
      <c r="AY92" s="22">
        <v>36346</v>
      </c>
      <c r="AZ92" s="22">
        <v>58169</v>
      </c>
      <c r="BA92" s="22">
        <v>113687</v>
      </c>
      <c r="BB92" s="22">
        <v>108475</v>
      </c>
    </row>
    <row r="93" spans="1:54" x14ac:dyDescent="0.4">
      <c r="A93" s="33" t="s">
        <v>14</v>
      </c>
      <c r="B93" s="22">
        <v>44334</v>
      </c>
      <c r="C93" s="22">
        <v>45244</v>
      </c>
      <c r="D93" s="22">
        <v>47989</v>
      </c>
      <c r="E93" s="22">
        <v>60151</v>
      </c>
      <c r="F93" s="22">
        <v>60865</v>
      </c>
      <c r="G93" s="22">
        <v>80641</v>
      </c>
      <c r="H93" s="22">
        <v>92809</v>
      </c>
      <c r="I93" s="22">
        <v>108694</v>
      </c>
      <c r="J93" s="22">
        <v>155254</v>
      </c>
      <c r="K93" s="22">
        <v>132109</v>
      </c>
      <c r="L93" s="22">
        <v>128072</v>
      </c>
      <c r="M93" s="22">
        <v>162920</v>
      </c>
      <c r="N93" s="22">
        <v>306811</v>
      </c>
      <c r="O93" s="22">
        <v>366209</v>
      </c>
      <c r="P93" s="22">
        <v>423681</v>
      </c>
      <c r="Q93" s="22">
        <v>504854</v>
      </c>
      <c r="R93" s="22">
        <v>493959</v>
      </c>
      <c r="S93" s="22">
        <v>477999</v>
      </c>
      <c r="T93" s="22">
        <v>489139</v>
      </c>
      <c r="U93" s="22">
        <v>494602</v>
      </c>
      <c r="V93" s="22">
        <v>477616</v>
      </c>
      <c r="W93" s="22">
        <v>489194</v>
      </c>
      <c r="X93" s="22">
        <v>534373</v>
      </c>
      <c r="Y93" s="22">
        <v>556297</v>
      </c>
      <c r="Z93" s="22">
        <v>590449</v>
      </c>
      <c r="AA93" s="22">
        <v>500721</v>
      </c>
      <c r="AB93" s="22">
        <v>487766</v>
      </c>
      <c r="AC93" s="22">
        <v>497472</v>
      </c>
      <c r="AD93" s="22">
        <v>489103</v>
      </c>
      <c r="AE93" s="22">
        <v>619820</v>
      </c>
      <c r="AF93" s="22">
        <v>532515</v>
      </c>
      <c r="AG93" s="22">
        <v>625962</v>
      </c>
      <c r="AH93" s="22">
        <v>606489</v>
      </c>
      <c r="AI93" s="22">
        <v>708399</v>
      </c>
      <c r="AJ93" s="22">
        <v>699301</v>
      </c>
      <c r="AK93" s="22">
        <v>920740</v>
      </c>
      <c r="AL93" s="22">
        <v>1210937</v>
      </c>
      <c r="AM93" s="22">
        <v>1220948</v>
      </c>
      <c r="AN93" s="22">
        <v>734119</v>
      </c>
      <c r="AO93" s="22">
        <v>1103912</v>
      </c>
      <c r="AP93" s="22">
        <v>2473742</v>
      </c>
      <c r="AQ93" s="22">
        <v>3427542</v>
      </c>
      <c r="AR93" s="22">
        <v>3989577</v>
      </c>
      <c r="AS93" s="22">
        <v>4519194</v>
      </c>
      <c r="AT93" s="22">
        <v>4568795</v>
      </c>
      <c r="AU93" s="22">
        <v>5175470</v>
      </c>
      <c r="AV93" s="22">
        <v>5276806</v>
      </c>
      <c r="AW93" s="22">
        <v>6135801</v>
      </c>
      <c r="AX93" s="22">
        <v>8678022</v>
      </c>
      <c r="AY93" s="22">
        <v>7313442</v>
      </c>
      <c r="AZ93" s="22">
        <v>7311556</v>
      </c>
      <c r="BA93" s="22">
        <v>8301537</v>
      </c>
      <c r="BB93" s="22">
        <v>7548851</v>
      </c>
    </row>
    <row r="94" spans="1:54" x14ac:dyDescent="0.4">
      <c r="A94" s="33" t="s">
        <v>27</v>
      </c>
      <c r="B94" s="22"/>
      <c r="C94" s="22"/>
      <c r="D94" s="22"/>
      <c r="E94" s="22"/>
      <c r="F94" s="22"/>
      <c r="G94" s="22"/>
      <c r="H94" s="22"/>
      <c r="I94" s="22"/>
      <c r="J94" s="22"/>
      <c r="K94" s="22"/>
      <c r="L94" s="22"/>
      <c r="M94" s="22"/>
      <c r="N94" s="22"/>
      <c r="O94" s="22"/>
      <c r="P94" s="22"/>
      <c r="Q94" s="22"/>
      <c r="R94" s="22"/>
      <c r="S94" s="22"/>
      <c r="T94" s="22"/>
      <c r="U94" s="22"/>
      <c r="V94" s="22"/>
      <c r="W94" s="22"/>
      <c r="X94" s="22"/>
      <c r="Y94" s="22"/>
      <c r="Z94" s="22">
        <v>0</v>
      </c>
      <c r="AA94" s="22">
        <v>0</v>
      </c>
      <c r="AB94" s="22">
        <v>22686</v>
      </c>
      <c r="AC94" s="22">
        <v>23224</v>
      </c>
      <c r="AD94" s="22">
        <v>22319</v>
      </c>
      <c r="AE94" s="22">
        <v>28025</v>
      </c>
      <c r="AF94" s="22">
        <v>63</v>
      </c>
      <c r="AG94" s="22">
        <v>48942</v>
      </c>
      <c r="AH94" s="22">
        <v>46810</v>
      </c>
      <c r="AI94" s="22">
        <v>47406</v>
      </c>
      <c r="AJ94" s="22">
        <v>45851</v>
      </c>
      <c r="AK94" s="22">
        <v>874</v>
      </c>
      <c r="AL94" s="22">
        <v>45171</v>
      </c>
      <c r="AM94" s="22">
        <v>54136</v>
      </c>
      <c r="AN94" s="22">
        <v>32576</v>
      </c>
      <c r="AO94" s="22">
        <v>36797</v>
      </c>
      <c r="AP94" s="22">
        <v>44174</v>
      </c>
      <c r="AQ94" s="22">
        <v>84506</v>
      </c>
      <c r="AR94" s="22">
        <v>183597</v>
      </c>
      <c r="AS94" s="22">
        <v>223720</v>
      </c>
      <c r="AT94" s="22">
        <v>253756</v>
      </c>
      <c r="AU94" s="22">
        <v>375270</v>
      </c>
      <c r="AV94" s="22">
        <v>433194</v>
      </c>
      <c r="AW94" s="22">
        <v>560539</v>
      </c>
      <c r="AX94" s="22">
        <v>1245350</v>
      </c>
      <c r="AY94" s="22">
        <v>1256451</v>
      </c>
      <c r="AZ94" s="22">
        <v>1373859</v>
      </c>
      <c r="BA94" s="22">
        <v>1509620</v>
      </c>
      <c r="BB94" s="22">
        <v>916135</v>
      </c>
    </row>
    <row r="95" spans="1:54" x14ac:dyDescent="0.4">
      <c r="A95" s="33" t="s">
        <v>30</v>
      </c>
      <c r="B95" s="22"/>
      <c r="C95" s="22"/>
      <c r="D95" s="22"/>
      <c r="E95" s="22"/>
      <c r="F95" s="22"/>
      <c r="G95" s="22"/>
      <c r="H95" s="22"/>
      <c r="I95" s="22"/>
      <c r="J95" s="22"/>
      <c r="K95" s="22"/>
      <c r="L95" s="22"/>
      <c r="M95" s="22"/>
      <c r="N95" s="22"/>
      <c r="O95" s="22"/>
      <c r="P95" s="22"/>
      <c r="Q95" s="22"/>
      <c r="R95" s="22"/>
      <c r="S95" s="22"/>
      <c r="T95" s="22"/>
      <c r="U95" s="22"/>
      <c r="V95" s="22"/>
      <c r="W95" s="22"/>
      <c r="X95" s="22"/>
      <c r="Y95" s="22"/>
      <c r="Z95" s="22">
        <v>590449</v>
      </c>
      <c r="AA95" s="22">
        <v>500721</v>
      </c>
      <c r="AB95" s="22">
        <v>465080</v>
      </c>
      <c r="AC95" s="22">
        <v>474248</v>
      </c>
      <c r="AD95" s="22">
        <v>466785</v>
      </c>
      <c r="AE95" s="22">
        <v>591794</v>
      </c>
      <c r="AF95" s="22">
        <v>532452</v>
      </c>
      <c r="AG95" s="22">
        <v>577019</v>
      </c>
      <c r="AH95" s="22">
        <v>559679</v>
      </c>
      <c r="AI95" s="22">
        <v>660993</v>
      </c>
      <c r="AJ95" s="22">
        <v>653450</v>
      </c>
      <c r="AK95" s="22">
        <v>919866</v>
      </c>
      <c r="AL95" s="22">
        <v>1165766</v>
      </c>
      <c r="AM95" s="22">
        <v>1166813</v>
      </c>
      <c r="AN95" s="22">
        <v>701544</v>
      </c>
      <c r="AO95" s="22">
        <v>1067115</v>
      </c>
      <c r="AP95" s="22">
        <v>2429568</v>
      </c>
      <c r="AQ95" s="22">
        <v>3343036</v>
      </c>
      <c r="AR95" s="22">
        <v>3805981</v>
      </c>
      <c r="AS95" s="22">
        <v>4295473</v>
      </c>
      <c r="AT95" s="22">
        <v>4315039</v>
      </c>
      <c r="AU95" s="22">
        <v>4800200</v>
      </c>
      <c r="AV95" s="22">
        <v>4843612</v>
      </c>
      <c r="AW95" s="22">
        <v>5575263</v>
      </c>
      <c r="AX95" s="22">
        <v>7432671</v>
      </c>
      <c r="AY95" s="22">
        <v>6056991</v>
      </c>
      <c r="AZ95" s="22">
        <v>5937697</v>
      </c>
      <c r="BA95" s="22">
        <v>6791917</v>
      </c>
      <c r="BB95" s="22">
        <v>6632716</v>
      </c>
    </row>
    <row r="96" spans="1:54" x14ac:dyDescent="0.4">
      <c r="A96" s="34" t="s">
        <v>11</v>
      </c>
      <c r="B96" s="7">
        <v>0</v>
      </c>
      <c r="C96" s="7">
        <v>0</v>
      </c>
      <c r="D96" s="7">
        <v>0</v>
      </c>
      <c r="E96" s="7">
        <v>0</v>
      </c>
      <c r="F96" s="7">
        <v>0</v>
      </c>
      <c r="G96" s="7">
        <v>0</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22">
        <v>0</v>
      </c>
      <c r="AE96" s="22">
        <v>0</v>
      </c>
      <c r="AF96" s="22">
        <v>0</v>
      </c>
      <c r="AG96" s="22">
        <v>0</v>
      </c>
      <c r="AH96" s="22">
        <v>0</v>
      </c>
      <c r="AI96" s="22">
        <v>0</v>
      </c>
      <c r="AJ96" s="22">
        <v>0</v>
      </c>
      <c r="AK96" s="22">
        <v>0</v>
      </c>
      <c r="AL96" s="22">
        <v>0</v>
      </c>
      <c r="AM96" s="22">
        <v>0</v>
      </c>
      <c r="AN96" s="22">
        <v>0</v>
      </c>
      <c r="AO96" s="22">
        <v>0</v>
      </c>
      <c r="AP96" s="22">
        <v>0</v>
      </c>
      <c r="AQ96" s="22">
        <v>0</v>
      </c>
      <c r="AR96" s="22">
        <v>0</v>
      </c>
      <c r="AS96" s="22">
        <v>0</v>
      </c>
      <c r="AT96" s="22">
        <v>0</v>
      </c>
      <c r="AU96" s="22">
        <v>0</v>
      </c>
      <c r="AV96" s="22">
        <v>0</v>
      </c>
      <c r="AW96" s="22">
        <v>0</v>
      </c>
      <c r="AX96" s="22">
        <v>0</v>
      </c>
      <c r="AY96" s="22">
        <v>0</v>
      </c>
      <c r="AZ96" s="22">
        <v>0</v>
      </c>
      <c r="BA96" s="22">
        <v>0</v>
      </c>
      <c r="BB96" s="22">
        <v>0</v>
      </c>
    </row>
    <row r="97" spans="1:54" x14ac:dyDescent="0.4">
      <c r="A97" s="35" t="s">
        <v>13</v>
      </c>
      <c r="B97" s="7">
        <v>0</v>
      </c>
      <c r="C97" s="7">
        <v>0</v>
      </c>
      <c r="D97" s="7">
        <v>0</v>
      </c>
      <c r="E97" s="7">
        <v>0</v>
      </c>
      <c r="F97" s="7">
        <v>0</v>
      </c>
      <c r="G97" s="7">
        <v>0</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22">
        <v>0</v>
      </c>
      <c r="AE97" s="22">
        <v>0</v>
      </c>
      <c r="AF97" s="22">
        <v>0</v>
      </c>
      <c r="AG97" s="22">
        <v>0</v>
      </c>
      <c r="AH97" s="22">
        <v>0</v>
      </c>
      <c r="AI97" s="22">
        <v>0</v>
      </c>
      <c r="AJ97" s="22">
        <v>0</v>
      </c>
      <c r="AK97" s="22">
        <v>0</v>
      </c>
      <c r="AL97" s="22">
        <v>0</v>
      </c>
      <c r="AM97" s="22">
        <v>0</v>
      </c>
      <c r="AN97" s="22">
        <v>0</v>
      </c>
      <c r="AO97" s="22">
        <v>0</v>
      </c>
      <c r="AP97" s="22">
        <v>0</v>
      </c>
      <c r="AQ97" s="22">
        <v>0</v>
      </c>
      <c r="AR97" s="22">
        <v>0</v>
      </c>
      <c r="AS97" s="22">
        <v>0</v>
      </c>
      <c r="AT97" s="22">
        <v>0</v>
      </c>
      <c r="AU97" s="22">
        <v>0</v>
      </c>
      <c r="AV97" s="22">
        <v>0</v>
      </c>
      <c r="AW97" s="22">
        <v>0</v>
      </c>
      <c r="AX97" s="22">
        <v>0</v>
      </c>
      <c r="AY97" s="22">
        <v>0</v>
      </c>
      <c r="AZ97" s="22">
        <v>0</v>
      </c>
      <c r="BA97" s="22">
        <v>0</v>
      </c>
      <c r="BB97" s="22">
        <v>0</v>
      </c>
    </row>
    <row r="98" spans="1:54" x14ac:dyDescent="0.4">
      <c r="A98" s="35" t="s">
        <v>14</v>
      </c>
      <c r="B98" s="7">
        <v>0</v>
      </c>
      <c r="C98" s="7">
        <v>0</v>
      </c>
      <c r="D98" s="7">
        <v>0</v>
      </c>
      <c r="E98" s="7">
        <v>0</v>
      </c>
      <c r="F98" s="7">
        <v>0</v>
      </c>
      <c r="G98" s="7">
        <v>0</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22">
        <v>0</v>
      </c>
      <c r="AE98" s="22">
        <v>0</v>
      </c>
      <c r="AF98" s="22">
        <v>0</v>
      </c>
      <c r="AG98" s="22">
        <v>0</v>
      </c>
      <c r="AH98" s="22">
        <v>0</v>
      </c>
      <c r="AI98" s="22">
        <v>0</v>
      </c>
      <c r="AJ98" s="22">
        <v>0</v>
      </c>
      <c r="AK98" s="22">
        <v>0</v>
      </c>
      <c r="AL98" s="22">
        <v>0</v>
      </c>
      <c r="AM98" s="7">
        <v>0</v>
      </c>
      <c r="AN98" s="7">
        <v>0</v>
      </c>
      <c r="AO98" s="7">
        <v>0</v>
      </c>
      <c r="AP98" s="7">
        <v>0</v>
      </c>
      <c r="AQ98" s="7">
        <v>0</v>
      </c>
      <c r="AR98" s="7">
        <v>0</v>
      </c>
      <c r="AS98" s="7">
        <v>0</v>
      </c>
      <c r="AT98" s="7">
        <v>0</v>
      </c>
      <c r="AU98" s="7">
        <v>0</v>
      </c>
      <c r="AV98" s="7">
        <v>0</v>
      </c>
      <c r="AW98" s="7">
        <v>0</v>
      </c>
      <c r="AX98" s="7">
        <v>0</v>
      </c>
      <c r="AY98" s="7">
        <v>0</v>
      </c>
      <c r="AZ98" s="7">
        <v>0</v>
      </c>
      <c r="BA98" s="7">
        <v>0</v>
      </c>
      <c r="BB98" s="7">
        <v>0</v>
      </c>
    </row>
    <row r="99" spans="1:54" x14ac:dyDescent="0.4">
      <c r="A99" s="35" t="s">
        <v>27</v>
      </c>
      <c r="B99" s="7"/>
      <c r="C99" s="7"/>
      <c r="D99" s="7"/>
      <c r="E99" s="7"/>
      <c r="F99" s="7"/>
      <c r="G99" s="7"/>
      <c r="H99" s="7"/>
      <c r="I99" s="7"/>
      <c r="J99" s="7"/>
      <c r="K99" s="7"/>
      <c r="L99" s="7"/>
      <c r="M99" s="7"/>
      <c r="N99" s="7"/>
      <c r="O99" s="7"/>
      <c r="P99" s="7"/>
      <c r="Q99" s="7"/>
      <c r="R99" s="7"/>
      <c r="S99" s="7"/>
      <c r="T99" s="7"/>
      <c r="U99" s="7"/>
      <c r="V99" s="7"/>
      <c r="W99" s="7"/>
      <c r="X99" s="7"/>
      <c r="Y99" s="7"/>
      <c r="Z99" s="7">
        <v>0</v>
      </c>
      <c r="AA99" s="7">
        <v>0</v>
      </c>
      <c r="AB99" s="7">
        <v>0</v>
      </c>
      <c r="AC99" s="7">
        <v>0</v>
      </c>
      <c r="AD99" s="22">
        <v>0</v>
      </c>
      <c r="AE99" s="22">
        <v>0</v>
      </c>
      <c r="AF99" s="22">
        <v>0</v>
      </c>
      <c r="AG99" s="22">
        <v>0</v>
      </c>
      <c r="AH99" s="22">
        <v>0</v>
      </c>
      <c r="AI99" s="22">
        <v>0</v>
      </c>
      <c r="AJ99" s="22">
        <v>0</v>
      </c>
      <c r="AK99" s="22">
        <v>0</v>
      </c>
      <c r="AL99" s="22">
        <v>0</v>
      </c>
      <c r="AM99" s="7">
        <v>0</v>
      </c>
      <c r="AN99" s="7">
        <v>0</v>
      </c>
      <c r="AO99" s="7">
        <v>0</v>
      </c>
      <c r="AP99" s="7">
        <v>0</v>
      </c>
      <c r="AQ99" s="7">
        <v>0</v>
      </c>
      <c r="AR99" s="7">
        <v>0</v>
      </c>
      <c r="AS99" s="7">
        <v>0</v>
      </c>
      <c r="AT99" s="7">
        <v>0</v>
      </c>
      <c r="AU99" s="7">
        <v>0</v>
      </c>
      <c r="AV99" s="7">
        <v>0</v>
      </c>
      <c r="AW99" s="7">
        <v>0</v>
      </c>
      <c r="AX99" s="7">
        <v>0</v>
      </c>
      <c r="AY99" s="7">
        <v>0</v>
      </c>
      <c r="AZ99" s="7">
        <v>0</v>
      </c>
      <c r="BA99" s="7">
        <v>0</v>
      </c>
      <c r="BB99" s="7">
        <v>0</v>
      </c>
    </row>
    <row r="100" spans="1:54" x14ac:dyDescent="0.4">
      <c r="A100" s="35" t="s">
        <v>30</v>
      </c>
      <c r="B100" s="7"/>
      <c r="C100" s="7"/>
      <c r="D100" s="7"/>
      <c r="E100" s="7"/>
      <c r="F100" s="7"/>
      <c r="G100" s="7"/>
      <c r="H100" s="7"/>
      <c r="I100" s="7"/>
      <c r="J100" s="7"/>
      <c r="K100" s="7"/>
      <c r="L100" s="7"/>
      <c r="M100" s="7"/>
      <c r="N100" s="7"/>
      <c r="O100" s="7"/>
      <c r="P100" s="7"/>
      <c r="Q100" s="7"/>
      <c r="R100" s="7"/>
      <c r="S100" s="7"/>
      <c r="T100" s="7"/>
      <c r="U100" s="7"/>
      <c r="V100" s="7"/>
      <c r="W100" s="7"/>
      <c r="X100" s="7"/>
      <c r="Y100" s="7"/>
      <c r="Z100" s="7">
        <v>0</v>
      </c>
      <c r="AA100" s="7">
        <v>0</v>
      </c>
      <c r="AB100" s="7">
        <v>0</v>
      </c>
      <c r="AC100" s="7">
        <v>0</v>
      </c>
      <c r="AD100" s="22">
        <v>0</v>
      </c>
      <c r="AE100" s="22">
        <v>0</v>
      </c>
      <c r="AF100" s="22">
        <v>0</v>
      </c>
      <c r="AG100" s="22">
        <v>0</v>
      </c>
      <c r="AH100" s="22">
        <v>0</v>
      </c>
      <c r="AI100" s="22">
        <v>0</v>
      </c>
      <c r="AJ100" s="22">
        <v>0</v>
      </c>
      <c r="AK100" s="22">
        <v>0</v>
      </c>
      <c r="AL100" s="22">
        <v>0</v>
      </c>
      <c r="AM100" s="7">
        <v>0</v>
      </c>
      <c r="AN100" s="7">
        <v>0</v>
      </c>
      <c r="AO100" s="7">
        <v>0</v>
      </c>
      <c r="AP100" s="7">
        <v>0</v>
      </c>
      <c r="AQ100" s="7">
        <v>0</v>
      </c>
      <c r="AR100" s="7">
        <v>0</v>
      </c>
      <c r="AS100" s="7">
        <v>0</v>
      </c>
      <c r="AT100" s="7">
        <v>0</v>
      </c>
      <c r="AU100" s="7">
        <v>0</v>
      </c>
      <c r="AV100" s="7">
        <v>0</v>
      </c>
      <c r="AW100" s="7">
        <v>0</v>
      </c>
      <c r="AX100" s="7">
        <v>0</v>
      </c>
      <c r="AY100" s="7">
        <v>0</v>
      </c>
      <c r="AZ100" s="7">
        <v>0</v>
      </c>
      <c r="BA100" s="7">
        <v>0</v>
      </c>
      <c r="BB100" s="7">
        <v>0</v>
      </c>
    </row>
    <row r="101" spans="1:54" x14ac:dyDescent="0.4">
      <c r="A101" s="34" t="s">
        <v>3</v>
      </c>
      <c r="B101" s="7">
        <v>0</v>
      </c>
      <c r="C101" s="7">
        <v>0</v>
      </c>
      <c r="D101" s="7">
        <v>0</v>
      </c>
      <c r="E101" s="7">
        <v>0</v>
      </c>
      <c r="F101" s="7">
        <v>0</v>
      </c>
      <c r="G101" s="7">
        <v>0</v>
      </c>
      <c r="H101" s="7">
        <v>0</v>
      </c>
      <c r="I101" s="7">
        <v>0</v>
      </c>
      <c r="J101" s="7">
        <v>0</v>
      </c>
      <c r="K101" s="7">
        <v>0</v>
      </c>
      <c r="L101" s="7">
        <v>0</v>
      </c>
      <c r="M101" s="7">
        <v>0</v>
      </c>
      <c r="N101" s="7">
        <v>0</v>
      </c>
      <c r="O101" s="7">
        <v>0</v>
      </c>
      <c r="P101" s="7">
        <v>10</v>
      </c>
      <c r="Q101" s="7">
        <v>316</v>
      </c>
      <c r="R101" s="7">
        <v>9099</v>
      </c>
      <c r="S101" s="7">
        <v>8457</v>
      </c>
      <c r="T101" s="7">
        <v>8863</v>
      </c>
      <c r="U101" s="7">
        <v>9759</v>
      </c>
      <c r="V101" s="7">
        <v>10998</v>
      </c>
      <c r="W101" s="7">
        <v>25292</v>
      </c>
      <c r="X101" s="7">
        <v>28616</v>
      </c>
      <c r="Y101" s="7">
        <v>30313</v>
      </c>
      <c r="Z101" s="7">
        <v>35424</v>
      </c>
      <c r="AA101" s="7">
        <v>34842</v>
      </c>
      <c r="AB101" s="7">
        <v>34977</v>
      </c>
      <c r="AC101" s="7">
        <v>35660</v>
      </c>
      <c r="AD101" s="7">
        <v>44707</v>
      </c>
      <c r="AE101" s="7">
        <v>56588</v>
      </c>
      <c r="AF101" s="7">
        <v>51164</v>
      </c>
      <c r="AG101" s="7">
        <v>79086</v>
      </c>
      <c r="AH101" s="7">
        <v>73828</v>
      </c>
      <c r="AI101" s="7">
        <v>163477</v>
      </c>
      <c r="AJ101" s="7">
        <v>162373</v>
      </c>
      <c r="AK101" s="7">
        <v>163044</v>
      </c>
      <c r="AL101" s="7">
        <v>215006</v>
      </c>
      <c r="AM101" s="7">
        <v>242296</v>
      </c>
      <c r="AN101" s="7">
        <v>145750</v>
      </c>
      <c r="AO101" s="7">
        <v>160383</v>
      </c>
      <c r="AP101" s="7">
        <v>218027</v>
      </c>
      <c r="AQ101" s="7">
        <v>241479</v>
      </c>
      <c r="AR101" s="7">
        <v>272549</v>
      </c>
      <c r="AS101" s="7">
        <v>308332</v>
      </c>
      <c r="AT101" s="7">
        <v>343025</v>
      </c>
      <c r="AU101" s="7">
        <v>385649</v>
      </c>
      <c r="AV101" s="7">
        <v>667069</v>
      </c>
      <c r="AW101" s="7">
        <v>729819</v>
      </c>
      <c r="AX101" s="7">
        <v>757199</v>
      </c>
      <c r="AY101" s="7">
        <v>613478</v>
      </c>
      <c r="AZ101" s="7">
        <v>557402</v>
      </c>
      <c r="BA101" s="7">
        <v>591711</v>
      </c>
      <c r="BB101" s="7">
        <v>535822</v>
      </c>
    </row>
    <row r="102" spans="1:54" x14ac:dyDescent="0.4">
      <c r="A102" s="35" t="s">
        <v>13</v>
      </c>
      <c r="B102" s="7">
        <v>0</v>
      </c>
      <c r="C102" s="7">
        <v>0</v>
      </c>
      <c r="D102" s="7">
        <v>0</v>
      </c>
      <c r="E102" s="7">
        <v>0</v>
      </c>
      <c r="F102" s="7">
        <v>0</v>
      </c>
      <c r="G102" s="7">
        <v>0</v>
      </c>
      <c r="H102" s="7">
        <v>0</v>
      </c>
      <c r="I102" s="7">
        <v>0</v>
      </c>
      <c r="J102" s="7">
        <v>0</v>
      </c>
      <c r="K102" s="7">
        <v>0</v>
      </c>
      <c r="L102" s="7">
        <v>0</v>
      </c>
      <c r="M102" s="7">
        <v>0</v>
      </c>
      <c r="N102" s="7">
        <v>0</v>
      </c>
      <c r="O102" s="7">
        <v>0</v>
      </c>
      <c r="P102" s="7">
        <v>10</v>
      </c>
      <c r="Q102" s="7">
        <v>316</v>
      </c>
      <c r="R102" s="7">
        <v>0</v>
      </c>
      <c r="S102" s="7">
        <v>0</v>
      </c>
      <c r="T102" s="7">
        <v>0</v>
      </c>
      <c r="U102" s="7">
        <v>0</v>
      </c>
      <c r="V102" s="7">
        <v>0</v>
      </c>
      <c r="W102" s="7">
        <v>0</v>
      </c>
      <c r="X102" s="7">
        <v>0</v>
      </c>
      <c r="Y102" s="7">
        <v>0</v>
      </c>
      <c r="Z102" s="7">
        <v>0</v>
      </c>
      <c r="AA102" s="7">
        <v>0</v>
      </c>
      <c r="AB102" s="7">
        <v>0</v>
      </c>
      <c r="AC102" s="7">
        <v>0</v>
      </c>
      <c r="AD102" s="22">
        <v>0</v>
      </c>
      <c r="AE102" s="22">
        <v>0</v>
      </c>
      <c r="AF102" s="22">
        <v>0</v>
      </c>
      <c r="AG102" s="22">
        <v>0</v>
      </c>
      <c r="AH102" s="22">
        <v>0</v>
      </c>
      <c r="AI102" s="22">
        <v>0</v>
      </c>
      <c r="AJ102" s="22">
        <v>0</v>
      </c>
      <c r="AK102" s="22">
        <v>0</v>
      </c>
      <c r="AL102" s="22">
        <v>0</v>
      </c>
      <c r="AM102" s="7">
        <v>0</v>
      </c>
      <c r="AN102" s="7">
        <v>0</v>
      </c>
      <c r="AO102" s="7">
        <v>0</v>
      </c>
      <c r="AP102" s="7">
        <v>0</v>
      </c>
      <c r="AQ102" s="7">
        <v>35</v>
      </c>
      <c r="AR102" s="7">
        <v>139</v>
      </c>
      <c r="AS102" s="7">
        <v>2443</v>
      </c>
      <c r="AT102" s="7">
        <v>3013</v>
      </c>
      <c r="AU102" s="7">
        <v>11488</v>
      </c>
      <c r="AV102" s="7">
        <v>37918</v>
      </c>
      <c r="AW102" s="7">
        <v>42770</v>
      </c>
      <c r="AX102" s="7">
        <v>22368</v>
      </c>
      <c r="AY102" s="7">
        <v>4778</v>
      </c>
      <c r="AZ102" s="7">
        <v>567</v>
      </c>
      <c r="BA102" s="7">
        <v>481</v>
      </c>
      <c r="BB102" s="7">
        <v>56</v>
      </c>
    </row>
    <row r="103" spans="1:54" x14ac:dyDescent="0.4">
      <c r="A103" s="35" t="s">
        <v>14</v>
      </c>
      <c r="B103" s="7">
        <v>0</v>
      </c>
      <c r="C103" s="7">
        <v>0</v>
      </c>
      <c r="D103" s="7">
        <v>0</v>
      </c>
      <c r="E103" s="7">
        <v>0</v>
      </c>
      <c r="F103" s="7">
        <v>0</v>
      </c>
      <c r="G103" s="7">
        <v>0</v>
      </c>
      <c r="H103" s="7">
        <v>0</v>
      </c>
      <c r="I103" s="7">
        <v>0</v>
      </c>
      <c r="J103" s="7">
        <v>0</v>
      </c>
      <c r="K103" s="7">
        <v>0</v>
      </c>
      <c r="L103" s="7">
        <v>0</v>
      </c>
      <c r="M103" s="7">
        <v>0</v>
      </c>
      <c r="N103" s="7">
        <v>0</v>
      </c>
      <c r="O103" s="7">
        <v>0</v>
      </c>
      <c r="P103" s="7">
        <v>0</v>
      </c>
      <c r="Q103" s="7">
        <v>0</v>
      </c>
      <c r="R103" s="7">
        <v>9099</v>
      </c>
      <c r="S103" s="7">
        <v>8457</v>
      </c>
      <c r="T103" s="7">
        <v>8863</v>
      </c>
      <c r="U103" s="7">
        <v>9759</v>
      </c>
      <c r="V103" s="7">
        <v>10998</v>
      </c>
      <c r="W103" s="7">
        <v>25292</v>
      </c>
      <c r="X103" s="7">
        <v>28616</v>
      </c>
      <c r="Y103" s="7">
        <v>30313</v>
      </c>
      <c r="Z103" s="7">
        <v>35424</v>
      </c>
      <c r="AA103" s="7">
        <v>34842</v>
      </c>
      <c r="AB103" s="7">
        <v>34977</v>
      </c>
      <c r="AC103" s="7">
        <v>35660</v>
      </c>
      <c r="AD103" s="7">
        <v>44707</v>
      </c>
      <c r="AE103" s="7">
        <v>56588</v>
      </c>
      <c r="AF103" s="7">
        <v>51164</v>
      </c>
      <c r="AG103" s="7">
        <v>79086</v>
      </c>
      <c r="AH103" s="7">
        <v>73828</v>
      </c>
      <c r="AI103" s="7">
        <v>163477</v>
      </c>
      <c r="AJ103" s="7">
        <v>162373</v>
      </c>
      <c r="AK103" s="7">
        <v>163044</v>
      </c>
      <c r="AL103" s="7">
        <v>215006</v>
      </c>
      <c r="AM103" s="7">
        <v>242296</v>
      </c>
      <c r="AN103" s="7">
        <v>145750</v>
      </c>
      <c r="AO103" s="7">
        <v>160383</v>
      </c>
      <c r="AP103" s="7">
        <v>218027</v>
      </c>
      <c r="AQ103" s="7">
        <v>241444</v>
      </c>
      <c r="AR103" s="7">
        <v>272409</v>
      </c>
      <c r="AS103" s="7">
        <v>305889</v>
      </c>
      <c r="AT103" s="7">
        <v>340012</v>
      </c>
      <c r="AU103" s="7">
        <v>374160</v>
      </c>
      <c r="AV103" s="7">
        <v>629151</v>
      </c>
      <c r="AW103" s="7">
        <v>687049</v>
      </c>
      <c r="AX103" s="7">
        <v>734831</v>
      </c>
      <c r="AY103" s="7">
        <v>608700</v>
      </c>
      <c r="AZ103" s="7">
        <v>556835</v>
      </c>
      <c r="BA103" s="7">
        <v>591229</v>
      </c>
      <c r="BB103" s="7">
        <v>535766</v>
      </c>
    </row>
    <row r="104" spans="1:54" x14ac:dyDescent="0.4">
      <c r="A104" s="35" t="s">
        <v>27</v>
      </c>
      <c r="B104" s="7"/>
      <c r="C104" s="7"/>
      <c r="D104" s="7"/>
      <c r="E104" s="7"/>
      <c r="F104" s="7"/>
      <c r="G104" s="7"/>
      <c r="H104" s="7"/>
      <c r="I104" s="7"/>
      <c r="J104" s="7"/>
      <c r="K104" s="7"/>
      <c r="L104" s="7"/>
      <c r="M104" s="7"/>
      <c r="N104" s="7"/>
      <c r="O104" s="7"/>
      <c r="P104" s="7"/>
      <c r="Q104" s="7"/>
      <c r="R104" s="7"/>
      <c r="S104" s="7"/>
      <c r="T104" s="7"/>
      <c r="U104" s="7"/>
      <c r="V104" s="7"/>
      <c r="W104" s="7"/>
      <c r="X104" s="7"/>
      <c r="Y104" s="7"/>
      <c r="Z104" s="7">
        <v>0</v>
      </c>
      <c r="AA104" s="7">
        <v>0</v>
      </c>
      <c r="AB104" s="7">
        <v>0</v>
      </c>
      <c r="AC104" s="7">
        <v>0</v>
      </c>
      <c r="AD104" s="7">
        <v>0</v>
      </c>
      <c r="AE104" s="7">
        <v>0</v>
      </c>
      <c r="AF104" s="7">
        <v>0</v>
      </c>
      <c r="AG104" s="7">
        <v>637</v>
      </c>
      <c r="AH104" s="7">
        <v>1478</v>
      </c>
      <c r="AI104" s="7">
        <v>1515</v>
      </c>
      <c r="AJ104" s="7">
        <v>1448</v>
      </c>
      <c r="AK104" s="7">
        <v>874</v>
      </c>
      <c r="AL104" s="7">
        <v>2962</v>
      </c>
      <c r="AM104" s="7">
        <v>3323</v>
      </c>
      <c r="AN104" s="7">
        <v>1959</v>
      </c>
      <c r="AO104" s="7">
        <v>2098</v>
      </c>
      <c r="AP104" s="7">
        <v>0</v>
      </c>
      <c r="AQ104" s="7">
        <v>2225</v>
      </c>
      <c r="AR104" s="7">
        <v>3995</v>
      </c>
      <c r="AS104" s="7">
        <v>4590</v>
      </c>
      <c r="AT104" s="7">
        <v>15608</v>
      </c>
      <c r="AU104" s="7">
        <v>13566</v>
      </c>
      <c r="AV104" s="7">
        <v>10598</v>
      </c>
      <c r="AW104" s="7">
        <v>12386</v>
      </c>
      <c r="AX104" s="7">
        <v>1167</v>
      </c>
      <c r="AY104" s="7">
        <v>19826</v>
      </c>
      <c r="AZ104" s="7">
        <v>20399</v>
      </c>
      <c r="BA104" s="7">
        <v>35496</v>
      </c>
      <c r="BB104" s="7">
        <v>45525</v>
      </c>
    </row>
    <row r="105" spans="1:54" x14ac:dyDescent="0.4">
      <c r="A105" s="35" t="s">
        <v>30</v>
      </c>
      <c r="B105" s="7"/>
      <c r="C105" s="7"/>
      <c r="D105" s="7"/>
      <c r="E105" s="7"/>
      <c r="F105" s="7"/>
      <c r="G105" s="7"/>
      <c r="H105" s="7"/>
      <c r="I105" s="7"/>
      <c r="J105" s="7"/>
      <c r="K105" s="7"/>
      <c r="L105" s="7"/>
      <c r="M105" s="7"/>
      <c r="N105" s="7"/>
      <c r="O105" s="7"/>
      <c r="P105" s="7"/>
      <c r="Q105" s="7"/>
      <c r="R105" s="7"/>
      <c r="S105" s="7"/>
      <c r="T105" s="7"/>
      <c r="U105" s="7"/>
      <c r="V105" s="7"/>
      <c r="W105" s="7"/>
      <c r="X105" s="7"/>
      <c r="Y105" s="7"/>
      <c r="Z105" s="7">
        <v>35424</v>
      </c>
      <c r="AA105" s="7">
        <v>34842</v>
      </c>
      <c r="AB105" s="7">
        <v>34977</v>
      </c>
      <c r="AC105" s="7">
        <v>35660</v>
      </c>
      <c r="AD105" s="7">
        <v>44707</v>
      </c>
      <c r="AE105" s="7">
        <v>56588</v>
      </c>
      <c r="AF105" s="7">
        <v>51164</v>
      </c>
      <c r="AG105" s="7">
        <v>78449</v>
      </c>
      <c r="AH105" s="7">
        <v>72350</v>
      </c>
      <c r="AI105" s="7">
        <v>161962</v>
      </c>
      <c r="AJ105" s="7">
        <v>160924</v>
      </c>
      <c r="AK105" s="7">
        <v>162170</v>
      </c>
      <c r="AL105" s="7">
        <v>212044</v>
      </c>
      <c r="AM105" s="7">
        <v>238973</v>
      </c>
      <c r="AN105" s="7">
        <v>143792</v>
      </c>
      <c r="AO105" s="7">
        <v>158286</v>
      </c>
      <c r="AP105" s="7">
        <v>218027</v>
      </c>
      <c r="AQ105" s="7">
        <v>239219</v>
      </c>
      <c r="AR105" s="7">
        <v>268414</v>
      </c>
      <c r="AS105" s="7">
        <v>301299</v>
      </c>
      <c r="AT105" s="7">
        <v>324404</v>
      </c>
      <c r="AU105" s="7">
        <v>360594</v>
      </c>
      <c r="AV105" s="7">
        <v>618553</v>
      </c>
      <c r="AW105" s="7">
        <v>674662</v>
      </c>
      <c r="AX105" s="7">
        <v>733664</v>
      </c>
      <c r="AY105" s="7">
        <v>588875</v>
      </c>
      <c r="AZ105" s="7">
        <v>536437</v>
      </c>
      <c r="BA105" s="7">
        <v>555734</v>
      </c>
      <c r="BB105" s="7">
        <v>490241</v>
      </c>
    </row>
    <row r="106" spans="1:54" x14ac:dyDescent="0.4">
      <c r="A106" s="34" t="s">
        <v>4</v>
      </c>
      <c r="B106" s="7">
        <v>0</v>
      </c>
      <c r="C106" s="7">
        <v>0</v>
      </c>
      <c r="D106" s="7">
        <v>0</v>
      </c>
      <c r="E106" s="7">
        <v>0</v>
      </c>
      <c r="F106" s="7">
        <v>0</v>
      </c>
      <c r="G106" s="7">
        <v>0</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22">
        <v>0</v>
      </c>
      <c r="AE106" s="22">
        <v>0</v>
      </c>
      <c r="AF106" s="22">
        <v>0</v>
      </c>
      <c r="AG106" s="22">
        <v>0</v>
      </c>
      <c r="AH106" s="22">
        <v>0</v>
      </c>
      <c r="AI106" s="22">
        <v>0</v>
      </c>
      <c r="AJ106" s="22">
        <v>0</v>
      </c>
      <c r="AK106" s="22">
        <v>0</v>
      </c>
      <c r="AL106" s="22">
        <v>0</v>
      </c>
      <c r="AM106" s="7">
        <v>0</v>
      </c>
      <c r="AN106" s="7">
        <v>0</v>
      </c>
      <c r="AO106" s="7">
        <v>0</v>
      </c>
      <c r="AP106" s="7">
        <v>0</v>
      </c>
      <c r="AQ106" s="7">
        <v>0</v>
      </c>
      <c r="AR106" s="7">
        <v>0</v>
      </c>
      <c r="AS106" s="7">
        <v>0</v>
      </c>
      <c r="AT106" s="7">
        <v>0</v>
      </c>
      <c r="AU106" s="7">
        <v>0</v>
      </c>
      <c r="AV106" s="7">
        <v>0</v>
      </c>
      <c r="AW106" s="7">
        <v>0</v>
      </c>
      <c r="AX106" s="7">
        <v>0</v>
      </c>
      <c r="AY106" s="7">
        <v>0</v>
      </c>
      <c r="AZ106" s="7">
        <v>0</v>
      </c>
      <c r="BA106" s="7">
        <v>0</v>
      </c>
      <c r="BB106" s="7">
        <v>0</v>
      </c>
    </row>
    <row r="107" spans="1:54" x14ac:dyDescent="0.4">
      <c r="A107" s="35" t="s">
        <v>13</v>
      </c>
      <c r="B107" s="7">
        <v>0</v>
      </c>
      <c r="C107" s="7">
        <v>0</v>
      </c>
      <c r="D107" s="7">
        <v>0</v>
      </c>
      <c r="E107" s="7">
        <v>0</v>
      </c>
      <c r="F107" s="7">
        <v>0</v>
      </c>
      <c r="G107" s="7">
        <v>0</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22">
        <v>0</v>
      </c>
      <c r="AE107" s="22">
        <v>0</v>
      </c>
      <c r="AF107" s="22">
        <v>0</v>
      </c>
      <c r="AG107" s="22">
        <v>0</v>
      </c>
      <c r="AH107" s="22">
        <v>0</v>
      </c>
      <c r="AI107" s="22">
        <v>0</v>
      </c>
      <c r="AJ107" s="22">
        <v>0</v>
      </c>
      <c r="AK107" s="22">
        <v>0</v>
      </c>
      <c r="AL107" s="22">
        <v>0</v>
      </c>
      <c r="AM107" s="7">
        <v>0</v>
      </c>
      <c r="AN107" s="7">
        <v>0</v>
      </c>
      <c r="AO107" s="7">
        <v>0</v>
      </c>
      <c r="AP107" s="7">
        <v>0</v>
      </c>
      <c r="AQ107" s="7">
        <v>0</v>
      </c>
      <c r="AR107" s="7">
        <v>0</v>
      </c>
      <c r="AS107" s="7">
        <v>0</v>
      </c>
      <c r="AT107" s="7">
        <v>0</v>
      </c>
      <c r="AU107" s="7">
        <v>0</v>
      </c>
      <c r="AV107" s="7">
        <v>0</v>
      </c>
      <c r="AW107" s="7">
        <v>0</v>
      </c>
      <c r="AX107" s="7">
        <v>0</v>
      </c>
      <c r="AY107" s="7">
        <v>0</v>
      </c>
      <c r="AZ107" s="7">
        <v>0</v>
      </c>
      <c r="BA107" s="7">
        <v>0</v>
      </c>
      <c r="BB107" s="7">
        <v>0</v>
      </c>
    </row>
    <row r="108" spans="1:54" x14ac:dyDescent="0.4">
      <c r="A108" s="35" t="s">
        <v>14</v>
      </c>
      <c r="B108" s="7">
        <v>0</v>
      </c>
      <c r="C108" s="7">
        <v>0</v>
      </c>
      <c r="D108" s="7">
        <v>0</v>
      </c>
      <c r="E108" s="7">
        <v>0</v>
      </c>
      <c r="F108" s="7">
        <v>0</v>
      </c>
      <c r="G108" s="7">
        <v>0</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22">
        <v>0</v>
      </c>
      <c r="AE108" s="22">
        <v>0</v>
      </c>
      <c r="AF108" s="22">
        <v>0</v>
      </c>
      <c r="AG108" s="22">
        <v>0</v>
      </c>
      <c r="AH108" s="22">
        <v>0</v>
      </c>
      <c r="AI108" s="22">
        <v>0</v>
      </c>
      <c r="AJ108" s="22">
        <v>0</v>
      </c>
      <c r="AK108" s="22">
        <v>0</v>
      </c>
      <c r="AL108" s="22">
        <v>0</v>
      </c>
      <c r="AM108" s="7">
        <v>0</v>
      </c>
      <c r="AN108" s="7">
        <v>0</v>
      </c>
      <c r="AO108" s="7">
        <v>0</v>
      </c>
      <c r="AP108" s="7">
        <v>0</v>
      </c>
      <c r="AQ108" s="7">
        <v>0</v>
      </c>
      <c r="AR108" s="7">
        <v>0</v>
      </c>
      <c r="AS108" s="7">
        <v>0</v>
      </c>
      <c r="AT108" s="7">
        <v>0</v>
      </c>
      <c r="AU108" s="7">
        <v>0</v>
      </c>
      <c r="AV108" s="7">
        <v>0</v>
      </c>
      <c r="AW108" s="7">
        <v>0</v>
      </c>
      <c r="AX108" s="7">
        <v>0</v>
      </c>
      <c r="AY108" s="7">
        <v>0</v>
      </c>
      <c r="AZ108" s="7">
        <v>0</v>
      </c>
      <c r="BA108" s="7">
        <v>0</v>
      </c>
      <c r="BB108" s="7">
        <v>0</v>
      </c>
    </row>
    <row r="109" spans="1:54" x14ac:dyDescent="0.4">
      <c r="A109" s="35" t="s">
        <v>27</v>
      </c>
      <c r="B109" s="7"/>
      <c r="C109" s="7"/>
      <c r="D109" s="7"/>
      <c r="E109" s="7"/>
      <c r="F109" s="7"/>
      <c r="G109" s="7"/>
      <c r="H109" s="7"/>
      <c r="I109" s="7"/>
      <c r="J109" s="7"/>
      <c r="K109" s="7"/>
      <c r="L109" s="7"/>
      <c r="M109" s="7"/>
      <c r="N109" s="7"/>
      <c r="O109" s="7"/>
      <c r="P109" s="7"/>
      <c r="Q109" s="7"/>
      <c r="R109" s="7"/>
      <c r="S109" s="7"/>
      <c r="T109" s="7"/>
      <c r="U109" s="7"/>
      <c r="V109" s="7"/>
      <c r="W109" s="7"/>
      <c r="X109" s="7"/>
      <c r="Y109" s="7"/>
      <c r="Z109" s="7">
        <v>0</v>
      </c>
      <c r="AA109" s="7">
        <v>0</v>
      </c>
      <c r="AB109" s="7">
        <v>0</v>
      </c>
      <c r="AC109" s="7">
        <v>0</v>
      </c>
      <c r="AD109" s="22">
        <v>0</v>
      </c>
      <c r="AE109" s="22">
        <v>0</v>
      </c>
      <c r="AF109" s="22">
        <v>0</v>
      </c>
      <c r="AG109" s="22">
        <v>0</v>
      </c>
      <c r="AH109" s="22">
        <v>0</v>
      </c>
      <c r="AI109" s="22">
        <v>0</v>
      </c>
      <c r="AJ109" s="22">
        <v>0</v>
      </c>
      <c r="AK109" s="22">
        <v>0</v>
      </c>
      <c r="AL109" s="22">
        <v>0</v>
      </c>
      <c r="AM109" s="7">
        <v>0</v>
      </c>
      <c r="AN109" s="7">
        <v>0</v>
      </c>
      <c r="AO109" s="7">
        <v>0</v>
      </c>
      <c r="AP109" s="7">
        <v>0</v>
      </c>
      <c r="AQ109" s="7">
        <v>0</v>
      </c>
      <c r="AR109" s="7">
        <v>0</v>
      </c>
      <c r="AS109" s="7">
        <v>0</v>
      </c>
      <c r="AT109" s="7">
        <v>0</v>
      </c>
      <c r="AU109" s="7">
        <v>0</v>
      </c>
      <c r="AV109" s="7">
        <v>0</v>
      </c>
      <c r="AW109" s="7">
        <v>0</v>
      </c>
      <c r="AX109" s="7">
        <v>0</v>
      </c>
      <c r="AY109" s="7">
        <v>0</v>
      </c>
      <c r="AZ109" s="7">
        <v>0</v>
      </c>
      <c r="BA109" s="7">
        <v>0</v>
      </c>
      <c r="BB109" s="7">
        <v>0</v>
      </c>
    </row>
    <row r="110" spans="1:54" x14ac:dyDescent="0.4">
      <c r="A110" s="35" t="s">
        <v>30</v>
      </c>
      <c r="B110" s="7"/>
      <c r="C110" s="7"/>
      <c r="D110" s="7"/>
      <c r="E110" s="7"/>
      <c r="F110" s="7"/>
      <c r="G110" s="7"/>
      <c r="H110" s="7"/>
      <c r="I110" s="7"/>
      <c r="J110" s="7"/>
      <c r="K110" s="7"/>
      <c r="L110" s="7"/>
      <c r="M110" s="7"/>
      <c r="N110" s="7"/>
      <c r="O110" s="7"/>
      <c r="P110" s="7"/>
      <c r="Q110" s="7"/>
      <c r="R110" s="7"/>
      <c r="S110" s="7"/>
      <c r="T110" s="7"/>
      <c r="U110" s="7"/>
      <c r="V110" s="7"/>
      <c r="W110" s="7"/>
      <c r="X110" s="7"/>
      <c r="Y110" s="7"/>
      <c r="Z110" s="7">
        <v>0</v>
      </c>
      <c r="AA110" s="7">
        <v>0</v>
      </c>
      <c r="AB110" s="7">
        <v>0</v>
      </c>
      <c r="AC110" s="7">
        <v>0</v>
      </c>
      <c r="AD110" s="22">
        <v>0</v>
      </c>
      <c r="AE110" s="22">
        <v>0</v>
      </c>
      <c r="AF110" s="22">
        <v>0</v>
      </c>
      <c r="AG110" s="22">
        <v>0</v>
      </c>
      <c r="AH110" s="22">
        <v>0</v>
      </c>
      <c r="AI110" s="22">
        <v>0</v>
      </c>
      <c r="AJ110" s="22">
        <v>0</v>
      </c>
      <c r="AK110" s="22">
        <v>0</v>
      </c>
      <c r="AL110" s="22">
        <v>0</v>
      </c>
      <c r="AM110" s="7">
        <v>0</v>
      </c>
      <c r="AN110" s="7">
        <v>0</v>
      </c>
      <c r="AO110" s="7">
        <v>0</v>
      </c>
      <c r="AP110" s="7">
        <v>0</v>
      </c>
      <c r="AQ110" s="7">
        <v>0</v>
      </c>
      <c r="AR110" s="7">
        <v>0</v>
      </c>
      <c r="AS110" s="7">
        <v>0</v>
      </c>
      <c r="AT110" s="7">
        <v>0</v>
      </c>
      <c r="AU110" s="7">
        <v>0</v>
      </c>
      <c r="AV110" s="7">
        <v>0</v>
      </c>
      <c r="AW110" s="7">
        <v>0</v>
      </c>
      <c r="AX110" s="7">
        <v>0</v>
      </c>
      <c r="AY110" s="7">
        <v>0</v>
      </c>
      <c r="AZ110" s="7">
        <v>0</v>
      </c>
      <c r="BA110" s="7">
        <v>0</v>
      </c>
      <c r="BB110" s="7">
        <v>0</v>
      </c>
    </row>
    <row r="111" spans="1:54" x14ac:dyDescent="0.4">
      <c r="A111" s="34" t="s">
        <v>5</v>
      </c>
      <c r="B111" s="7">
        <v>44334</v>
      </c>
      <c r="C111" s="7">
        <v>45244</v>
      </c>
      <c r="D111" s="7">
        <v>47989</v>
      </c>
      <c r="E111" s="7">
        <v>60151</v>
      </c>
      <c r="F111" s="7">
        <v>60865</v>
      </c>
      <c r="G111" s="7">
        <v>80641</v>
      </c>
      <c r="H111" s="7">
        <v>92809</v>
      </c>
      <c r="I111" s="7">
        <v>108694</v>
      </c>
      <c r="J111" s="7">
        <v>155254</v>
      </c>
      <c r="K111" s="7">
        <v>132109</v>
      </c>
      <c r="L111" s="7">
        <v>128072</v>
      </c>
      <c r="M111" s="7">
        <v>162920</v>
      </c>
      <c r="N111" s="7">
        <v>179267</v>
      </c>
      <c r="O111" s="7">
        <v>166292</v>
      </c>
      <c r="P111" s="7">
        <v>159375</v>
      </c>
      <c r="Q111" s="7">
        <v>194543</v>
      </c>
      <c r="R111" s="7">
        <v>186839</v>
      </c>
      <c r="S111" s="7">
        <v>192545</v>
      </c>
      <c r="T111" s="7">
        <v>189975</v>
      </c>
      <c r="U111" s="7">
        <v>197785</v>
      </c>
      <c r="V111" s="7">
        <v>183472</v>
      </c>
      <c r="W111" s="7">
        <v>182403</v>
      </c>
      <c r="X111" s="7">
        <v>185775</v>
      </c>
      <c r="Y111" s="7">
        <v>193244</v>
      </c>
      <c r="Z111" s="7">
        <v>203914</v>
      </c>
      <c r="AA111" s="7">
        <v>190208</v>
      </c>
      <c r="AB111" s="7">
        <v>184459</v>
      </c>
      <c r="AC111" s="7">
        <v>187782</v>
      </c>
      <c r="AD111" s="7">
        <v>181044</v>
      </c>
      <c r="AE111" s="7">
        <v>230461</v>
      </c>
      <c r="AF111" s="7">
        <v>182164</v>
      </c>
      <c r="AG111" s="7">
        <v>206306</v>
      </c>
      <c r="AH111" s="7">
        <v>217089</v>
      </c>
      <c r="AI111" s="7">
        <v>221429</v>
      </c>
      <c r="AJ111" s="7">
        <v>219793</v>
      </c>
      <c r="AK111" s="7">
        <v>223918</v>
      </c>
      <c r="AL111" s="7">
        <v>232545</v>
      </c>
      <c r="AM111" s="7">
        <v>267827</v>
      </c>
      <c r="AN111" s="7">
        <v>162270</v>
      </c>
      <c r="AO111" s="7">
        <v>252053</v>
      </c>
      <c r="AP111" s="7">
        <v>1192964</v>
      </c>
      <c r="AQ111" s="7">
        <v>1888200</v>
      </c>
      <c r="AR111" s="7">
        <v>2177887</v>
      </c>
      <c r="AS111" s="7">
        <v>2427280</v>
      </c>
      <c r="AT111" s="7">
        <v>2475371</v>
      </c>
      <c r="AU111" s="7">
        <v>2573381</v>
      </c>
      <c r="AV111" s="7">
        <v>2326058</v>
      </c>
      <c r="AW111" s="7">
        <v>2542071</v>
      </c>
      <c r="AX111" s="7">
        <v>2666110</v>
      </c>
      <c r="AY111" s="7">
        <v>2166910</v>
      </c>
      <c r="AZ111" s="7">
        <v>2144679</v>
      </c>
      <c r="BA111" s="7">
        <v>2450281</v>
      </c>
      <c r="BB111" s="7">
        <v>1945978</v>
      </c>
    </row>
    <row r="112" spans="1:54" x14ac:dyDescent="0.4">
      <c r="A112" s="35" t="s">
        <v>13</v>
      </c>
      <c r="B112" s="7">
        <v>0</v>
      </c>
      <c r="C112" s="7">
        <v>0</v>
      </c>
      <c r="D112" s="7">
        <v>0</v>
      </c>
      <c r="E112" s="7">
        <v>0</v>
      </c>
      <c r="F112" s="7">
        <v>0</v>
      </c>
      <c r="G112" s="7">
        <v>0</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22">
        <v>0</v>
      </c>
      <c r="AE112" s="22">
        <v>0</v>
      </c>
      <c r="AF112" s="22">
        <v>0</v>
      </c>
      <c r="AG112" s="22">
        <v>0</v>
      </c>
      <c r="AH112" s="22">
        <v>0</v>
      </c>
      <c r="AI112" s="22">
        <v>0</v>
      </c>
      <c r="AJ112" s="22">
        <v>0</v>
      </c>
      <c r="AK112" s="22">
        <v>0</v>
      </c>
      <c r="AL112" s="22">
        <v>0</v>
      </c>
      <c r="AM112" s="7">
        <v>0</v>
      </c>
      <c r="AN112" s="7">
        <v>0</v>
      </c>
      <c r="AO112" s="7">
        <v>0</v>
      </c>
      <c r="AP112" s="7">
        <v>26585</v>
      </c>
      <c r="AQ112" s="7">
        <v>29527</v>
      </c>
      <c r="AR112" s="7">
        <v>47</v>
      </c>
      <c r="AS112" s="7">
        <v>53</v>
      </c>
      <c r="AT112" s="7">
        <v>22713</v>
      </c>
      <c r="AU112" s="7">
        <v>23689</v>
      </c>
      <c r="AV112" s="7">
        <v>0</v>
      </c>
      <c r="AW112" s="7">
        <v>0</v>
      </c>
      <c r="AX112" s="7">
        <v>0</v>
      </c>
      <c r="AY112" s="7">
        <v>31568</v>
      </c>
      <c r="AZ112" s="7">
        <v>30124</v>
      </c>
      <c r="BA112" s="7">
        <v>84170</v>
      </c>
      <c r="BB112" s="7">
        <v>81005</v>
      </c>
    </row>
    <row r="113" spans="1:54" x14ac:dyDescent="0.4">
      <c r="A113" s="35" t="s">
        <v>14</v>
      </c>
      <c r="B113" s="7">
        <v>44334</v>
      </c>
      <c r="C113" s="7">
        <v>45244</v>
      </c>
      <c r="D113" s="7">
        <v>47989</v>
      </c>
      <c r="E113" s="7">
        <v>60151</v>
      </c>
      <c r="F113" s="7">
        <v>60865</v>
      </c>
      <c r="G113" s="7">
        <v>80641</v>
      </c>
      <c r="H113" s="7">
        <v>92809</v>
      </c>
      <c r="I113" s="7">
        <v>108694</v>
      </c>
      <c r="J113" s="7">
        <v>155254</v>
      </c>
      <c r="K113" s="7">
        <v>132109</v>
      </c>
      <c r="L113" s="7">
        <v>128072</v>
      </c>
      <c r="M113" s="7">
        <v>162920</v>
      </c>
      <c r="N113" s="7">
        <v>179267</v>
      </c>
      <c r="O113" s="7">
        <v>166292</v>
      </c>
      <c r="P113" s="7">
        <v>159375</v>
      </c>
      <c r="Q113" s="7">
        <v>194543</v>
      </c>
      <c r="R113" s="7">
        <v>186839</v>
      </c>
      <c r="S113" s="7">
        <v>192545</v>
      </c>
      <c r="T113" s="7">
        <v>189975</v>
      </c>
      <c r="U113" s="7">
        <v>197785</v>
      </c>
      <c r="V113" s="7">
        <v>183472</v>
      </c>
      <c r="W113" s="7">
        <v>182403</v>
      </c>
      <c r="X113" s="7">
        <v>185775</v>
      </c>
      <c r="Y113" s="7">
        <v>193244</v>
      </c>
      <c r="Z113" s="7">
        <v>203914</v>
      </c>
      <c r="AA113" s="7">
        <v>190208</v>
      </c>
      <c r="AB113" s="7">
        <v>184459</v>
      </c>
      <c r="AC113" s="7">
        <v>187782</v>
      </c>
      <c r="AD113" s="7">
        <v>181044</v>
      </c>
      <c r="AE113" s="7">
        <v>230461</v>
      </c>
      <c r="AF113" s="7">
        <v>182164</v>
      </c>
      <c r="AG113" s="7">
        <v>206306</v>
      </c>
      <c r="AH113" s="7">
        <v>217089</v>
      </c>
      <c r="AI113" s="7">
        <v>221429</v>
      </c>
      <c r="AJ113" s="7">
        <v>219793</v>
      </c>
      <c r="AK113" s="7">
        <v>223918</v>
      </c>
      <c r="AL113" s="7">
        <v>232545</v>
      </c>
      <c r="AM113" s="7">
        <v>267827</v>
      </c>
      <c r="AN113" s="7">
        <v>162270</v>
      </c>
      <c r="AO113" s="7">
        <v>252053</v>
      </c>
      <c r="AP113" s="7">
        <v>1166379</v>
      </c>
      <c r="AQ113" s="7">
        <v>1858673</v>
      </c>
      <c r="AR113" s="7">
        <v>2177839</v>
      </c>
      <c r="AS113" s="7">
        <v>2427227</v>
      </c>
      <c r="AT113" s="7">
        <v>2452658</v>
      </c>
      <c r="AU113" s="7">
        <v>2549691</v>
      </c>
      <c r="AV113" s="7">
        <v>2326058</v>
      </c>
      <c r="AW113" s="7">
        <v>2542071</v>
      </c>
      <c r="AX113" s="7">
        <v>2666110</v>
      </c>
      <c r="AY113" s="7">
        <v>2135342</v>
      </c>
      <c r="AZ113" s="7">
        <v>2114555</v>
      </c>
      <c r="BA113" s="7">
        <v>2366111</v>
      </c>
      <c r="BB113" s="7">
        <v>1864973</v>
      </c>
    </row>
    <row r="114" spans="1:54" x14ac:dyDescent="0.4">
      <c r="A114" s="35" t="s">
        <v>27</v>
      </c>
      <c r="B114" s="7"/>
      <c r="C114" s="7"/>
      <c r="D114" s="7"/>
      <c r="E114" s="7"/>
      <c r="F114" s="7"/>
      <c r="G114" s="7"/>
      <c r="H114" s="7"/>
      <c r="I114" s="7"/>
      <c r="J114" s="7"/>
      <c r="K114" s="7"/>
      <c r="L114" s="7"/>
      <c r="M114" s="7"/>
      <c r="N114" s="7"/>
      <c r="O114" s="7"/>
      <c r="P114" s="7"/>
      <c r="Q114" s="7"/>
      <c r="R114" s="7"/>
      <c r="S114" s="7"/>
      <c r="T114" s="7"/>
      <c r="U114" s="7"/>
      <c r="V114" s="7"/>
      <c r="W114" s="7"/>
      <c r="X114" s="7"/>
      <c r="Y114" s="7"/>
      <c r="Z114" s="7">
        <v>0</v>
      </c>
      <c r="AA114" s="7">
        <v>0</v>
      </c>
      <c r="AB114" s="7">
        <v>22686</v>
      </c>
      <c r="AC114" s="7">
        <v>23168</v>
      </c>
      <c r="AD114" s="7">
        <v>22265</v>
      </c>
      <c r="AE114" s="7">
        <v>27957</v>
      </c>
      <c r="AF114" s="7">
        <v>0</v>
      </c>
      <c r="AG114" s="7">
        <v>48305</v>
      </c>
      <c r="AH114" s="7">
        <v>45331</v>
      </c>
      <c r="AI114" s="7">
        <v>45891</v>
      </c>
      <c r="AJ114" s="7">
        <v>44403</v>
      </c>
      <c r="AK114" s="7">
        <v>0</v>
      </c>
      <c r="AL114" s="7">
        <v>42209</v>
      </c>
      <c r="AM114" s="7">
        <v>50813</v>
      </c>
      <c r="AN114" s="7">
        <v>30617</v>
      </c>
      <c r="AO114" s="7">
        <v>34699</v>
      </c>
      <c r="AP114" s="7">
        <v>35533</v>
      </c>
      <c r="AQ114" s="7">
        <v>72777</v>
      </c>
      <c r="AR114" s="7">
        <v>141997</v>
      </c>
      <c r="AS114" s="7">
        <v>172875</v>
      </c>
      <c r="AT114" s="7">
        <v>187090</v>
      </c>
      <c r="AU114" s="7">
        <v>267847</v>
      </c>
      <c r="AV114" s="7">
        <v>350332</v>
      </c>
      <c r="AW114" s="7">
        <v>414025</v>
      </c>
      <c r="AX114" s="7">
        <v>960673</v>
      </c>
      <c r="AY114" s="7">
        <v>872077</v>
      </c>
      <c r="AZ114" s="7">
        <v>693539</v>
      </c>
      <c r="BA114" s="7">
        <v>813269</v>
      </c>
      <c r="BB114" s="7">
        <v>331289</v>
      </c>
    </row>
    <row r="115" spans="1:54" x14ac:dyDescent="0.4">
      <c r="A115" s="35" t="s">
        <v>30</v>
      </c>
      <c r="B115" s="7"/>
      <c r="C115" s="7"/>
      <c r="D115" s="7"/>
      <c r="E115" s="7"/>
      <c r="F115" s="7"/>
      <c r="G115" s="7"/>
      <c r="H115" s="7"/>
      <c r="I115" s="7"/>
      <c r="J115" s="7"/>
      <c r="K115" s="7"/>
      <c r="L115" s="7"/>
      <c r="M115" s="7"/>
      <c r="N115" s="7"/>
      <c r="O115" s="7"/>
      <c r="P115" s="7"/>
      <c r="Q115" s="7"/>
      <c r="R115" s="7"/>
      <c r="S115" s="7"/>
      <c r="T115" s="7"/>
      <c r="U115" s="7"/>
      <c r="V115" s="7"/>
      <c r="W115" s="7"/>
      <c r="X115" s="7"/>
      <c r="Y115" s="7"/>
      <c r="Z115" s="7">
        <v>203914</v>
      </c>
      <c r="AA115" s="7">
        <v>190208</v>
      </c>
      <c r="AB115" s="7">
        <v>161773</v>
      </c>
      <c r="AC115" s="7">
        <v>164614</v>
      </c>
      <c r="AD115" s="7">
        <v>158779</v>
      </c>
      <c r="AE115" s="7">
        <v>202504</v>
      </c>
      <c r="AF115" s="7">
        <v>182164</v>
      </c>
      <c r="AG115" s="7">
        <v>158001</v>
      </c>
      <c r="AH115" s="7">
        <v>171758</v>
      </c>
      <c r="AI115" s="7">
        <v>175538</v>
      </c>
      <c r="AJ115" s="7">
        <v>175391</v>
      </c>
      <c r="AK115" s="7">
        <v>223918</v>
      </c>
      <c r="AL115" s="7">
        <v>190336</v>
      </c>
      <c r="AM115" s="7">
        <v>217014</v>
      </c>
      <c r="AN115" s="7">
        <v>131653</v>
      </c>
      <c r="AO115" s="7">
        <v>217354</v>
      </c>
      <c r="AP115" s="7">
        <v>1130846</v>
      </c>
      <c r="AQ115" s="7">
        <v>1785896</v>
      </c>
      <c r="AR115" s="7">
        <v>2035842</v>
      </c>
      <c r="AS115" s="7">
        <v>2254352</v>
      </c>
      <c r="AT115" s="7">
        <v>2265568</v>
      </c>
      <c r="AU115" s="7">
        <v>2281844</v>
      </c>
      <c r="AV115" s="7">
        <v>1975726</v>
      </c>
      <c r="AW115" s="7">
        <v>2128046</v>
      </c>
      <c r="AX115" s="7">
        <v>1705438</v>
      </c>
      <c r="AY115" s="7">
        <v>1263265</v>
      </c>
      <c r="AZ115" s="7">
        <v>1421016</v>
      </c>
      <c r="BA115" s="7">
        <v>1552841</v>
      </c>
      <c r="BB115" s="7">
        <v>1533684</v>
      </c>
    </row>
    <row r="116" spans="1:54" x14ac:dyDescent="0.4">
      <c r="A116" s="34" t="s">
        <v>6</v>
      </c>
      <c r="B116" s="7">
        <v>0</v>
      </c>
      <c r="C116" s="7">
        <v>0</v>
      </c>
      <c r="D116" s="7">
        <v>0</v>
      </c>
      <c r="E116" s="7">
        <v>0</v>
      </c>
      <c r="F116" s="7">
        <v>0</v>
      </c>
      <c r="G116" s="7">
        <v>0</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22">
        <v>0</v>
      </c>
      <c r="AE116" s="22">
        <v>0</v>
      </c>
      <c r="AF116" s="22">
        <v>0</v>
      </c>
      <c r="AG116" s="22">
        <v>0</v>
      </c>
      <c r="AH116" s="22">
        <v>0</v>
      </c>
      <c r="AI116" s="22">
        <v>0</v>
      </c>
      <c r="AJ116" s="22">
        <v>0</v>
      </c>
      <c r="AK116" s="22">
        <v>0</v>
      </c>
      <c r="AL116" s="22">
        <v>0</v>
      </c>
      <c r="AM116" s="7">
        <v>0</v>
      </c>
      <c r="AN116" s="7">
        <v>0</v>
      </c>
      <c r="AO116" s="7">
        <v>0</v>
      </c>
      <c r="AP116" s="7">
        <v>0</v>
      </c>
      <c r="AQ116" s="7">
        <v>0</v>
      </c>
      <c r="AR116" s="7">
        <v>0</v>
      </c>
      <c r="AS116" s="7">
        <v>0</v>
      </c>
      <c r="AT116" s="7">
        <v>0</v>
      </c>
      <c r="AU116" s="7">
        <v>0</v>
      </c>
      <c r="AV116" s="7">
        <v>0</v>
      </c>
      <c r="AW116" s="7">
        <v>0</v>
      </c>
      <c r="AX116" s="7">
        <v>2127801</v>
      </c>
      <c r="AY116" s="7">
        <v>1770278</v>
      </c>
      <c r="AZ116" s="7">
        <v>1686152</v>
      </c>
      <c r="BA116" s="7">
        <v>1786683</v>
      </c>
      <c r="BB116" s="7">
        <v>1774268</v>
      </c>
    </row>
    <row r="117" spans="1:54" x14ac:dyDescent="0.4">
      <c r="A117" s="35" t="s">
        <v>13</v>
      </c>
      <c r="B117" s="7">
        <v>0</v>
      </c>
      <c r="C117" s="7">
        <v>0</v>
      </c>
      <c r="D117" s="7">
        <v>0</v>
      </c>
      <c r="E117" s="7">
        <v>0</v>
      </c>
      <c r="F117" s="7">
        <v>0</v>
      </c>
      <c r="G117" s="7">
        <v>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22">
        <v>0</v>
      </c>
      <c r="AE117" s="22">
        <v>0</v>
      </c>
      <c r="AF117" s="22">
        <v>0</v>
      </c>
      <c r="AG117" s="22">
        <v>0</v>
      </c>
      <c r="AH117" s="22">
        <v>0</v>
      </c>
      <c r="AI117" s="22">
        <v>0</v>
      </c>
      <c r="AJ117" s="22">
        <v>0</v>
      </c>
      <c r="AK117" s="22">
        <v>0</v>
      </c>
      <c r="AL117" s="22">
        <v>0</v>
      </c>
      <c r="AM117" s="7">
        <v>0</v>
      </c>
      <c r="AN117" s="7">
        <v>0</v>
      </c>
      <c r="AO117" s="7">
        <v>0</v>
      </c>
      <c r="AP117" s="7">
        <v>0</v>
      </c>
      <c r="AQ117" s="7">
        <v>0</v>
      </c>
      <c r="AR117" s="7">
        <v>0</v>
      </c>
      <c r="AS117" s="7">
        <v>0</v>
      </c>
      <c r="AT117" s="7">
        <v>0</v>
      </c>
      <c r="AU117" s="7">
        <v>0</v>
      </c>
      <c r="AV117" s="7">
        <v>0</v>
      </c>
      <c r="AW117" s="7">
        <v>0</v>
      </c>
      <c r="AX117" s="7">
        <v>0</v>
      </c>
      <c r="AY117" s="7">
        <v>0</v>
      </c>
      <c r="AZ117" s="7">
        <v>0</v>
      </c>
      <c r="BA117" s="7">
        <v>0</v>
      </c>
      <c r="BB117" s="7">
        <v>0</v>
      </c>
    </row>
    <row r="118" spans="1:54" x14ac:dyDescent="0.4">
      <c r="A118" s="35" t="s">
        <v>14</v>
      </c>
      <c r="B118" s="7">
        <v>0</v>
      </c>
      <c r="C118" s="7">
        <v>0</v>
      </c>
      <c r="D118" s="7">
        <v>0</v>
      </c>
      <c r="E118" s="7">
        <v>0</v>
      </c>
      <c r="F118" s="7">
        <v>0</v>
      </c>
      <c r="G118" s="7">
        <v>0</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22">
        <v>0</v>
      </c>
      <c r="AE118" s="22">
        <v>0</v>
      </c>
      <c r="AF118" s="22">
        <v>0</v>
      </c>
      <c r="AG118" s="22">
        <v>0</v>
      </c>
      <c r="AH118" s="22">
        <v>0</v>
      </c>
      <c r="AI118" s="22">
        <v>0</v>
      </c>
      <c r="AJ118" s="22">
        <v>0</v>
      </c>
      <c r="AK118" s="22">
        <v>0</v>
      </c>
      <c r="AL118" s="22">
        <v>0</v>
      </c>
      <c r="AM118" s="7">
        <v>0</v>
      </c>
      <c r="AN118" s="7">
        <v>0</v>
      </c>
      <c r="AO118" s="7">
        <v>0</v>
      </c>
      <c r="AP118" s="7">
        <v>0</v>
      </c>
      <c r="AQ118" s="7">
        <v>0</v>
      </c>
      <c r="AR118" s="7">
        <v>0</v>
      </c>
      <c r="AS118" s="7">
        <v>0</v>
      </c>
      <c r="AT118" s="7">
        <v>0</v>
      </c>
      <c r="AU118" s="7">
        <v>0</v>
      </c>
      <c r="AV118" s="7">
        <v>0</v>
      </c>
      <c r="AW118" s="7">
        <v>0</v>
      </c>
      <c r="AX118" s="7">
        <v>2127801</v>
      </c>
      <c r="AY118" s="7">
        <v>1770278</v>
      </c>
      <c r="AZ118" s="7">
        <v>1686152</v>
      </c>
      <c r="BA118" s="7">
        <v>1786683</v>
      </c>
      <c r="BB118" s="7">
        <v>1774268</v>
      </c>
    </row>
    <row r="119" spans="1:54" x14ac:dyDescent="0.4">
      <c r="A119" s="35" t="s">
        <v>27</v>
      </c>
      <c r="B119" s="7"/>
      <c r="C119" s="7"/>
      <c r="D119" s="7"/>
      <c r="E119" s="7"/>
      <c r="F119" s="7"/>
      <c r="G119" s="7"/>
      <c r="H119" s="7"/>
      <c r="I119" s="7"/>
      <c r="J119" s="7"/>
      <c r="K119" s="7"/>
      <c r="L119" s="7"/>
      <c r="M119" s="7"/>
      <c r="N119" s="7"/>
      <c r="O119" s="7"/>
      <c r="P119" s="7"/>
      <c r="Q119" s="7"/>
      <c r="R119" s="7"/>
      <c r="S119" s="7"/>
      <c r="T119" s="7"/>
      <c r="U119" s="7"/>
      <c r="V119" s="7"/>
      <c r="W119" s="7"/>
      <c r="X119" s="7"/>
      <c r="Y119" s="7"/>
      <c r="Z119" s="7">
        <v>0</v>
      </c>
      <c r="AA119" s="7">
        <v>0</v>
      </c>
      <c r="AB119" s="7">
        <v>0</v>
      </c>
      <c r="AC119" s="7">
        <v>0</v>
      </c>
      <c r="AD119" s="22">
        <v>0</v>
      </c>
      <c r="AE119" s="22">
        <v>0</v>
      </c>
      <c r="AF119" s="22">
        <v>0</v>
      </c>
      <c r="AG119" s="22">
        <v>0</v>
      </c>
      <c r="AH119" s="22">
        <v>0</v>
      </c>
      <c r="AI119" s="22">
        <v>0</v>
      </c>
      <c r="AJ119" s="22">
        <v>0</v>
      </c>
      <c r="AK119" s="22">
        <v>0</v>
      </c>
      <c r="AL119" s="22">
        <v>0</v>
      </c>
      <c r="AM119" s="7">
        <v>0</v>
      </c>
      <c r="AN119" s="7">
        <v>0</v>
      </c>
      <c r="AO119" s="7">
        <v>0</v>
      </c>
      <c r="AP119" s="7">
        <v>0</v>
      </c>
      <c r="AQ119" s="7">
        <v>0</v>
      </c>
      <c r="AR119" s="7">
        <v>0</v>
      </c>
      <c r="AS119" s="7">
        <v>0</v>
      </c>
      <c r="AT119" s="7">
        <v>0</v>
      </c>
      <c r="AU119" s="7">
        <v>0</v>
      </c>
      <c r="AV119" s="7">
        <v>0</v>
      </c>
      <c r="AW119" s="7">
        <v>0</v>
      </c>
      <c r="AX119" s="7">
        <v>0</v>
      </c>
      <c r="AY119" s="7">
        <v>121961</v>
      </c>
      <c r="AZ119" s="7">
        <v>309379</v>
      </c>
      <c r="BA119" s="7">
        <v>329566</v>
      </c>
      <c r="BB119" s="7">
        <v>182394</v>
      </c>
    </row>
    <row r="120" spans="1:54" x14ac:dyDescent="0.4">
      <c r="A120" s="35" t="s">
        <v>30</v>
      </c>
      <c r="B120" s="7"/>
      <c r="C120" s="7"/>
      <c r="D120" s="7"/>
      <c r="E120" s="7"/>
      <c r="F120" s="7"/>
      <c r="G120" s="7"/>
      <c r="H120" s="7"/>
      <c r="I120" s="7"/>
      <c r="J120" s="7"/>
      <c r="K120" s="7"/>
      <c r="L120" s="7"/>
      <c r="M120" s="7"/>
      <c r="N120" s="7"/>
      <c r="O120" s="7"/>
      <c r="P120" s="7"/>
      <c r="Q120" s="7"/>
      <c r="R120" s="7"/>
      <c r="S120" s="7"/>
      <c r="T120" s="7"/>
      <c r="U120" s="7"/>
      <c r="V120" s="7"/>
      <c r="W120" s="7"/>
      <c r="X120" s="7"/>
      <c r="Y120" s="7"/>
      <c r="Z120" s="7">
        <v>0</v>
      </c>
      <c r="AA120" s="7">
        <v>0</v>
      </c>
      <c r="AB120" s="7">
        <v>0</v>
      </c>
      <c r="AC120" s="7">
        <v>0</v>
      </c>
      <c r="AD120" s="22">
        <v>0</v>
      </c>
      <c r="AE120" s="22">
        <v>0</v>
      </c>
      <c r="AF120" s="22">
        <v>0</v>
      </c>
      <c r="AG120" s="22">
        <v>0</v>
      </c>
      <c r="AH120" s="22">
        <v>0</v>
      </c>
      <c r="AI120" s="22">
        <v>0</v>
      </c>
      <c r="AJ120" s="22">
        <v>0</v>
      </c>
      <c r="AK120" s="22">
        <v>0</v>
      </c>
      <c r="AL120" s="22">
        <v>0</v>
      </c>
      <c r="AM120" s="7">
        <v>0</v>
      </c>
      <c r="AN120" s="7">
        <v>0</v>
      </c>
      <c r="AO120" s="7">
        <v>0</v>
      </c>
      <c r="AP120" s="7">
        <v>0</v>
      </c>
      <c r="AQ120" s="7">
        <v>0</v>
      </c>
      <c r="AR120" s="7">
        <v>0</v>
      </c>
      <c r="AS120" s="7">
        <v>0</v>
      </c>
      <c r="AT120" s="7">
        <v>0</v>
      </c>
      <c r="AU120" s="7">
        <v>0</v>
      </c>
      <c r="AV120" s="7">
        <v>0</v>
      </c>
      <c r="AW120" s="7">
        <v>0</v>
      </c>
      <c r="AX120" s="7">
        <v>2127801</v>
      </c>
      <c r="AY120" s="7">
        <v>1648317</v>
      </c>
      <c r="AZ120" s="7">
        <v>1376773</v>
      </c>
      <c r="BA120" s="7">
        <v>1457117</v>
      </c>
      <c r="BB120" s="7">
        <v>1591873</v>
      </c>
    </row>
    <row r="121" spans="1:54" x14ac:dyDescent="0.4">
      <c r="A121" s="34" t="s">
        <v>7</v>
      </c>
      <c r="B121" s="7">
        <v>0</v>
      </c>
      <c r="C121" s="7">
        <v>0</v>
      </c>
      <c r="D121" s="7">
        <v>0</v>
      </c>
      <c r="E121" s="7">
        <v>0</v>
      </c>
      <c r="F121" s="7">
        <v>0</v>
      </c>
      <c r="G121" s="7">
        <v>0</v>
      </c>
      <c r="H121" s="7">
        <v>0</v>
      </c>
      <c r="I121" s="7">
        <v>0</v>
      </c>
      <c r="J121" s="7">
        <v>0</v>
      </c>
      <c r="K121" s="7">
        <v>0</v>
      </c>
      <c r="L121" s="7">
        <v>0</v>
      </c>
      <c r="M121" s="7">
        <v>0</v>
      </c>
      <c r="N121" s="7">
        <v>127545</v>
      </c>
      <c r="O121" s="7">
        <v>199917</v>
      </c>
      <c r="P121" s="7">
        <v>264306</v>
      </c>
      <c r="Q121" s="7">
        <v>310310</v>
      </c>
      <c r="R121" s="7">
        <v>298021</v>
      </c>
      <c r="S121" s="7">
        <v>276998</v>
      </c>
      <c r="T121" s="7">
        <v>290301</v>
      </c>
      <c r="U121" s="7">
        <v>287058</v>
      </c>
      <c r="V121" s="7">
        <v>283146</v>
      </c>
      <c r="W121" s="7">
        <v>281498</v>
      </c>
      <c r="X121" s="7">
        <v>319981</v>
      </c>
      <c r="Y121" s="7">
        <v>332739</v>
      </c>
      <c r="Z121" s="7">
        <v>351111</v>
      </c>
      <c r="AA121" s="7">
        <v>275671</v>
      </c>
      <c r="AB121" s="7">
        <v>268330</v>
      </c>
      <c r="AC121" s="7">
        <v>274030</v>
      </c>
      <c r="AD121" s="7">
        <v>263353</v>
      </c>
      <c r="AE121" s="7">
        <v>332771</v>
      </c>
      <c r="AF121" s="7">
        <v>299187</v>
      </c>
      <c r="AG121" s="7">
        <v>340570</v>
      </c>
      <c r="AH121" s="7">
        <v>315571</v>
      </c>
      <c r="AI121" s="7">
        <v>323492</v>
      </c>
      <c r="AJ121" s="7">
        <v>317135</v>
      </c>
      <c r="AK121" s="7">
        <v>533779</v>
      </c>
      <c r="AL121" s="7">
        <v>770022</v>
      </c>
      <c r="AM121" s="7">
        <v>718364</v>
      </c>
      <c r="AN121" s="7">
        <v>430702</v>
      </c>
      <c r="AO121" s="7">
        <v>656422</v>
      </c>
      <c r="AP121" s="7">
        <v>1060596</v>
      </c>
      <c r="AQ121" s="7">
        <v>1296100</v>
      </c>
      <c r="AR121" s="7">
        <v>1457059</v>
      </c>
      <c r="AS121" s="7">
        <v>1694511</v>
      </c>
      <c r="AT121" s="7">
        <v>1721436</v>
      </c>
      <c r="AU121" s="7">
        <v>2195297</v>
      </c>
      <c r="AV121" s="7">
        <v>2281336</v>
      </c>
      <c r="AW121" s="7">
        <v>2824908</v>
      </c>
      <c r="AX121" s="7">
        <v>3026256</v>
      </c>
      <c r="AY121" s="7">
        <v>2697465</v>
      </c>
      <c r="AZ121" s="7">
        <v>2885452</v>
      </c>
      <c r="BA121" s="7">
        <v>3485380</v>
      </c>
      <c r="BB121" s="7">
        <v>3304990</v>
      </c>
    </row>
    <row r="122" spans="1:54" x14ac:dyDescent="0.4">
      <c r="A122" s="35" t="s">
        <v>13</v>
      </c>
      <c r="B122" s="7">
        <v>0</v>
      </c>
      <c r="C122" s="7">
        <v>0</v>
      </c>
      <c r="D122" s="7">
        <v>0</v>
      </c>
      <c r="E122" s="7">
        <v>0</v>
      </c>
      <c r="F122" s="7">
        <v>0</v>
      </c>
      <c r="G122" s="7">
        <v>0</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22">
        <v>0</v>
      </c>
      <c r="AE122" s="22">
        <v>0</v>
      </c>
      <c r="AF122" s="22">
        <v>0</v>
      </c>
      <c r="AG122" s="22">
        <v>0</v>
      </c>
      <c r="AH122" s="22">
        <v>0</v>
      </c>
      <c r="AI122" s="22">
        <v>0</v>
      </c>
      <c r="AJ122" s="22">
        <v>0</v>
      </c>
      <c r="AK122" s="22">
        <v>0</v>
      </c>
      <c r="AL122" s="7">
        <v>6636</v>
      </c>
      <c r="AM122" s="7">
        <v>7539</v>
      </c>
      <c r="AN122" s="7">
        <v>4604</v>
      </c>
      <c r="AO122" s="7">
        <v>5186</v>
      </c>
      <c r="AP122" s="7">
        <v>39915</v>
      </c>
      <c r="AQ122" s="7">
        <v>44240</v>
      </c>
      <c r="AR122" s="7">
        <v>2188</v>
      </c>
      <c r="AS122" s="7">
        <v>2442</v>
      </c>
      <c r="AT122" s="7">
        <v>32785</v>
      </c>
      <c r="AU122" s="7">
        <v>55924</v>
      </c>
      <c r="AV122" s="7">
        <v>63943</v>
      </c>
      <c r="AW122" s="7">
        <v>31852</v>
      </c>
      <c r="AX122" s="7">
        <v>0</v>
      </c>
      <c r="AY122" s="7">
        <v>0</v>
      </c>
      <c r="AZ122" s="7">
        <v>27479</v>
      </c>
      <c r="BA122" s="7">
        <v>29036</v>
      </c>
      <c r="BB122" s="7">
        <v>27415</v>
      </c>
    </row>
    <row r="123" spans="1:54" x14ac:dyDescent="0.4">
      <c r="A123" s="35" t="s">
        <v>14</v>
      </c>
      <c r="B123" s="7">
        <v>0</v>
      </c>
      <c r="C123" s="7">
        <v>0</v>
      </c>
      <c r="D123" s="7">
        <v>0</v>
      </c>
      <c r="E123" s="7">
        <v>0</v>
      </c>
      <c r="F123" s="7">
        <v>0</v>
      </c>
      <c r="G123" s="7">
        <v>0</v>
      </c>
      <c r="H123" s="7">
        <v>0</v>
      </c>
      <c r="I123" s="7">
        <v>0</v>
      </c>
      <c r="J123" s="7">
        <v>0</v>
      </c>
      <c r="K123" s="7">
        <v>0</v>
      </c>
      <c r="L123" s="7">
        <v>0</v>
      </c>
      <c r="M123" s="7">
        <v>0</v>
      </c>
      <c r="N123" s="7">
        <v>127545</v>
      </c>
      <c r="O123" s="7">
        <v>199917</v>
      </c>
      <c r="P123" s="7">
        <v>264306</v>
      </c>
      <c r="Q123" s="7">
        <v>310310</v>
      </c>
      <c r="R123" s="7">
        <v>298021</v>
      </c>
      <c r="S123" s="7">
        <v>276998</v>
      </c>
      <c r="T123" s="7">
        <v>290301</v>
      </c>
      <c r="U123" s="7">
        <v>287058</v>
      </c>
      <c r="V123" s="7">
        <v>283146</v>
      </c>
      <c r="W123" s="7">
        <v>281498</v>
      </c>
      <c r="X123" s="7">
        <v>319981</v>
      </c>
      <c r="Y123" s="7">
        <v>332739</v>
      </c>
      <c r="Z123" s="7">
        <v>351111</v>
      </c>
      <c r="AA123" s="7">
        <v>275671</v>
      </c>
      <c r="AB123" s="7">
        <v>268330</v>
      </c>
      <c r="AC123" s="7">
        <v>274030</v>
      </c>
      <c r="AD123" s="7">
        <v>263353</v>
      </c>
      <c r="AE123" s="7">
        <v>332771</v>
      </c>
      <c r="AF123" s="7">
        <v>299187</v>
      </c>
      <c r="AG123" s="7">
        <v>340570</v>
      </c>
      <c r="AH123" s="7">
        <v>315571</v>
      </c>
      <c r="AI123" s="7">
        <v>323492</v>
      </c>
      <c r="AJ123" s="7">
        <v>317135</v>
      </c>
      <c r="AK123" s="7">
        <v>533779</v>
      </c>
      <c r="AL123" s="7">
        <v>763386</v>
      </c>
      <c r="AM123" s="7">
        <v>710826</v>
      </c>
      <c r="AN123" s="7">
        <v>426099</v>
      </c>
      <c r="AO123" s="7">
        <v>651236</v>
      </c>
      <c r="AP123" s="7">
        <v>1020681</v>
      </c>
      <c r="AQ123" s="7">
        <v>1251860</v>
      </c>
      <c r="AR123" s="7">
        <v>1454871</v>
      </c>
      <c r="AS123" s="7">
        <v>1692069</v>
      </c>
      <c r="AT123" s="7">
        <v>1688652</v>
      </c>
      <c r="AU123" s="7">
        <v>2139372</v>
      </c>
      <c r="AV123" s="7">
        <v>2217394</v>
      </c>
      <c r="AW123" s="7">
        <v>2793056</v>
      </c>
      <c r="AX123" s="7">
        <v>3026256</v>
      </c>
      <c r="AY123" s="7">
        <v>2697465</v>
      </c>
      <c r="AZ123" s="7">
        <v>2857972</v>
      </c>
      <c r="BA123" s="7">
        <v>3456344</v>
      </c>
      <c r="BB123" s="7">
        <v>3277575</v>
      </c>
    </row>
    <row r="124" spans="1:54" x14ac:dyDescent="0.4">
      <c r="A124" s="35" t="s">
        <v>27</v>
      </c>
      <c r="B124" s="7"/>
      <c r="C124" s="7"/>
      <c r="D124" s="7"/>
      <c r="E124" s="7"/>
      <c r="F124" s="7"/>
      <c r="G124" s="7"/>
      <c r="H124" s="7"/>
      <c r="I124" s="7"/>
      <c r="J124" s="7"/>
      <c r="K124" s="7"/>
      <c r="L124" s="7"/>
      <c r="M124" s="7"/>
      <c r="N124" s="7"/>
      <c r="O124" s="7"/>
      <c r="P124" s="7"/>
      <c r="Q124" s="7"/>
      <c r="R124" s="7"/>
      <c r="S124" s="7"/>
      <c r="T124" s="7"/>
      <c r="U124" s="7"/>
      <c r="V124" s="7"/>
      <c r="W124" s="7"/>
      <c r="X124" s="7"/>
      <c r="Y124" s="7"/>
      <c r="Z124" s="7">
        <v>0</v>
      </c>
      <c r="AA124" s="7">
        <v>0</v>
      </c>
      <c r="AB124" s="7">
        <v>0</v>
      </c>
      <c r="AC124" s="7">
        <v>56</v>
      </c>
      <c r="AD124" s="7">
        <v>54</v>
      </c>
      <c r="AE124" s="7">
        <v>68</v>
      </c>
      <c r="AF124" s="7">
        <v>63</v>
      </c>
      <c r="AG124" s="7">
        <v>0</v>
      </c>
      <c r="AH124" s="7">
        <v>0</v>
      </c>
      <c r="AI124" s="7">
        <v>0</v>
      </c>
      <c r="AJ124" s="7">
        <v>0</v>
      </c>
      <c r="AK124" s="7">
        <v>0</v>
      </c>
      <c r="AL124" s="7">
        <v>0</v>
      </c>
      <c r="AM124" s="7">
        <v>0</v>
      </c>
      <c r="AN124" s="7">
        <v>0</v>
      </c>
      <c r="AO124" s="7">
        <v>0</v>
      </c>
      <c r="AP124" s="7">
        <v>8641</v>
      </c>
      <c r="AQ124" s="7">
        <v>9505</v>
      </c>
      <c r="AR124" s="7">
        <v>37605</v>
      </c>
      <c r="AS124" s="7">
        <v>46255</v>
      </c>
      <c r="AT124" s="7">
        <v>51058</v>
      </c>
      <c r="AU124" s="7">
        <v>93856</v>
      </c>
      <c r="AV124" s="7">
        <v>72264</v>
      </c>
      <c r="AW124" s="7">
        <v>134127</v>
      </c>
      <c r="AX124" s="7">
        <v>283510</v>
      </c>
      <c r="AY124" s="7">
        <v>242588</v>
      </c>
      <c r="AZ124" s="7">
        <v>350543</v>
      </c>
      <c r="BA124" s="7">
        <v>331290</v>
      </c>
      <c r="BB124" s="7">
        <v>356927</v>
      </c>
    </row>
    <row r="125" spans="1:54" x14ac:dyDescent="0.4">
      <c r="A125" s="35" t="s">
        <v>30</v>
      </c>
      <c r="B125" s="7"/>
      <c r="C125" s="7"/>
      <c r="D125" s="7"/>
      <c r="E125" s="7"/>
      <c r="F125" s="7"/>
      <c r="G125" s="7"/>
      <c r="H125" s="7"/>
      <c r="I125" s="7"/>
      <c r="J125" s="7"/>
      <c r="K125" s="7"/>
      <c r="L125" s="7"/>
      <c r="M125" s="7"/>
      <c r="N125" s="7"/>
      <c r="O125" s="7"/>
      <c r="P125" s="7"/>
      <c r="Q125" s="7"/>
      <c r="R125" s="7"/>
      <c r="S125" s="7"/>
      <c r="T125" s="7"/>
      <c r="U125" s="7"/>
      <c r="V125" s="7"/>
      <c r="W125" s="7"/>
      <c r="X125" s="7"/>
      <c r="Y125" s="7"/>
      <c r="Z125" s="7">
        <v>351111</v>
      </c>
      <c r="AA125" s="7">
        <v>275671</v>
      </c>
      <c r="AB125" s="7">
        <v>268330</v>
      </c>
      <c r="AC125" s="7">
        <v>273974</v>
      </c>
      <c r="AD125" s="7">
        <v>263299</v>
      </c>
      <c r="AE125" s="7">
        <v>332702</v>
      </c>
      <c r="AF125" s="7">
        <v>299124</v>
      </c>
      <c r="AG125" s="7">
        <v>340570</v>
      </c>
      <c r="AH125" s="7">
        <v>315571</v>
      </c>
      <c r="AI125" s="7">
        <v>323492</v>
      </c>
      <c r="AJ125" s="7">
        <v>317135</v>
      </c>
      <c r="AK125" s="7">
        <v>533779</v>
      </c>
      <c r="AL125" s="7">
        <v>763386</v>
      </c>
      <c r="AM125" s="7">
        <v>710826</v>
      </c>
      <c r="AN125" s="7">
        <v>426099</v>
      </c>
      <c r="AO125" s="7">
        <v>651236</v>
      </c>
      <c r="AP125" s="7">
        <v>1012041</v>
      </c>
      <c r="AQ125" s="7">
        <v>1242355</v>
      </c>
      <c r="AR125" s="7">
        <v>1417266</v>
      </c>
      <c r="AS125" s="7">
        <v>1645814</v>
      </c>
      <c r="AT125" s="7">
        <v>1637594</v>
      </c>
      <c r="AU125" s="7">
        <v>2045516</v>
      </c>
      <c r="AV125" s="7">
        <v>2145130</v>
      </c>
      <c r="AW125" s="7">
        <v>2658929</v>
      </c>
      <c r="AX125" s="7">
        <v>2742747</v>
      </c>
      <c r="AY125" s="7">
        <v>2454877</v>
      </c>
      <c r="AZ125" s="7">
        <v>2507430</v>
      </c>
      <c r="BA125" s="7">
        <v>3125055</v>
      </c>
      <c r="BB125" s="7">
        <v>2920648</v>
      </c>
    </row>
    <row r="126" spans="1:54" x14ac:dyDescent="0.4">
      <c r="A126" s="34" t="s">
        <v>8</v>
      </c>
      <c r="B126" s="7">
        <v>0</v>
      </c>
      <c r="C126" s="7">
        <v>0</v>
      </c>
      <c r="D126" s="7">
        <v>0</v>
      </c>
      <c r="E126" s="7">
        <v>0</v>
      </c>
      <c r="F126" s="7">
        <v>0</v>
      </c>
      <c r="G126" s="7">
        <v>0</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22">
        <v>0</v>
      </c>
      <c r="AE126" s="22">
        <v>0</v>
      </c>
      <c r="AF126" s="22">
        <v>0</v>
      </c>
      <c r="AG126" s="22">
        <v>0</v>
      </c>
      <c r="AH126" s="22">
        <v>0</v>
      </c>
      <c r="AI126" s="22">
        <v>0</v>
      </c>
      <c r="AJ126" s="22">
        <v>0</v>
      </c>
      <c r="AK126" s="22">
        <v>0</v>
      </c>
      <c r="AL126" s="22">
        <v>0</v>
      </c>
      <c r="AM126" s="7">
        <v>0</v>
      </c>
      <c r="AN126" s="7">
        <v>0</v>
      </c>
      <c r="AO126" s="7">
        <v>40239</v>
      </c>
      <c r="AP126" s="7">
        <v>68655</v>
      </c>
      <c r="AQ126" s="7">
        <v>75565</v>
      </c>
      <c r="AR126" s="7">
        <v>84458</v>
      </c>
      <c r="AS126" s="7">
        <v>94009</v>
      </c>
      <c r="AT126" s="7">
        <v>87473</v>
      </c>
      <c r="AU126" s="7">
        <v>112246</v>
      </c>
      <c r="AV126" s="7">
        <v>104203</v>
      </c>
      <c r="AW126" s="7">
        <v>113626</v>
      </c>
      <c r="AX126" s="7">
        <v>123022</v>
      </c>
      <c r="AY126" s="7">
        <v>101657</v>
      </c>
      <c r="AZ126" s="7">
        <v>96041</v>
      </c>
      <c r="BA126" s="7">
        <v>101170</v>
      </c>
      <c r="BB126" s="7">
        <v>96269</v>
      </c>
    </row>
    <row r="127" spans="1:54" x14ac:dyDescent="0.4">
      <c r="A127" s="35" t="s">
        <v>13</v>
      </c>
      <c r="B127" s="7">
        <v>0</v>
      </c>
      <c r="C127" s="7">
        <v>0</v>
      </c>
      <c r="D127" s="7">
        <v>0</v>
      </c>
      <c r="E127" s="7">
        <v>0</v>
      </c>
      <c r="F127" s="7">
        <v>0</v>
      </c>
      <c r="G127" s="7">
        <v>0</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22">
        <v>0</v>
      </c>
      <c r="AE127" s="22">
        <v>0</v>
      </c>
      <c r="AF127" s="22">
        <v>0</v>
      </c>
      <c r="AG127" s="22">
        <v>0</v>
      </c>
      <c r="AH127" s="22">
        <v>0</v>
      </c>
      <c r="AI127" s="22">
        <v>0</v>
      </c>
      <c r="AJ127" s="22">
        <v>0</v>
      </c>
      <c r="AK127" s="22">
        <v>0</v>
      </c>
      <c r="AL127" s="22">
        <v>0</v>
      </c>
      <c r="AM127" s="7">
        <v>0</v>
      </c>
      <c r="AN127" s="7">
        <v>0</v>
      </c>
      <c r="AO127" s="7">
        <v>0</v>
      </c>
      <c r="AP127" s="7">
        <v>0</v>
      </c>
      <c r="AQ127" s="7">
        <v>0</v>
      </c>
      <c r="AR127" s="7">
        <v>0</v>
      </c>
      <c r="AS127" s="7">
        <v>0</v>
      </c>
      <c r="AT127" s="7">
        <v>0</v>
      </c>
      <c r="AU127" s="7">
        <v>0</v>
      </c>
      <c r="AV127" s="7">
        <v>0</v>
      </c>
      <c r="AW127" s="7">
        <v>0</v>
      </c>
      <c r="AX127" s="7">
        <v>0</v>
      </c>
      <c r="AY127" s="7">
        <v>0</v>
      </c>
      <c r="AZ127" s="7">
        <v>0</v>
      </c>
      <c r="BA127" s="7">
        <v>0</v>
      </c>
      <c r="BB127" s="7">
        <v>0</v>
      </c>
    </row>
    <row r="128" spans="1:54" x14ac:dyDescent="0.4">
      <c r="A128" s="35" t="s">
        <v>14</v>
      </c>
      <c r="B128" s="7">
        <v>0</v>
      </c>
      <c r="C128" s="7">
        <v>0</v>
      </c>
      <c r="D128" s="7">
        <v>0</v>
      </c>
      <c r="E128" s="7">
        <v>0</v>
      </c>
      <c r="F128" s="7">
        <v>0</v>
      </c>
      <c r="G128" s="7">
        <v>0</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22">
        <v>0</v>
      </c>
      <c r="AE128" s="22">
        <v>0</v>
      </c>
      <c r="AF128" s="22">
        <v>0</v>
      </c>
      <c r="AG128" s="22">
        <v>0</v>
      </c>
      <c r="AH128" s="22">
        <v>0</v>
      </c>
      <c r="AI128" s="22">
        <v>0</v>
      </c>
      <c r="AJ128" s="22">
        <v>0</v>
      </c>
      <c r="AK128" s="22">
        <v>0</v>
      </c>
      <c r="AL128" s="22">
        <v>0</v>
      </c>
      <c r="AM128" s="7">
        <v>0</v>
      </c>
      <c r="AN128" s="7">
        <v>0</v>
      </c>
      <c r="AO128" s="7">
        <v>40239</v>
      </c>
      <c r="AP128" s="7">
        <v>68655</v>
      </c>
      <c r="AQ128" s="7">
        <v>75565</v>
      </c>
      <c r="AR128" s="7">
        <v>84458</v>
      </c>
      <c r="AS128" s="7">
        <v>94009</v>
      </c>
      <c r="AT128" s="7">
        <v>87473</v>
      </c>
      <c r="AU128" s="7">
        <v>112246</v>
      </c>
      <c r="AV128" s="7">
        <v>104203</v>
      </c>
      <c r="AW128" s="7">
        <v>113626</v>
      </c>
      <c r="AX128" s="7">
        <v>123022</v>
      </c>
      <c r="AY128" s="7">
        <v>101657</v>
      </c>
      <c r="AZ128" s="7">
        <v>96041</v>
      </c>
      <c r="BA128" s="7">
        <v>101170</v>
      </c>
      <c r="BB128" s="7">
        <v>96269</v>
      </c>
    </row>
    <row r="129" spans="1:54" x14ac:dyDescent="0.4">
      <c r="A129" s="35" t="s">
        <v>27</v>
      </c>
      <c r="B129" s="7"/>
      <c r="C129" s="7"/>
      <c r="D129" s="7"/>
      <c r="E129" s="7"/>
      <c r="F129" s="7"/>
      <c r="G129" s="7"/>
      <c r="H129" s="7"/>
      <c r="I129" s="7"/>
      <c r="J129" s="7"/>
      <c r="K129" s="7"/>
      <c r="L129" s="7"/>
      <c r="M129" s="7"/>
      <c r="N129" s="7"/>
      <c r="O129" s="7"/>
      <c r="P129" s="7"/>
      <c r="Q129" s="7"/>
      <c r="R129" s="7"/>
      <c r="S129" s="7"/>
      <c r="T129" s="7"/>
      <c r="U129" s="7"/>
      <c r="V129" s="7"/>
      <c r="W129" s="7"/>
      <c r="X129" s="7"/>
      <c r="Y129" s="7"/>
      <c r="Z129" s="7">
        <v>0</v>
      </c>
      <c r="AA129" s="7">
        <v>0</v>
      </c>
      <c r="AB129" s="7">
        <v>0</v>
      </c>
      <c r="AC129" s="7">
        <v>0</v>
      </c>
      <c r="AD129" s="22">
        <v>0</v>
      </c>
      <c r="AE129" s="22">
        <v>0</v>
      </c>
      <c r="AF129" s="22">
        <v>0</v>
      </c>
      <c r="AG129" s="22">
        <v>0</v>
      </c>
      <c r="AH129" s="22">
        <v>0</v>
      </c>
      <c r="AI129" s="22">
        <v>0</v>
      </c>
      <c r="AJ129" s="22">
        <v>0</v>
      </c>
      <c r="AK129" s="22">
        <v>0</v>
      </c>
      <c r="AL129" s="22">
        <v>0</v>
      </c>
      <c r="AM129" s="7">
        <v>0</v>
      </c>
      <c r="AN129" s="7">
        <v>0</v>
      </c>
      <c r="AO129" s="7">
        <v>0</v>
      </c>
      <c r="AP129" s="7">
        <v>0</v>
      </c>
      <c r="AQ129" s="7">
        <v>0</v>
      </c>
      <c r="AR129" s="7">
        <v>0</v>
      </c>
      <c r="AS129" s="7">
        <v>0</v>
      </c>
      <c r="AT129" s="7">
        <v>0</v>
      </c>
      <c r="AU129" s="7">
        <v>0</v>
      </c>
      <c r="AV129" s="7">
        <v>0</v>
      </c>
      <c r="AW129" s="7">
        <v>0</v>
      </c>
      <c r="AX129" s="7">
        <v>0</v>
      </c>
      <c r="AY129" s="7">
        <v>0</v>
      </c>
      <c r="AZ129" s="7">
        <v>0</v>
      </c>
      <c r="BA129" s="7">
        <v>0</v>
      </c>
      <c r="BB129" s="7">
        <v>0</v>
      </c>
    </row>
    <row r="130" spans="1:54" x14ac:dyDescent="0.4">
      <c r="A130" s="35" t="s">
        <v>30</v>
      </c>
      <c r="B130" s="7"/>
      <c r="C130" s="7"/>
      <c r="D130" s="7"/>
      <c r="E130" s="7"/>
      <c r="F130" s="7"/>
      <c r="G130" s="7"/>
      <c r="H130" s="7"/>
      <c r="I130" s="7"/>
      <c r="J130" s="7"/>
      <c r="K130" s="7"/>
      <c r="L130" s="7"/>
      <c r="M130" s="7"/>
      <c r="N130" s="7"/>
      <c r="O130" s="7"/>
      <c r="P130" s="7"/>
      <c r="Q130" s="7"/>
      <c r="R130" s="7"/>
      <c r="S130" s="7"/>
      <c r="T130" s="7"/>
      <c r="U130" s="7"/>
      <c r="V130" s="7"/>
      <c r="W130" s="7"/>
      <c r="X130" s="7"/>
      <c r="Y130" s="7"/>
      <c r="Z130" s="7">
        <v>0</v>
      </c>
      <c r="AA130" s="7">
        <v>0</v>
      </c>
      <c r="AB130" s="7">
        <v>0</v>
      </c>
      <c r="AC130" s="7">
        <v>0</v>
      </c>
      <c r="AD130" s="22">
        <v>0</v>
      </c>
      <c r="AE130" s="22">
        <v>0</v>
      </c>
      <c r="AF130" s="22">
        <v>0</v>
      </c>
      <c r="AG130" s="22">
        <v>0</v>
      </c>
      <c r="AH130" s="22">
        <v>0</v>
      </c>
      <c r="AI130" s="22">
        <v>0</v>
      </c>
      <c r="AJ130" s="22">
        <v>0</v>
      </c>
      <c r="AK130" s="22">
        <v>0</v>
      </c>
      <c r="AL130" s="22">
        <v>0</v>
      </c>
      <c r="AM130" s="7">
        <v>0</v>
      </c>
      <c r="AN130" s="7">
        <v>0</v>
      </c>
      <c r="AO130" s="7">
        <v>40239</v>
      </c>
      <c r="AP130" s="7">
        <v>68655</v>
      </c>
      <c r="AQ130" s="7">
        <v>75565</v>
      </c>
      <c r="AR130" s="7">
        <v>84458</v>
      </c>
      <c r="AS130" s="7">
        <v>94009</v>
      </c>
      <c r="AT130" s="7">
        <v>87473</v>
      </c>
      <c r="AU130" s="7">
        <v>112246</v>
      </c>
      <c r="AV130" s="7">
        <v>104203</v>
      </c>
      <c r="AW130" s="7">
        <v>113626</v>
      </c>
      <c r="AX130" s="7">
        <v>123022</v>
      </c>
      <c r="AY130" s="7">
        <v>101657</v>
      </c>
      <c r="AZ130" s="7">
        <v>96041</v>
      </c>
      <c r="BA130" s="7">
        <v>101170</v>
      </c>
      <c r="BB130" s="7">
        <v>96269</v>
      </c>
    </row>
    <row r="131" spans="1:54" x14ac:dyDescent="0.4">
      <c r="A131" s="35"/>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22"/>
      <c r="AE131" s="22"/>
      <c r="AF131" s="22"/>
      <c r="AG131" s="22"/>
      <c r="AH131" s="22"/>
      <c r="AI131" s="22"/>
      <c r="AJ131" s="22"/>
      <c r="AK131" s="22"/>
      <c r="AL131" s="22"/>
      <c r="AX131" s="22"/>
      <c r="AY131" s="22"/>
      <c r="AZ131" s="22"/>
      <c r="BA131" s="22"/>
      <c r="BB131" s="22"/>
    </row>
    <row r="132" spans="1:54" x14ac:dyDescent="0.4">
      <c r="A132" s="51" t="s">
        <v>29</v>
      </c>
      <c r="B132" s="51"/>
      <c r="C132" s="51"/>
      <c r="D132" s="51"/>
      <c r="E132" s="51"/>
      <c r="F132" s="51"/>
      <c r="G132" s="51"/>
      <c r="H132" s="51"/>
      <c r="I132" s="51"/>
    </row>
    <row r="133" spans="1:54" x14ac:dyDescent="0.4">
      <c r="A133" s="49"/>
      <c r="B133" s="49"/>
      <c r="C133" s="49"/>
      <c r="D133" s="49"/>
      <c r="E133" s="49"/>
      <c r="F133" s="49"/>
      <c r="G133" s="49"/>
      <c r="H133" s="49"/>
      <c r="I133" s="49"/>
    </row>
    <row r="134" spans="1:54" x14ac:dyDescent="0.4">
      <c r="A134" s="8" t="s">
        <v>9</v>
      </c>
      <c r="B134" s="36"/>
      <c r="C134" s="36"/>
      <c r="D134" s="36"/>
    </row>
    <row r="135" spans="1:54" x14ac:dyDescent="0.4">
      <c r="A135" s="8"/>
      <c r="B135" s="36"/>
      <c r="C135" s="36"/>
      <c r="D135" s="36"/>
    </row>
    <row r="136" spans="1:54" x14ac:dyDescent="0.4">
      <c r="A136" s="8" t="s">
        <v>10</v>
      </c>
      <c r="B136" s="36"/>
      <c r="C136" s="36"/>
      <c r="D136" s="36"/>
      <c r="E136" s="36"/>
      <c r="L136" s="26" t="s">
        <v>22</v>
      </c>
      <c r="AM136" s="37"/>
      <c r="AN136" s="37"/>
      <c r="AO136" s="37"/>
      <c r="AP136" s="37"/>
      <c r="AQ136" s="37"/>
      <c r="AR136" s="37"/>
      <c r="AS136" s="37"/>
      <c r="AT136" s="37"/>
      <c r="AU136" s="37"/>
      <c r="AV136" s="37"/>
      <c r="AW136" s="37"/>
      <c r="AX136" s="37"/>
      <c r="AY136" s="37"/>
      <c r="AZ136" s="37"/>
      <c r="BA136" s="37"/>
      <c r="BB136" s="37"/>
    </row>
    <row r="137" spans="1:54" s="37" customFormat="1" ht="18.75" customHeight="1" x14ac:dyDescent="0.4">
      <c r="A137" s="51" t="s">
        <v>36</v>
      </c>
      <c r="B137" s="51"/>
      <c r="C137" s="51"/>
      <c r="D137" s="51"/>
      <c r="E137" s="51"/>
      <c r="F137" s="51"/>
      <c r="G137" s="51"/>
      <c r="H137" s="51"/>
      <c r="I137" s="51"/>
      <c r="L137" s="38"/>
    </row>
    <row r="138" spans="1:54" s="37" customFormat="1" ht="37.5" customHeight="1" x14ac:dyDescent="0.4">
      <c r="A138" s="51" t="s">
        <v>23</v>
      </c>
      <c r="B138" s="51"/>
      <c r="C138" s="51"/>
      <c r="D138" s="51"/>
      <c r="E138" s="51"/>
      <c r="F138" s="51"/>
      <c r="G138" s="51"/>
      <c r="H138" s="51"/>
      <c r="I138" s="51"/>
      <c r="L138" s="38"/>
      <c r="AM138" s="40"/>
      <c r="AN138" s="40"/>
    </row>
    <row r="139" spans="1:54" s="40" customFormat="1" ht="18" customHeight="1" x14ac:dyDescent="0.4">
      <c r="A139" s="51" t="s">
        <v>15</v>
      </c>
      <c r="B139" s="51"/>
      <c r="C139" s="51"/>
      <c r="D139" s="51"/>
      <c r="E139" s="39"/>
      <c r="L139" s="26"/>
      <c r="AM139" s="24"/>
      <c r="AN139" s="24"/>
    </row>
    <row r="140" spans="1:54" x14ac:dyDescent="0.4">
      <c r="A140" s="52" t="s">
        <v>26</v>
      </c>
      <c r="B140" s="52"/>
      <c r="C140" s="52"/>
      <c r="D140" s="52"/>
      <c r="E140" s="36"/>
    </row>
    <row r="141" spans="1:54" x14ac:dyDescent="0.4">
      <c r="A141" s="51" t="s">
        <v>12</v>
      </c>
      <c r="B141" s="51"/>
      <c r="C141" s="51"/>
      <c r="D141" s="51"/>
      <c r="E141" s="41"/>
      <c r="F141" s="41"/>
    </row>
    <row r="142" spans="1:54" ht="36" x14ac:dyDescent="0.4">
      <c r="A142" s="48" t="s">
        <v>25</v>
      </c>
      <c r="B142" s="42"/>
      <c r="C142" s="42"/>
      <c r="D142" s="42"/>
      <c r="E142" s="41"/>
      <c r="F142" s="41"/>
    </row>
    <row r="143" spans="1:54" x14ac:dyDescent="0.4">
      <c r="A143" s="43"/>
      <c r="B143" s="41"/>
      <c r="C143" s="41"/>
      <c r="D143" s="41"/>
      <c r="E143" s="41"/>
      <c r="F143" s="41"/>
    </row>
    <row r="144" spans="1:54" x14ac:dyDescent="0.4">
      <c r="A144" s="43"/>
      <c r="B144" s="41"/>
      <c r="C144" s="41"/>
      <c r="D144" s="41"/>
      <c r="E144" s="41"/>
      <c r="F144" s="41"/>
    </row>
  </sheetData>
  <mergeCells count="6">
    <mergeCell ref="A132:I132"/>
    <mergeCell ref="A139:D139"/>
    <mergeCell ref="A141:D141"/>
    <mergeCell ref="A138:I138"/>
    <mergeCell ref="A137:I137"/>
    <mergeCell ref="A140:D140"/>
  </mergeCells>
  <pageMargins left="0.25" right="0.25" top="0.75" bottom="0.75" header="0.3" footer="0.3"/>
  <pageSetup paperSize="9" scale="5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J169"/>
  <sheetViews>
    <sheetView tabSelected="1" zoomScale="70" zoomScaleNormal="70" zoomScaleSheetLayoutView="90" workbookViewId="0">
      <pane xSplit="1" ySplit="5" topLeftCell="EK114" activePane="bottomRight" state="frozen"/>
      <selection activeCell="A44" sqref="A44"/>
      <selection pane="topRight" activeCell="A44" sqref="A44"/>
      <selection pane="bottomLeft" activeCell="A44" sqref="A44"/>
      <selection pane="bottomRight" activeCell="ET3" sqref="ET3:ET4"/>
    </sheetView>
  </sheetViews>
  <sheetFormatPr defaultColWidth="9.1796875" defaultRowHeight="18" x14ac:dyDescent="0.4"/>
  <cols>
    <col min="1" max="1" width="91.54296875" style="24" customWidth="1"/>
    <col min="2" max="17" width="18.26953125" style="24" bestFit="1" customWidth="1"/>
    <col min="18" max="18" width="18.26953125" style="24" customWidth="1"/>
    <col min="19" max="113" width="18.26953125" style="24" bestFit="1" customWidth="1"/>
    <col min="114" max="166" width="17.54296875" style="24" customWidth="1"/>
    <col min="167" max="16384" width="9.1796875" style="24"/>
  </cols>
  <sheetData>
    <row r="1" spans="1:166" x14ac:dyDescent="0.4">
      <c r="F1" s="29"/>
      <c r="H1" s="29"/>
    </row>
    <row r="2" spans="1:166" x14ac:dyDescent="0.4">
      <c r="A2" s="30" t="s">
        <v>20</v>
      </c>
      <c r="EL2" s="36">
        <f>EL125-'Month (market value)'!EK125</f>
        <v>34396</v>
      </c>
      <c r="EN2" s="36">
        <f>EN125-'Month (market value)'!EM125</f>
        <v>32840</v>
      </c>
      <c r="EP2" s="36">
        <f>EP125-'Month (market value)'!EO125</f>
        <v>-17434</v>
      </c>
      <c r="ER2" s="36">
        <f>ER125-'Month (market value)'!EQ125</f>
        <v>51370</v>
      </c>
      <c r="ET2" s="36">
        <f>ET125-'Month (market value)'!ES125</f>
        <v>-8605</v>
      </c>
      <c r="EU2" s="36"/>
      <c r="EV2" s="36">
        <f>EV125-'Month (market value)'!EU125</f>
        <v>-72927</v>
      </c>
      <c r="EW2" s="36"/>
      <c r="EX2" s="36"/>
      <c r="EY2" s="36"/>
      <c r="EZ2" s="36"/>
      <c r="FA2" s="36"/>
      <c r="FB2" s="36"/>
      <c r="FC2" s="36"/>
      <c r="FD2" s="36"/>
      <c r="FE2" s="36"/>
      <c r="FF2" s="36"/>
      <c r="FG2" s="36"/>
      <c r="FH2" s="36"/>
      <c r="FI2" s="36"/>
      <c r="FJ2" s="36"/>
    </row>
    <row r="3" spans="1:166" x14ac:dyDescent="0.4">
      <c r="A3" s="24" t="s">
        <v>0</v>
      </c>
      <c r="EL3" s="1">
        <f>3000*12</f>
        <v>36000</v>
      </c>
      <c r="EN3" s="1">
        <f>2750*12</f>
        <v>33000</v>
      </c>
      <c r="EP3" s="1">
        <f>2000*13</f>
        <v>26000</v>
      </c>
      <c r="ER3" s="1">
        <f>1250*13</f>
        <v>16250</v>
      </c>
      <c r="ET3" s="1">
        <f>1000*15</f>
        <v>15000</v>
      </c>
    </row>
    <row r="4" spans="1:166" x14ac:dyDescent="0.4">
      <c r="A4" s="30" t="s">
        <v>1</v>
      </c>
      <c r="EL4" s="55" t="s">
        <v>38</v>
      </c>
      <c r="EN4" s="55" t="s">
        <v>39</v>
      </c>
      <c r="EP4" s="55" t="s">
        <v>40</v>
      </c>
      <c r="ER4" s="55" t="s">
        <v>41</v>
      </c>
      <c r="ET4" s="55" t="s">
        <v>42</v>
      </c>
    </row>
    <row r="5" spans="1:166" x14ac:dyDescent="0.4">
      <c r="A5" s="44"/>
      <c r="B5" s="5">
        <v>41275</v>
      </c>
      <c r="C5" s="5">
        <v>41306</v>
      </c>
      <c r="D5" s="5">
        <v>41334</v>
      </c>
      <c r="E5" s="5">
        <v>41365</v>
      </c>
      <c r="F5" s="5">
        <v>41395</v>
      </c>
      <c r="G5" s="5">
        <v>41426</v>
      </c>
      <c r="H5" s="5">
        <v>41456</v>
      </c>
      <c r="I5" s="5">
        <v>41487</v>
      </c>
      <c r="J5" s="5">
        <v>41518</v>
      </c>
      <c r="K5" s="5">
        <v>41548</v>
      </c>
      <c r="L5" s="5">
        <v>41579</v>
      </c>
      <c r="M5" s="5">
        <v>41609</v>
      </c>
      <c r="N5" s="5">
        <v>41640</v>
      </c>
      <c r="O5" s="5">
        <v>41671</v>
      </c>
      <c r="P5" s="5">
        <v>41699</v>
      </c>
      <c r="Q5" s="5">
        <v>41730</v>
      </c>
      <c r="R5" s="5">
        <v>41760</v>
      </c>
      <c r="S5" s="5">
        <v>41791</v>
      </c>
      <c r="T5" s="5">
        <v>41821</v>
      </c>
      <c r="U5" s="5">
        <v>41852</v>
      </c>
      <c r="V5" s="5">
        <v>41883</v>
      </c>
      <c r="W5" s="5">
        <v>41913</v>
      </c>
      <c r="X5" s="5">
        <v>41944</v>
      </c>
      <c r="Y5" s="5">
        <v>41974</v>
      </c>
      <c r="Z5" s="5">
        <v>42005</v>
      </c>
      <c r="AA5" s="5">
        <v>42036</v>
      </c>
      <c r="AB5" s="5">
        <v>42064</v>
      </c>
      <c r="AC5" s="5">
        <v>42095</v>
      </c>
      <c r="AD5" s="5">
        <v>42125</v>
      </c>
      <c r="AE5" s="5">
        <v>42156</v>
      </c>
      <c r="AF5" s="5">
        <v>42186</v>
      </c>
      <c r="AG5" s="5">
        <v>42217</v>
      </c>
      <c r="AH5" s="5">
        <v>42248</v>
      </c>
      <c r="AI5" s="5">
        <v>42278</v>
      </c>
      <c r="AJ5" s="5">
        <v>42309</v>
      </c>
      <c r="AK5" s="5">
        <v>42339</v>
      </c>
      <c r="AL5" s="5">
        <v>42370</v>
      </c>
      <c r="AM5" s="5">
        <v>42401</v>
      </c>
      <c r="AN5" s="5">
        <v>42430</v>
      </c>
      <c r="AO5" s="5">
        <v>42461</v>
      </c>
      <c r="AP5" s="5">
        <v>42491</v>
      </c>
      <c r="AQ5" s="5">
        <v>42522</v>
      </c>
      <c r="AR5" s="5">
        <v>42552</v>
      </c>
      <c r="AS5" s="5">
        <v>42583</v>
      </c>
      <c r="AT5" s="5">
        <v>42614</v>
      </c>
      <c r="AU5" s="5">
        <v>42644</v>
      </c>
      <c r="AV5" s="5">
        <v>42675</v>
      </c>
      <c r="AW5" s="5">
        <v>42705</v>
      </c>
      <c r="AX5" s="5">
        <v>42736</v>
      </c>
      <c r="AY5" s="5">
        <v>42767</v>
      </c>
      <c r="AZ5" s="5">
        <v>42795</v>
      </c>
      <c r="BA5" s="5">
        <v>42826</v>
      </c>
      <c r="BB5" s="5">
        <v>42856</v>
      </c>
      <c r="BC5" s="5">
        <v>42887</v>
      </c>
      <c r="BD5" s="5">
        <v>42917</v>
      </c>
      <c r="BE5" s="5">
        <v>42948</v>
      </c>
      <c r="BF5" s="5">
        <v>42979</v>
      </c>
      <c r="BG5" s="5">
        <v>43009</v>
      </c>
      <c r="BH5" s="5">
        <v>43040</v>
      </c>
      <c r="BI5" s="5">
        <v>43070</v>
      </c>
      <c r="BJ5" s="5">
        <v>43101</v>
      </c>
      <c r="BK5" s="5">
        <v>43132</v>
      </c>
      <c r="BL5" s="5">
        <v>43160</v>
      </c>
      <c r="BM5" s="5">
        <v>43191</v>
      </c>
      <c r="BN5" s="5">
        <v>43221</v>
      </c>
      <c r="BO5" s="5">
        <v>43252</v>
      </c>
      <c r="BP5" s="5">
        <v>43282</v>
      </c>
      <c r="BQ5" s="5">
        <v>43313</v>
      </c>
      <c r="BR5" s="5">
        <v>43344</v>
      </c>
      <c r="BS5" s="5">
        <v>43374</v>
      </c>
      <c r="BT5" s="5">
        <v>43405</v>
      </c>
      <c r="BU5" s="5">
        <v>43435</v>
      </c>
      <c r="BV5" s="5" t="s">
        <v>28</v>
      </c>
      <c r="BW5" s="5">
        <v>43497</v>
      </c>
      <c r="BX5" s="5">
        <v>43525</v>
      </c>
      <c r="BY5" s="5">
        <v>43556</v>
      </c>
      <c r="BZ5" s="5">
        <v>43586</v>
      </c>
      <c r="CA5" s="5">
        <v>43617</v>
      </c>
      <c r="CB5" s="5">
        <v>43647</v>
      </c>
      <c r="CC5" s="5">
        <v>43678</v>
      </c>
      <c r="CD5" s="5">
        <v>43709</v>
      </c>
      <c r="CE5" s="5">
        <v>43739</v>
      </c>
      <c r="CF5" s="5">
        <v>43770</v>
      </c>
      <c r="CG5" s="5">
        <v>43800</v>
      </c>
      <c r="CH5" s="5">
        <v>43831</v>
      </c>
      <c r="CI5" s="5">
        <v>43862</v>
      </c>
      <c r="CJ5" s="5">
        <v>43891</v>
      </c>
      <c r="CK5" s="5">
        <v>43922</v>
      </c>
      <c r="CL5" s="5">
        <v>43952</v>
      </c>
      <c r="CM5" s="5">
        <v>43983</v>
      </c>
      <c r="CN5" s="5">
        <v>44013</v>
      </c>
      <c r="CO5" s="5">
        <v>44044</v>
      </c>
      <c r="CP5" s="5">
        <v>44075</v>
      </c>
      <c r="CQ5" s="5">
        <v>44105</v>
      </c>
      <c r="CR5" s="5">
        <v>44136</v>
      </c>
      <c r="CS5" s="5">
        <v>44166</v>
      </c>
      <c r="CT5" s="5">
        <v>44197</v>
      </c>
      <c r="CU5" s="5">
        <v>44228</v>
      </c>
      <c r="CV5" s="5">
        <v>44256</v>
      </c>
      <c r="CW5" s="5">
        <v>44287</v>
      </c>
      <c r="CX5" s="5">
        <v>44317</v>
      </c>
      <c r="CY5" s="5">
        <v>44348</v>
      </c>
      <c r="CZ5" s="5">
        <v>44378</v>
      </c>
      <c r="DA5" s="5">
        <v>44409</v>
      </c>
      <c r="DB5" s="5">
        <v>44440</v>
      </c>
      <c r="DC5" s="5">
        <v>44470</v>
      </c>
      <c r="DD5" s="5">
        <v>44501</v>
      </c>
      <c r="DE5" s="5">
        <v>44531</v>
      </c>
      <c r="DF5" s="5">
        <v>44562</v>
      </c>
      <c r="DG5" s="5">
        <v>44593</v>
      </c>
      <c r="DH5" s="5">
        <v>44621</v>
      </c>
      <c r="DI5" s="5">
        <v>44652</v>
      </c>
      <c r="DJ5" s="5">
        <v>44682</v>
      </c>
      <c r="DK5" s="5">
        <v>44713</v>
      </c>
      <c r="DL5" s="5">
        <v>44743</v>
      </c>
      <c r="DM5" s="5">
        <v>44774</v>
      </c>
      <c r="DN5" s="5">
        <v>44805</v>
      </c>
      <c r="DO5" s="5">
        <v>44835</v>
      </c>
      <c r="DP5" s="5">
        <v>44866</v>
      </c>
      <c r="DQ5" s="5">
        <v>44896</v>
      </c>
      <c r="DR5" s="5">
        <v>44927</v>
      </c>
      <c r="DS5" s="5">
        <v>44958</v>
      </c>
      <c r="DT5" s="5">
        <v>44986</v>
      </c>
      <c r="DU5" s="5">
        <v>45017</v>
      </c>
      <c r="DV5" s="5">
        <v>45047</v>
      </c>
      <c r="DW5" s="5">
        <v>45078</v>
      </c>
      <c r="DX5" s="5">
        <v>45108</v>
      </c>
      <c r="DY5" s="5">
        <v>45139</v>
      </c>
      <c r="DZ5" s="5">
        <v>45170</v>
      </c>
      <c r="EA5" s="5">
        <v>45200</v>
      </c>
      <c r="EB5" s="5">
        <v>45231</v>
      </c>
      <c r="EC5" s="5">
        <v>45261</v>
      </c>
      <c r="ED5" s="5">
        <v>45292</v>
      </c>
      <c r="EE5" s="5">
        <v>45323</v>
      </c>
      <c r="EF5" s="5">
        <v>45352</v>
      </c>
      <c r="EG5" s="5">
        <v>45383</v>
      </c>
      <c r="EH5" s="5">
        <v>45413</v>
      </c>
      <c r="EI5" s="5">
        <v>45444</v>
      </c>
      <c r="EJ5" s="5"/>
      <c r="EK5" s="5">
        <v>45474</v>
      </c>
      <c r="EL5" s="5"/>
      <c r="EM5" s="5">
        <v>45505</v>
      </c>
      <c r="EN5" s="5"/>
      <c r="EO5" s="5">
        <v>45536</v>
      </c>
      <c r="EP5" s="5"/>
      <c r="EQ5" s="5">
        <v>45566</v>
      </c>
      <c r="ER5" s="5"/>
      <c r="ES5" s="5">
        <v>45597</v>
      </c>
      <c r="ET5" s="5"/>
      <c r="EU5" s="5">
        <v>45627</v>
      </c>
      <c r="EV5" s="5"/>
      <c r="EW5" s="5">
        <v>45658</v>
      </c>
      <c r="EX5" s="5">
        <v>45689</v>
      </c>
      <c r="EY5" s="5">
        <v>45717</v>
      </c>
      <c r="EZ5" s="5">
        <v>45748</v>
      </c>
      <c r="FA5" s="5">
        <v>45778</v>
      </c>
      <c r="FB5" s="5">
        <v>45809</v>
      </c>
      <c r="FC5" s="5">
        <v>45839</v>
      </c>
      <c r="FD5" s="5">
        <v>45870</v>
      </c>
      <c r="FE5" s="5">
        <v>45901</v>
      </c>
      <c r="FF5" s="5">
        <v>45931</v>
      </c>
      <c r="FG5" s="5">
        <v>45962</v>
      </c>
      <c r="FH5" s="5">
        <v>45992</v>
      </c>
      <c r="FI5" s="5">
        <v>46023</v>
      </c>
      <c r="FJ5" s="5">
        <v>46054</v>
      </c>
    </row>
    <row r="6" spans="1:166" x14ac:dyDescent="0.4">
      <c r="A6" s="31" t="s">
        <v>18</v>
      </c>
      <c r="CK6" s="26"/>
      <c r="CL6" s="26"/>
      <c r="CM6" s="26"/>
      <c r="CN6" s="26"/>
      <c r="CO6" s="26"/>
      <c r="CP6" s="26"/>
      <c r="CQ6" s="26"/>
      <c r="CR6" s="26"/>
      <c r="CS6" s="26"/>
      <c r="CT6" s="26"/>
      <c r="CU6" s="26"/>
      <c r="CV6" s="26"/>
      <c r="CW6" s="26"/>
      <c r="CX6" s="26"/>
      <c r="CY6" s="26"/>
      <c r="CZ6" s="26"/>
      <c r="DA6" s="26"/>
      <c r="DB6" s="26"/>
    </row>
    <row r="7" spans="1:166" x14ac:dyDescent="0.4">
      <c r="A7" s="32" t="s">
        <v>2</v>
      </c>
      <c r="B7" s="22">
        <v>8516504</v>
      </c>
      <c r="C7" s="22">
        <v>8394063</v>
      </c>
      <c r="D7" s="22">
        <v>8520762</v>
      </c>
      <c r="E7" s="22">
        <v>8613445</v>
      </c>
      <c r="F7" s="22">
        <v>8772740</v>
      </c>
      <c r="G7" s="22">
        <v>8808909</v>
      </c>
      <c r="H7" s="22">
        <v>8913700</v>
      </c>
      <c r="I7" s="22">
        <v>8998623</v>
      </c>
      <c r="J7" s="22">
        <v>9096183</v>
      </c>
      <c r="K7" s="22">
        <v>9286909</v>
      </c>
      <c r="L7" s="22">
        <v>9529247</v>
      </c>
      <c r="M7" s="22">
        <v>9709743</v>
      </c>
      <c r="N7" s="22">
        <v>9779946</v>
      </c>
      <c r="O7" s="22">
        <v>9979647</v>
      </c>
      <c r="P7" s="22">
        <v>10062892</v>
      </c>
      <c r="Q7" s="22">
        <v>9955872</v>
      </c>
      <c r="R7" s="22">
        <v>9946395</v>
      </c>
      <c r="S7" s="22">
        <v>9993195</v>
      </c>
      <c r="T7" s="22">
        <v>10060011</v>
      </c>
      <c r="U7" s="22">
        <v>10282437</v>
      </c>
      <c r="V7" s="22">
        <v>10220938</v>
      </c>
      <c r="W7" s="22">
        <v>10296614</v>
      </c>
      <c r="X7" s="22">
        <v>10462618</v>
      </c>
      <c r="Y7" s="22">
        <v>10352206</v>
      </c>
      <c r="Z7" s="22">
        <v>12237465</v>
      </c>
      <c r="AA7" s="22">
        <v>12720721</v>
      </c>
      <c r="AB7" s="22">
        <v>12709787</v>
      </c>
      <c r="AC7" s="22">
        <v>12555631</v>
      </c>
      <c r="AD7" s="22">
        <v>12697248</v>
      </c>
      <c r="AE7" s="22">
        <v>12898492</v>
      </c>
      <c r="AF7" s="22">
        <v>12883426</v>
      </c>
      <c r="AG7" s="22">
        <v>13212770</v>
      </c>
      <c r="AH7" s="22">
        <v>13029085</v>
      </c>
      <c r="AI7" s="22">
        <v>13064426</v>
      </c>
      <c r="AJ7" s="22">
        <v>13258483</v>
      </c>
      <c r="AK7" s="22">
        <v>13383043</v>
      </c>
      <c r="AL7" s="22">
        <v>13600298</v>
      </c>
      <c r="AM7" s="22">
        <v>13591577</v>
      </c>
      <c r="AN7" s="22">
        <v>13475771</v>
      </c>
      <c r="AO7" s="22">
        <v>13669956</v>
      </c>
      <c r="AP7" s="22">
        <v>14059267</v>
      </c>
      <c r="AQ7" s="22">
        <v>14137996</v>
      </c>
      <c r="AR7" s="22">
        <v>14264113</v>
      </c>
      <c r="AS7" s="22">
        <v>14379269</v>
      </c>
      <c r="AT7" s="22">
        <v>14326499</v>
      </c>
      <c r="AU7" s="22">
        <v>14479652</v>
      </c>
      <c r="AV7" s="22">
        <v>14587678</v>
      </c>
      <c r="AW7" s="22">
        <v>14801976</v>
      </c>
      <c r="AX7" s="22">
        <v>15616388</v>
      </c>
      <c r="AY7" s="22">
        <v>15790950</v>
      </c>
      <c r="AZ7" s="22">
        <v>15950824</v>
      </c>
      <c r="BA7" s="22">
        <v>16197232</v>
      </c>
      <c r="BB7" s="22">
        <v>16297946</v>
      </c>
      <c r="BC7" s="22">
        <v>16737307</v>
      </c>
      <c r="BD7" s="22">
        <v>16941460</v>
      </c>
      <c r="BE7" s="22">
        <v>17318481</v>
      </c>
      <c r="BF7" s="22">
        <v>17731185</v>
      </c>
      <c r="BG7" s="22">
        <v>17847276</v>
      </c>
      <c r="BH7" s="22">
        <v>18344153</v>
      </c>
      <c r="BI7" s="22">
        <v>18452453</v>
      </c>
      <c r="BJ7" s="22">
        <v>19144405</v>
      </c>
      <c r="BK7" s="22">
        <v>19333072</v>
      </c>
      <c r="BL7" s="22">
        <v>19819833</v>
      </c>
      <c r="BM7" s="22">
        <v>20235101</v>
      </c>
      <c r="BN7" s="22">
        <v>20261759</v>
      </c>
      <c r="BO7" s="22">
        <v>20578482</v>
      </c>
      <c r="BP7" s="22">
        <v>20465232</v>
      </c>
      <c r="BQ7" s="22">
        <v>21013438</v>
      </c>
      <c r="BR7" s="22">
        <v>21050816</v>
      </c>
      <c r="BS7" s="22">
        <v>20991227</v>
      </c>
      <c r="BT7" s="22">
        <v>21015398</v>
      </c>
      <c r="BU7" s="22">
        <v>21317025</v>
      </c>
      <c r="BV7" s="22">
        <v>21227588</v>
      </c>
      <c r="BW7" s="22">
        <v>21504765</v>
      </c>
      <c r="BX7" s="22">
        <v>21629561</v>
      </c>
      <c r="BY7" s="22">
        <v>21908808</v>
      </c>
      <c r="BZ7" s="22">
        <v>22583291</v>
      </c>
      <c r="CA7" s="22">
        <v>22911681</v>
      </c>
      <c r="CB7" s="22">
        <v>23182889</v>
      </c>
      <c r="CC7" s="22">
        <v>23487811</v>
      </c>
      <c r="CD7" s="22">
        <v>23239118</v>
      </c>
      <c r="CE7" s="22">
        <v>22978950</v>
      </c>
      <c r="CF7" s="22">
        <v>23671204</v>
      </c>
      <c r="CG7" s="22">
        <v>24283955</v>
      </c>
      <c r="CH7" s="22">
        <v>25070699</v>
      </c>
      <c r="CI7" s="22">
        <v>25137964</v>
      </c>
      <c r="CJ7" s="22">
        <v>25854835</v>
      </c>
      <c r="CK7" s="25">
        <v>25633288</v>
      </c>
      <c r="CL7" s="25">
        <v>25915972</v>
      </c>
      <c r="CM7" s="25">
        <v>25669640</v>
      </c>
      <c r="CN7" s="25">
        <v>25715007</v>
      </c>
      <c r="CO7" s="25">
        <v>26218073</v>
      </c>
      <c r="CP7" s="25">
        <v>26646547</v>
      </c>
      <c r="CQ7" s="25">
        <v>27474233</v>
      </c>
      <c r="CR7" s="25">
        <v>28935825</v>
      </c>
      <c r="CS7" s="25">
        <v>30816462</v>
      </c>
      <c r="CT7" s="25">
        <v>31557716</v>
      </c>
      <c r="CU7" s="25">
        <v>31117583</v>
      </c>
      <c r="CV7" s="25">
        <v>31357693</v>
      </c>
      <c r="CW7" s="25">
        <v>32049396</v>
      </c>
      <c r="CX7" s="25">
        <v>32449404</v>
      </c>
      <c r="CY7" s="25">
        <v>32759502</v>
      </c>
      <c r="CZ7" s="25">
        <v>32805309</v>
      </c>
      <c r="DA7" s="25">
        <v>33188027</v>
      </c>
      <c r="DB7" s="25">
        <v>33509501</v>
      </c>
      <c r="DC7" s="25">
        <v>33891217</v>
      </c>
      <c r="DD7" s="25">
        <v>34008227</v>
      </c>
      <c r="DE7" s="25">
        <v>34016370</v>
      </c>
      <c r="DF7" s="25">
        <v>33895352</v>
      </c>
      <c r="DG7" s="25">
        <v>33906453</v>
      </c>
      <c r="DH7" s="25">
        <v>33939639</v>
      </c>
      <c r="DI7" s="25">
        <v>33712879</v>
      </c>
      <c r="DJ7" s="25">
        <v>33314475</v>
      </c>
      <c r="DK7" s="25">
        <v>33394038</v>
      </c>
      <c r="DL7" s="25">
        <v>33186753</v>
      </c>
      <c r="DM7" s="25">
        <v>33004490</v>
      </c>
      <c r="DN7" s="25">
        <v>33386060</v>
      </c>
      <c r="DO7" s="25">
        <v>33644123</v>
      </c>
      <c r="DP7" s="25">
        <v>34276564</v>
      </c>
      <c r="DQ7" s="25">
        <v>35699230</v>
      </c>
      <c r="DR7" s="25">
        <v>38196529</v>
      </c>
      <c r="DS7" s="25">
        <v>38362718</v>
      </c>
      <c r="DT7" s="25">
        <v>39031021</v>
      </c>
      <c r="DU7" s="25">
        <v>39686752</v>
      </c>
      <c r="DV7" s="25">
        <v>40416690</v>
      </c>
      <c r="DW7" s="25">
        <v>40699497</v>
      </c>
      <c r="DX7" s="25">
        <v>41532038</v>
      </c>
      <c r="DY7" s="25">
        <v>42488617</v>
      </c>
      <c r="DZ7" s="25">
        <v>42948067</v>
      </c>
      <c r="EA7" s="25">
        <v>43293476</v>
      </c>
      <c r="EB7" s="25">
        <v>43266614</v>
      </c>
      <c r="EC7" s="25">
        <v>43504703</v>
      </c>
      <c r="ED7" s="25">
        <v>45350008</v>
      </c>
      <c r="EE7" s="25">
        <v>45602421</v>
      </c>
      <c r="EF7" s="25">
        <v>46062237</v>
      </c>
      <c r="EG7" s="25">
        <v>46859535</v>
      </c>
      <c r="EH7" s="25">
        <v>46866370</v>
      </c>
      <c r="EI7" s="25">
        <v>47237090</v>
      </c>
      <c r="EJ7" s="25">
        <f>EK7-EI7</f>
        <v>248779</v>
      </c>
      <c r="EK7" s="25">
        <v>47485869</v>
      </c>
      <c r="EL7" s="25">
        <f>EM7-EK7</f>
        <v>139110</v>
      </c>
      <c r="EM7" s="25">
        <v>47624979</v>
      </c>
      <c r="EN7" s="25">
        <f>EO7-EM7</f>
        <v>1014599</v>
      </c>
      <c r="EO7" s="25">
        <v>48639578</v>
      </c>
      <c r="EP7" s="25">
        <f>EQ7-EO7</f>
        <v>1094825</v>
      </c>
      <c r="EQ7" s="25">
        <v>49734403</v>
      </c>
      <c r="ER7" s="25">
        <f>ES7-EQ7</f>
        <v>400112</v>
      </c>
      <c r="ES7" s="25">
        <v>50134515</v>
      </c>
      <c r="ET7" s="25">
        <f>EU7-ES7</f>
        <v>1106463</v>
      </c>
      <c r="EU7" s="25">
        <v>51240978</v>
      </c>
      <c r="EV7" s="25">
        <f>EW7-EU7</f>
        <v>5713648</v>
      </c>
      <c r="EW7" s="25">
        <v>56954626</v>
      </c>
      <c r="EX7" s="25">
        <v>56922877</v>
      </c>
      <c r="EY7" s="25">
        <v>57180927</v>
      </c>
      <c r="EZ7" s="25">
        <v>57945806</v>
      </c>
      <c r="FA7" s="25">
        <v>59046726</v>
      </c>
      <c r="FB7" s="25">
        <v>59629599</v>
      </c>
      <c r="FC7" s="25">
        <v>60519471</v>
      </c>
      <c r="FD7" s="25">
        <v>61816617</v>
      </c>
      <c r="FE7" s="25">
        <v>62912239</v>
      </c>
      <c r="FF7" s="25">
        <v>63791443</v>
      </c>
      <c r="FG7" s="25">
        <v>64843154</v>
      </c>
      <c r="FH7" s="25">
        <v>66485081</v>
      </c>
      <c r="FI7" s="25">
        <v>68005551</v>
      </c>
      <c r="FJ7" s="25">
        <v>67933097</v>
      </c>
    </row>
    <row r="8" spans="1:166" x14ac:dyDescent="0.4">
      <c r="A8" s="33" t="s">
        <v>13</v>
      </c>
      <c r="B8" s="22">
        <v>13000</v>
      </c>
      <c r="C8" s="22">
        <v>13000</v>
      </c>
      <c r="D8" s="22">
        <v>15000</v>
      </c>
      <c r="E8" s="22">
        <v>15000</v>
      </c>
      <c r="F8" s="22">
        <v>15000</v>
      </c>
      <c r="G8" s="22">
        <v>15000</v>
      </c>
      <c r="H8" s="22">
        <v>15000</v>
      </c>
      <c r="I8" s="22">
        <v>15000</v>
      </c>
      <c r="J8" s="22">
        <v>15000</v>
      </c>
      <c r="K8" s="22">
        <v>15000</v>
      </c>
      <c r="L8" s="22">
        <v>2000</v>
      </c>
      <c r="M8" s="22">
        <v>2000</v>
      </c>
      <c r="N8" s="22">
        <v>2000</v>
      </c>
      <c r="O8" s="22">
        <v>0</v>
      </c>
      <c r="P8" s="22">
        <v>0</v>
      </c>
      <c r="Q8" s="22">
        <v>873</v>
      </c>
      <c r="R8" s="22">
        <v>873</v>
      </c>
      <c r="S8" s="22">
        <v>15873</v>
      </c>
      <c r="T8" s="22">
        <v>15873</v>
      </c>
      <c r="U8" s="22">
        <v>15873</v>
      </c>
      <c r="V8" s="22">
        <v>15873</v>
      </c>
      <c r="W8" s="22">
        <v>15873</v>
      </c>
      <c r="X8" s="22">
        <v>30873</v>
      </c>
      <c r="Y8" s="22">
        <v>30873</v>
      </c>
      <c r="Z8" s="22">
        <v>0</v>
      </c>
      <c r="AA8" s="22">
        <v>0</v>
      </c>
      <c r="AB8" s="22">
        <v>0</v>
      </c>
      <c r="AC8" s="22">
        <v>0</v>
      </c>
      <c r="AD8" s="22">
        <v>0</v>
      </c>
      <c r="AE8" s="22">
        <v>0</v>
      </c>
      <c r="AF8" s="22">
        <v>0</v>
      </c>
      <c r="AG8" s="22">
        <v>0</v>
      </c>
      <c r="AH8" s="22">
        <v>0</v>
      </c>
      <c r="AI8" s="22">
        <v>0</v>
      </c>
      <c r="AJ8" s="22">
        <v>0</v>
      </c>
      <c r="AK8" s="22">
        <v>0</v>
      </c>
      <c r="AL8" s="22">
        <v>0</v>
      </c>
      <c r="AM8" s="22">
        <v>3000</v>
      </c>
      <c r="AN8" s="22">
        <v>3000</v>
      </c>
      <c r="AO8" s="22">
        <v>3000</v>
      </c>
      <c r="AP8" s="22">
        <v>3000</v>
      </c>
      <c r="AQ8" s="22">
        <v>3000</v>
      </c>
      <c r="AR8" s="22">
        <v>3010</v>
      </c>
      <c r="AS8" s="22">
        <v>3010</v>
      </c>
      <c r="AT8" s="22">
        <v>3334</v>
      </c>
      <c r="AU8" s="22">
        <v>3416</v>
      </c>
      <c r="AV8" s="22">
        <v>8317</v>
      </c>
      <c r="AW8" s="22">
        <v>33869</v>
      </c>
      <c r="AX8" s="22">
        <v>4086</v>
      </c>
      <c r="AY8" s="22">
        <v>41162</v>
      </c>
      <c r="AZ8" s="22">
        <v>46406</v>
      </c>
      <c r="BA8" s="22">
        <v>71413</v>
      </c>
      <c r="BB8" s="22">
        <v>20166</v>
      </c>
      <c r="BC8" s="22">
        <v>60366</v>
      </c>
      <c r="BD8" s="22">
        <v>81738</v>
      </c>
      <c r="BE8" s="22">
        <v>54661</v>
      </c>
      <c r="BF8" s="22">
        <v>216553</v>
      </c>
      <c r="BG8" s="22">
        <v>165588</v>
      </c>
      <c r="BH8" s="22">
        <v>381161</v>
      </c>
      <c r="BI8" s="22">
        <v>353133</v>
      </c>
      <c r="BJ8" s="22">
        <v>399890</v>
      </c>
      <c r="BK8" s="22">
        <v>649436</v>
      </c>
      <c r="BL8" s="22">
        <v>869853</v>
      </c>
      <c r="BM8" s="22">
        <v>1225796</v>
      </c>
      <c r="BN8" s="22">
        <v>1139534</v>
      </c>
      <c r="BO8" s="22">
        <v>1377555</v>
      </c>
      <c r="BP8" s="22">
        <v>1196256</v>
      </c>
      <c r="BQ8" s="22">
        <v>1548903</v>
      </c>
      <c r="BR8" s="22">
        <v>1514004</v>
      </c>
      <c r="BS8" s="22">
        <v>1540427</v>
      </c>
      <c r="BT8" s="22">
        <v>1542713</v>
      </c>
      <c r="BU8" s="22">
        <v>1685646</v>
      </c>
      <c r="BV8" s="22">
        <v>1396218</v>
      </c>
      <c r="BW8" s="22">
        <v>1552566</v>
      </c>
      <c r="BX8" s="22">
        <v>1581207</v>
      </c>
      <c r="BY8" s="22">
        <v>1537398</v>
      </c>
      <c r="BZ8" s="22">
        <v>1578063</v>
      </c>
      <c r="CA8" s="22">
        <v>1696418</v>
      </c>
      <c r="CB8" s="22">
        <v>1814693</v>
      </c>
      <c r="CC8" s="22">
        <v>1642160</v>
      </c>
      <c r="CD8" s="22">
        <v>1330307</v>
      </c>
      <c r="CE8" s="22">
        <v>981499</v>
      </c>
      <c r="CF8" s="22">
        <v>1273409</v>
      </c>
      <c r="CG8" s="22">
        <v>1659789</v>
      </c>
      <c r="CH8" s="22">
        <v>2115601</v>
      </c>
      <c r="CI8" s="22">
        <v>2254081</v>
      </c>
      <c r="CJ8" s="22">
        <v>2091353</v>
      </c>
      <c r="CK8" s="25">
        <v>1713463</v>
      </c>
      <c r="CL8" s="25">
        <v>1678696</v>
      </c>
      <c r="CM8" s="25">
        <v>1249139</v>
      </c>
      <c r="CN8" s="25">
        <v>871475</v>
      </c>
      <c r="CO8" s="25">
        <v>869945</v>
      </c>
      <c r="CP8" s="25">
        <v>978923</v>
      </c>
      <c r="CQ8" s="25">
        <v>958202</v>
      </c>
      <c r="CR8" s="25">
        <v>827466</v>
      </c>
      <c r="CS8" s="25">
        <v>723910</v>
      </c>
      <c r="CT8" s="25">
        <v>707112</v>
      </c>
      <c r="CU8" s="25">
        <v>681343</v>
      </c>
      <c r="CV8" s="25">
        <v>669477</v>
      </c>
      <c r="CW8" s="25">
        <v>756482</v>
      </c>
      <c r="CX8" s="25">
        <v>761270</v>
      </c>
      <c r="CY8" s="25">
        <v>772167</v>
      </c>
      <c r="CZ8" s="25">
        <v>723835</v>
      </c>
      <c r="DA8" s="25">
        <v>684598</v>
      </c>
      <c r="DB8" s="25">
        <v>666657</v>
      </c>
      <c r="DC8" s="25">
        <v>691104</v>
      </c>
      <c r="DD8" s="25">
        <v>576184</v>
      </c>
      <c r="DE8" s="25">
        <v>311498</v>
      </c>
      <c r="DF8" s="25">
        <v>154503</v>
      </c>
      <c r="DG8" s="25">
        <v>158785</v>
      </c>
      <c r="DH8" s="25">
        <v>157029</v>
      </c>
      <c r="DI8" s="25">
        <v>147605</v>
      </c>
      <c r="DJ8" s="25">
        <v>142873</v>
      </c>
      <c r="DK8" s="25">
        <v>148413</v>
      </c>
      <c r="DL8" s="25">
        <v>139711</v>
      </c>
      <c r="DM8" s="25">
        <v>177383</v>
      </c>
      <c r="DN8" s="25">
        <v>207044</v>
      </c>
      <c r="DO8" s="25">
        <v>234748</v>
      </c>
      <c r="DP8" s="25">
        <v>234945</v>
      </c>
      <c r="DQ8" s="25">
        <v>175943</v>
      </c>
      <c r="DR8" s="25">
        <v>208173</v>
      </c>
      <c r="DS8" s="25">
        <v>225651</v>
      </c>
      <c r="DT8" s="25">
        <v>163986</v>
      </c>
      <c r="DU8" s="25">
        <v>196119</v>
      </c>
      <c r="DV8" s="25">
        <v>105534</v>
      </c>
      <c r="DW8" s="25">
        <v>142092</v>
      </c>
      <c r="DX8" s="25">
        <v>154967</v>
      </c>
      <c r="DY8" s="25">
        <v>200743</v>
      </c>
      <c r="DZ8" s="25">
        <v>208588</v>
      </c>
      <c r="EA8" s="25">
        <v>296876</v>
      </c>
      <c r="EB8" s="25">
        <v>344800</v>
      </c>
      <c r="EC8" s="25">
        <v>312728</v>
      </c>
      <c r="ED8" s="25">
        <v>347640</v>
      </c>
      <c r="EE8" s="25">
        <v>459259</v>
      </c>
      <c r="EF8" s="25">
        <v>365623</v>
      </c>
      <c r="EG8" s="25">
        <v>461426</v>
      </c>
      <c r="EH8" s="25">
        <v>425034</v>
      </c>
      <c r="EI8" s="25">
        <v>466260</v>
      </c>
      <c r="EJ8" s="25">
        <f t="shared" ref="EJ8:EJ71" si="0">EK8-EI8</f>
        <v>-19327</v>
      </c>
      <c r="EK8" s="25">
        <v>446933</v>
      </c>
      <c r="EL8" s="25">
        <f t="shared" ref="EL8:EL71" si="1">EM8-EK8</f>
        <v>-56224</v>
      </c>
      <c r="EM8" s="25">
        <v>390709</v>
      </c>
      <c r="EN8" s="25">
        <f t="shared" ref="EN8:EN71" si="2">EO8-EM8</f>
        <v>-82353</v>
      </c>
      <c r="EO8" s="25">
        <v>308356</v>
      </c>
      <c r="EP8" s="25">
        <f t="shared" ref="EP8:EP71" si="3">EQ8-EO8</f>
        <v>40506</v>
      </c>
      <c r="EQ8" s="25">
        <v>348862</v>
      </c>
      <c r="ER8" s="25">
        <f t="shared" ref="ER8:ER71" si="4">ES8-EQ8</f>
        <v>-111788</v>
      </c>
      <c r="ES8" s="25">
        <v>237074</v>
      </c>
      <c r="ET8" s="25">
        <f t="shared" ref="ET8:ET71" si="5">EU8-ES8</f>
        <v>-21880</v>
      </c>
      <c r="EU8" s="25">
        <v>215194</v>
      </c>
      <c r="EV8" s="25">
        <f t="shared" ref="EV8:EV71" si="6">EW8-EU8</f>
        <v>195864</v>
      </c>
      <c r="EW8" s="25">
        <v>411058</v>
      </c>
      <c r="EX8" s="25">
        <v>399510</v>
      </c>
      <c r="EY8" s="25">
        <v>441507</v>
      </c>
      <c r="EZ8" s="25">
        <v>460775</v>
      </c>
      <c r="FA8" s="25">
        <v>480984</v>
      </c>
      <c r="FB8" s="25">
        <v>514392</v>
      </c>
      <c r="FC8" s="25">
        <v>487419</v>
      </c>
      <c r="FD8" s="25">
        <v>557671</v>
      </c>
      <c r="FE8" s="25">
        <v>601158</v>
      </c>
      <c r="FF8" s="25">
        <v>553905</v>
      </c>
      <c r="FG8" s="25">
        <v>574254</v>
      </c>
      <c r="FH8" s="25">
        <v>490813</v>
      </c>
      <c r="FI8" s="25">
        <v>492925</v>
      </c>
      <c r="FJ8" s="25">
        <v>496816</v>
      </c>
    </row>
    <row r="9" spans="1:166" x14ac:dyDescent="0.4">
      <c r="A9" s="33" t="s">
        <v>14</v>
      </c>
      <c r="B9" s="22">
        <v>8503504</v>
      </c>
      <c r="C9" s="22">
        <v>8381063</v>
      </c>
      <c r="D9" s="22">
        <v>8505762</v>
      </c>
      <c r="E9" s="22">
        <v>8598445</v>
      </c>
      <c r="F9" s="22">
        <v>8757740</v>
      </c>
      <c r="G9" s="22">
        <v>8793909</v>
      </c>
      <c r="H9" s="22">
        <v>8898700</v>
      </c>
      <c r="I9" s="22">
        <v>8983623</v>
      </c>
      <c r="J9" s="22">
        <v>9081183</v>
      </c>
      <c r="K9" s="22">
        <v>9271909</v>
      </c>
      <c r="L9" s="22">
        <v>9527247</v>
      </c>
      <c r="M9" s="22">
        <v>9707743</v>
      </c>
      <c r="N9" s="22">
        <v>9777946</v>
      </c>
      <c r="O9" s="22">
        <v>9979647</v>
      </c>
      <c r="P9" s="22">
        <v>10062892</v>
      </c>
      <c r="Q9" s="22">
        <v>9954999</v>
      </c>
      <c r="R9" s="22">
        <v>9945522</v>
      </c>
      <c r="S9" s="22">
        <v>9977322</v>
      </c>
      <c r="T9" s="22">
        <v>10044138</v>
      </c>
      <c r="U9" s="22">
        <v>10266564</v>
      </c>
      <c r="V9" s="22">
        <v>10205065</v>
      </c>
      <c r="W9" s="22">
        <v>10280741</v>
      </c>
      <c r="X9" s="22">
        <v>10431745</v>
      </c>
      <c r="Y9" s="22">
        <v>10321333</v>
      </c>
      <c r="Z9" s="22">
        <v>12237465</v>
      </c>
      <c r="AA9" s="22">
        <v>12720721</v>
      </c>
      <c r="AB9" s="22">
        <v>12709787</v>
      </c>
      <c r="AC9" s="22">
        <v>12555631</v>
      </c>
      <c r="AD9" s="22">
        <v>12697248</v>
      </c>
      <c r="AE9" s="22">
        <v>12898492</v>
      </c>
      <c r="AF9" s="22">
        <v>12883426</v>
      </c>
      <c r="AG9" s="22">
        <v>13212770</v>
      </c>
      <c r="AH9" s="22">
        <v>13029085</v>
      </c>
      <c r="AI9" s="22">
        <v>13064426</v>
      </c>
      <c r="AJ9" s="22">
        <v>13258483</v>
      </c>
      <c r="AK9" s="22">
        <v>13383043</v>
      </c>
      <c r="AL9" s="22">
        <v>13600298</v>
      </c>
      <c r="AM9" s="22">
        <v>13588577</v>
      </c>
      <c r="AN9" s="22">
        <v>13472771</v>
      </c>
      <c r="AO9" s="22">
        <v>13666956</v>
      </c>
      <c r="AP9" s="22">
        <v>14056267</v>
      </c>
      <c r="AQ9" s="22">
        <v>14134996</v>
      </c>
      <c r="AR9" s="22">
        <v>14261103</v>
      </c>
      <c r="AS9" s="22">
        <v>14376259</v>
      </c>
      <c r="AT9" s="22">
        <v>14323164</v>
      </c>
      <c r="AU9" s="22">
        <v>14476237</v>
      </c>
      <c r="AV9" s="22">
        <v>14579361</v>
      </c>
      <c r="AW9" s="22">
        <v>14768107</v>
      </c>
      <c r="AX9" s="22">
        <v>15612302</v>
      </c>
      <c r="AY9" s="22">
        <v>15749788</v>
      </c>
      <c r="AZ9" s="22">
        <v>15904418</v>
      </c>
      <c r="BA9" s="22">
        <v>16125819</v>
      </c>
      <c r="BB9" s="22">
        <v>16277779</v>
      </c>
      <c r="BC9" s="22">
        <v>16676941</v>
      </c>
      <c r="BD9" s="22">
        <v>16859722</v>
      </c>
      <c r="BE9" s="22">
        <v>17263820</v>
      </c>
      <c r="BF9" s="22">
        <v>17514632</v>
      </c>
      <c r="BG9" s="22">
        <v>17681688</v>
      </c>
      <c r="BH9" s="22">
        <v>17962992</v>
      </c>
      <c r="BI9" s="22">
        <v>18099320</v>
      </c>
      <c r="BJ9" s="22">
        <v>18744515</v>
      </c>
      <c r="BK9" s="22">
        <v>18683636</v>
      </c>
      <c r="BL9" s="22">
        <v>18949979</v>
      </c>
      <c r="BM9" s="22">
        <v>19009304</v>
      </c>
      <c r="BN9" s="22">
        <v>19122225</v>
      </c>
      <c r="BO9" s="22">
        <v>19200927</v>
      </c>
      <c r="BP9" s="22">
        <v>19268976</v>
      </c>
      <c r="BQ9" s="22">
        <v>19464535</v>
      </c>
      <c r="BR9" s="22">
        <v>19536811</v>
      </c>
      <c r="BS9" s="22">
        <v>19450800</v>
      </c>
      <c r="BT9" s="22">
        <v>19472685</v>
      </c>
      <c r="BU9" s="22">
        <v>19631378</v>
      </c>
      <c r="BV9" s="22">
        <v>19831370</v>
      </c>
      <c r="BW9" s="22">
        <v>19952200</v>
      </c>
      <c r="BX9" s="22">
        <v>20048354</v>
      </c>
      <c r="BY9" s="22">
        <v>20371410</v>
      </c>
      <c r="BZ9" s="22">
        <v>21005228</v>
      </c>
      <c r="CA9" s="22">
        <v>21215263</v>
      </c>
      <c r="CB9" s="22">
        <v>21368196</v>
      </c>
      <c r="CC9" s="22">
        <v>21845651</v>
      </c>
      <c r="CD9" s="22">
        <v>21908812</v>
      </c>
      <c r="CE9" s="22">
        <v>21997452</v>
      </c>
      <c r="CF9" s="22">
        <v>22397795</v>
      </c>
      <c r="CG9" s="22">
        <v>22624166</v>
      </c>
      <c r="CH9" s="22">
        <v>22955098</v>
      </c>
      <c r="CI9" s="22">
        <v>22883883</v>
      </c>
      <c r="CJ9" s="22">
        <v>23763482</v>
      </c>
      <c r="CK9" s="25">
        <v>23919825</v>
      </c>
      <c r="CL9" s="25">
        <v>24237276</v>
      </c>
      <c r="CM9" s="25">
        <v>24420500</v>
      </c>
      <c r="CN9" s="25">
        <v>24843532</v>
      </c>
      <c r="CO9" s="25">
        <v>25348128</v>
      </c>
      <c r="CP9" s="25">
        <v>25667624</v>
      </c>
      <c r="CQ9" s="25">
        <v>26516032</v>
      </c>
      <c r="CR9" s="25">
        <v>28108359</v>
      </c>
      <c r="CS9" s="25">
        <v>30092552</v>
      </c>
      <c r="CT9" s="25">
        <v>30850604</v>
      </c>
      <c r="CU9" s="25">
        <v>30436240</v>
      </c>
      <c r="CV9" s="25">
        <v>30688216</v>
      </c>
      <c r="CW9" s="25">
        <v>31292914</v>
      </c>
      <c r="CX9" s="25">
        <v>31688134</v>
      </c>
      <c r="CY9" s="25">
        <v>31987335</v>
      </c>
      <c r="CZ9" s="25">
        <v>32081473</v>
      </c>
      <c r="DA9" s="25">
        <v>32503429</v>
      </c>
      <c r="DB9" s="25">
        <v>32842844</v>
      </c>
      <c r="DC9" s="25">
        <v>33200113</v>
      </c>
      <c r="DD9" s="25">
        <v>33432044</v>
      </c>
      <c r="DE9" s="25">
        <v>33704872</v>
      </c>
      <c r="DF9" s="25">
        <v>33740849</v>
      </c>
      <c r="DG9" s="25">
        <v>33747669</v>
      </c>
      <c r="DH9" s="25">
        <v>33782610</v>
      </c>
      <c r="DI9" s="25">
        <v>33565274</v>
      </c>
      <c r="DJ9" s="25">
        <v>33171602</v>
      </c>
      <c r="DK9" s="25">
        <v>33245625</v>
      </c>
      <c r="DL9" s="25">
        <v>33047042</v>
      </c>
      <c r="DM9" s="25">
        <v>32827107</v>
      </c>
      <c r="DN9" s="25">
        <v>33179016</v>
      </c>
      <c r="DO9" s="25">
        <v>33409375</v>
      </c>
      <c r="DP9" s="25">
        <v>34041620</v>
      </c>
      <c r="DQ9" s="25">
        <v>35523287</v>
      </c>
      <c r="DR9" s="25">
        <v>37988356</v>
      </c>
      <c r="DS9" s="25">
        <v>38137067</v>
      </c>
      <c r="DT9" s="25">
        <v>38867035</v>
      </c>
      <c r="DU9" s="25">
        <v>39490634</v>
      </c>
      <c r="DV9" s="25">
        <v>40311156</v>
      </c>
      <c r="DW9" s="25">
        <v>40557405</v>
      </c>
      <c r="DX9" s="25">
        <v>41377071</v>
      </c>
      <c r="DY9" s="25">
        <v>42287874</v>
      </c>
      <c r="DZ9" s="25">
        <v>42739479</v>
      </c>
      <c r="EA9" s="25">
        <v>42996601</v>
      </c>
      <c r="EB9" s="25">
        <v>42921813</v>
      </c>
      <c r="EC9" s="25">
        <v>43191975</v>
      </c>
      <c r="ED9" s="25">
        <v>45002368</v>
      </c>
      <c r="EE9" s="25">
        <v>45143162</v>
      </c>
      <c r="EF9" s="25">
        <v>45696614</v>
      </c>
      <c r="EG9" s="25">
        <v>46398109</v>
      </c>
      <c r="EH9" s="25">
        <v>46441337</v>
      </c>
      <c r="EI9" s="25">
        <v>46770830</v>
      </c>
      <c r="EJ9" s="25">
        <f t="shared" si="0"/>
        <v>268106</v>
      </c>
      <c r="EK9" s="25">
        <v>47038936</v>
      </c>
      <c r="EL9" s="25">
        <f t="shared" si="1"/>
        <v>195334</v>
      </c>
      <c r="EM9" s="25">
        <v>47234270</v>
      </c>
      <c r="EN9" s="25">
        <f t="shared" si="2"/>
        <v>1096952</v>
      </c>
      <c r="EO9" s="25">
        <v>48331222</v>
      </c>
      <c r="EP9" s="25">
        <f t="shared" si="3"/>
        <v>1054319</v>
      </c>
      <c r="EQ9" s="25">
        <v>49385541</v>
      </c>
      <c r="ER9" s="25">
        <f t="shared" si="4"/>
        <v>511901</v>
      </c>
      <c r="ES9" s="25">
        <v>49897442</v>
      </c>
      <c r="ET9" s="25">
        <f t="shared" si="5"/>
        <v>1128341</v>
      </c>
      <c r="EU9" s="25">
        <v>51025783</v>
      </c>
      <c r="EV9" s="25">
        <f t="shared" si="6"/>
        <v>5517785</v>
      </c>
      <c r="EW9" s="25">
        <v>56543568</v>
      </c>
      <c r="EX9" s="25">
        <v>56523367</v>
      </c>
      <c r="EY9" s="25">
        <v>56739420</v>
      </c>
      <c r="EZ9" s="25">
        <v>57485031</v>
      </c>
      <c r="FA9" s="25">
        <v>58565742</v>
      </c>
      <c r="FB9" s="25">
        <v>59115206</v>
      </c>
      <c r="FC9" s="25">
        <v>60032052</v>
      </c>
      <c r="FD9" s="25">
        <v>61258946</v>
      </c>
      <c r="FE9" s="25">
        <v>62311081</v>
      </c>
      <c r="FF9" s="25">
        <v>63237538</v>
      </c>
      <c r="FG9" s="25">
        <v>64268900</v>
      </c>
      <c r="FH9" s="25">
        <v>65994268</v>
      </c>
      <c r="FI9" s="25">
        <v>67512626</v>
      </c>
      <c r="FJ9" s="25">
        <v>67436281</v>
      </c>
    </row>
    <row r="10" spans="1:166" x14ac:dyDescent="0.4">
      <c r="A10" s="33" t="s">
        <v>27</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v>1222726</v>
      </c>
      <c r="BW10" s="22">
        <v>1471603</v>
      </c>
      <c r="BX10" s="22">
        <v>1401547</v>
      </c>
      <c r="BY10" s="22">
        <v>1401520</v>
      </c>
      <c r="BZ10" s="22">
        <v>1380261</v>
      </c>
      <c r="CA10" s="22">
        <v>1397524</v>
      </c>
      <c r="CB10" s="22">
        <v>1478618</v>
      </c>
      <c r="CC10" s="22">
        <v>1452613</v>
      </c>
      <c r="CD10" s="22">
        <v>1443519</v>
      </c>
      <c r="CE10" s="22">
        <v>1431756</v>
      </c>
      <c r="CF10" s="22">
        <v>1417652</v>
      </c>
      <c r="CG10" s="22">
        <v>1413920</v>
      </c>
      <c r="CH10" s="22">
        <v>1768259</v>
      </c>
      <c r="CI10" s="22">
        <v>1944663</v>
      </c>
      <c r="CJ10" s="22">
        <v>2066904</v>
      </c>
      <c r="CK10" s="25">
        <v>2171695</v>
      </c>
      <c r="CL10" s="25">
        <v>2424535</v>
      </c>
      <c r="CM10" s="25">
        <v>2147878</v>
      </c>
      <c r="CN10" s="25">
        <v>2410824</v>
      </c>
      <c r="CO10" s="25">
        <v>2486836</v>
      </c>
      <c r="CP10" s="25">
        <v>2873011</v>
      </c>
      <c r="CQ10" s="25">
        <v>2860092</v>
      </c>
      <c r="CR10" s="25">
        <v>2788719</v>
      </c>
      <c r="CS10" s="25">
        <v>2868679</v>
      </c>
      <c r="CT10" s="25">
        <v>2799286</v>
      </c>
      <c r="CU10" s="25">
        <v>2425606</v>
      </c>
      <c r="CV10" s="25">
        <v>2432270</v>
      </c>
      <c r="CW10" s="25">
        <v>2338287</v>
      </c>
      <c r="CX10" s="25">
        <v>2159513</v>
      </c>
      <c r="CY10" s="25">
        <v>2158365</v>
      </c>
      <c r="CZ10" s="25">
        <v>1928866</v>
      </c>
      <c r="DA10" s="25">
        <v>2383751</v>
      </c>
      <c r="DB10" s="25">
        <v>2023759</v>
      </c>
      <c r="DC10" s="25">
        <v>1984694</v>
      </c>
      <c r="DD10" s="25">
        <v>2098127</v>
      </c>
      <c r="DE10" s="25">
        <v>2223125</v>
      </c>
      <c r="DF10" s="25">
        <v>2261708</v>
      </c>
      <c r="DG10" s="25">
        <v>2502540</v>
      </c>
      <c r="DH10" s="25">
        <v>2427553</v>
      </c>
      <c r="DI10" s="25">
        <v>2505181</v>
      </c>
      <c r="DJ10" s="25">
        <v>2393843</v>
      </c>
      <c r="DK10" s="25">
        <v>2561877</v>
      </c>
      <c r="DL10" s="25">
        <v>2582574</v>
      </c>
      <c r="DM10" s="25">
        <v>2127181</v>
      </c>
      <c r="DN10" s="25">
        <v>2677429</v>
      </c>
      <c r="DO10" s="25">
        <v>2678935</v>
      </c>
      <c r="DP10" s="25">
        <v>2872653</v>
      </c>
      <c r="DQ10" s="25">
        <v>2764426</v>
      </c>
      <c r="DR10" s="25">
        <v>2357902</v>
      </c>
      <c r="DS10" s="25">
        <v>2188717</v>
      </c>
      <c r="DT10" s="25">
        <v>2594329</v>
      </c>
      <c r="DU10" s="25">
        <v>2588135</v>
      </c>
      <c r="DV10" s="25">
        <v>2994359</v>
      </c>
      <c r="DW10" s="25">
        <v>2921397</v>
      </c>
      <c r="DX10" s="25">
        <v>2888416</v>
      </c>
      <c r="DY10" s="25">
        <v>3324555</v>
      </c>
      <c r="DZ10" s="25">
        <v>2867359</v>
      </c>
      <c r="EA10" s="25">
        <v>2976886</v>
      </c>
      <c r="EB10" s="25">
        <v>3034297</v>
      </c>
      <c r="EC10" s="25">
        <v>3340354</v>
      </c>
      <c r="ED10" s="25">
        <v>3451840</v>
      </c>
      <c r="EE10" s="25">
        <v>3750181</v>
      </c>
      <c r="EF10" s="25">
        <v>3463210</v>
      </c>
      <c r="EG10" s="25">
        <v>3738375</v>
      </c>
      <c r="EH10" s="25">
        <v>3562907</v>
      </c>
      <c r="EI10" s="25">
        <v>3580890</v>
      </c>
      <c r="EJ10" s="25">
        <f t="shared" si="0"/>
        <v>3574</v>
      </c>
      <c r="EK10" s="25">
        <v>3584464</v>
      </c>
      <c r="EL10" s="25">
        <f t="shared" si="1"/>
        <v>111105</v>
      </c>
      <c r="EM10" s="25">
        <v>3695569</v>
      </c>
      <c r="EN10" s="25">
        <f t="shared" si="2"/>
        <v>112791</v>
      </c>
      <c r="EO10" s="25">
        <v>3808360</v>
      </c>
      <c r="EP10" s="25">
        <f t="shared" si="3"/>
        <v>44034</v>
      </c>
      <c r="EQ10" s="25">
        <v>3852394</v>
      </c>
      <c r="ER10" s="25">
        <f t="shared" si="4"/>
        <v>-162634</v>
      </c>
      <c r="ES10" s="25">
        <v>3689760</v>
      </c>
      <c r="ET10" s="25">
        <f t="shared" si="5"/>
        <v>700411</v>
      </c>
      <c r="EU10" s="25">
        <v>4390171</v>
      </c>
      <c r="EV10" s="25">
        <f t="shared" si="6"/>
        <v>169461</v>
      </c>
      <c r="EW10" s="25">
        <v>4559632</v>
      </c>
      <c r="EX10" s="25">
        <v>4177558</v>
      </c>
      <c r="EY10" s="25">
        <v>4213141</v>
      </c>
      <c r="EZ10" s="25">
        <v>4468526</v>
      </c>
      <c r="FA10" s="25">
        <v>4538167</v>
      </c>
      <c r="FB10" s="25">
        <v>4877054</v>
      </c>
      <c r="FC10" s="25">
        <v>5087753</v>
      </c>
      <c r="FD10" s="25">
        <v>4906995</v>
      </c>
      <c r="FE10" s="25">
        <v>5150665</v>
      </c>
      <c r="FF10" s="25">
        <v>5750697</v>
      </c>
      <c r="FG10" s="25">
        <v>6110808</v>
      </c>
      <c r="FH10" s="25">
        <v>5858122</v>
      </c>
      <c r="FI10" s="25">
        <v>5874459</v>
      </c>
      <c r="FJ10" s="25">
        <v>5730767</v>
      </c>
    </row>
    <row r="11" spans="1:166" x14ac:dyDescent="0.4">
      <c r="A11" s="33" t="s">
        <v>30</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v>18608644</v>
      </c>
      <c r="BW11" s="22">
        <v>18480597</v>
      </c>
      <c r="BX11" s="22">
        <v>18646808</v>
      </c>
      <c r="BY11" s="22">
        <v>18969891</v>
      </c>
      <c r="BZ11" s="22">
        <v>19624966</v>
      </c>
      <c r="CA11" s="22">
        <v>19817739</v>
      </c>
      <c r="CB11" s="22">
        <v>19889578</v>
      </c>
      <c r="CC11" s="22">
        <v>20393038</v>
      </c>
      <c r="CD11" s="22">
        <v>20465293</v>
      </c>
      <c r="CE11" s="22">
        <v>20565696</v>
      </c>
      <c r="CF11" s="22">
        <v>20980143</v>
      </c>
      <c r="CG11" s="22">
        <v>21210246</v>
      </c>
      <c r="CH11" s="22">
        <v>21186839</v>
      </c>
      <c r="CI11" s="22">
        <v>20939220</v>
      </c>
      <c r="CJ11" s="22">
        <v>21696577</v>
      </c>
      <c r="CK11" s="25">
        <v>21748130</v>
      </c>
      <c r="CL11" s="25">
        <v>21812741</v>
      </c>
      <c r="CM11" s="25">
        <v>22272623</v>
      </c>
      <c r="CN11" s="25">
        <v>22432709</v>
      </c>
      <c r="CO11" s="25">
        <v>22861292</v>
      </c>
      <c r="CP11" s="25">
        <v>22794613</v>
      </c>
      <c r="CQ11" s="25">
        <v>23655940</v>
      </c>
      <c r="CR11" s="25">
        <v>25319640</v>
      </c>
      <c r="CS11" s="25">
        <v>27223873</v>
      </c>
      <c r="CT11" s="25">
        <v>28051318</v>
      </c>
      <c r="CU11" s="25">
        <v>28010633</v>
      </c>
      <c r="CV11" s="25">
        <v>28255946</v>
      </c>
      <c r="CW11" s="25">
        <v>28954626</v>
      </c>
      <c r="CX11" s="25">
        <v>29528620</v>
      </c>
      <c r="CY11" s="25">
        <v>29828970</v>
      </c>
      <c r="CZ11" s="25">
        <v>30152607</v>
      </c>
      <c r="DA11" s="25">
        <v>30119678</v>
      </c>
      <c r="DB11" s="25">
        <v>30819086</v>
      </c>
      <c r="DC11" s="25">
        <v>31215419</v>
      </c>
      <c r="DD11" s="25">
        <v>31333916</v>
      </c>
      <c r="DE11" s="25">
        <v>31481747</v>
      </c>
      <c r="DF11" s="25">
        <v>31479141</v>
      </c>
      <c r="DG11" s="25">
        <v>31245129</v>
      </c>
      <c r="DH11" s="25">
        <v>31355057</v>
      </c>
      <c r="DI11" s="25">
        <v>31060093</v>
      </c>
      <c r="DJ11" s="25">
        <v>30777759</v>
      </c>
      <c r="DK11" s="25">
        <v>30683748</v>
      </c>
      <c r="DL11" s="25">
        <v>30464468</v>
      </c>
      <c r="DM11" s="25">
        <v>30699926</v>
      </c>
      <c r="DN11" s="25">
        <v>30501587</v>
      </c>
      <c r="DO11" s="25">
        <v>30730440</v>
      </c>
      <c r="DP11" s="25">
        <v>31168967</v>
      </c>
      <c r="DQ11" s="25">
        <v>32758861</v>
      </c>
      <c r="DR11" s="25">
        <v>35630455</v>
      </c>
      <c r="DS11" s="25">
        <v>35948351</v>
      </c>
      <c r="DT11" s="25">
        <v>36272706</v>
      </c>
      <c r="DU11" s="25">
        <v>36902499</v>
      </c>
      <c r="DV11" s="25">
        <v>37316797</v>
      </c>
      <c r="DW11" s="25">
        <v>37636008</v>
      </c>
      <c r="DX11" s="25">
        <v>38488655</v>
      </c>
      <c r="DY11" s="25">
        <v>38963319</v>
      </c>
      <c r="DZ11" s="25">
        <v>39872119</v>
      </c>
      <c r="EA11" s="25">
        <v>40019715</v>
      </c>
      <c r="EB11" s="25">
        <v>39887516</v>
      </c>
      <c r="EC11" s="25">
        <v>39851621</v>
      </c>
      <c r="ED11" s="25">
        <v>41550528</v>
      </c>
      <c r="EE11" s="25">
        <v>41392982</v>
      </c>
      <c r="EF11" s="25">
        <v>42233404</v>
      </c>
      <c r="EG11" s="25">
        <v>42659734</v>
      </c>
      <c r="EH11" s="25">
        <v>42878430</v>
      </c>
      <c r="EI11" s="25">
        <v>43189941</v>
      </c>
      <c r="EJ11" s="25">
        <f t="shared" si="0"/>
        <v>264531</v>
      </c>
      <c r="EK11" s="25">
        <v>43454472</v>
      </c>
      <c r="EL11" s="25">
        <f t="shared" si="1"/>
        <v>84228</v>
      </c>
      <c r="EM11" s="25">
        <v>43538700</v>
      </c>
      <c r="EN11" s="25">
        <f t="shared" si="2"/>
        <v>984162</v>
      </c>
      <c r="EO11" s="25">
        <v>44522862</v>
      </c>
      <c r="EP11" s="25">
        <f t="shared" si="3"/>
        <v>1010285</v>
      </c>
      <c r="EQ11" s="25">
        <v>45533147</v>
      </c>
      <c r="ER11" s="25">
        <f t="shared" si="4"/>
        <v>674535</v>
      </c>
      <c r="ES11" s="25">
        <v>46207682</v>
      </c>
      <c r="ET11" s="25">
        <f t="shared" si="5"/>
        <v>427931</v>
      </c>
      <c r="EU11" s="25">
        <v>46635613</v>
      </c>
      <c r="EV11" s="25">
        <f t="shared" si="6"/>
        <v>5348323</v>
      </c>
      <c r="EW11" s="25">
        <v>51983936</v>
      </c>
      <c r="EX11" s="25">
        <v>52345809</v>
      </c>
      <c r="EY11" s="25">
        <v>52526279</v>
      </c>
      <c r="EZ11" s="25">
        <v>53016506</v>
      </c>
      <c r="FA11" s="25">
        <v>54027575</v>
      </c>
      <c r="FB11" s="25">
        <v>54238153</v>
      </c>
      <c r="FC11" s="25">
        <v>54944299</v>
      </c>
      <c r="FD11" s="25">
        <v>56351951</v>
      </c>
      <c r="FE11" s="25">
        <v>57160416</v>
      </c>
      <c r="FF11" s="25">
        <v>57486841</v>
      </c>
      <c r="FG11" s="25">
        <v>58158092</v>
      </c>
      <c r="FH11" s="25">
        <v>60136146</v>
      </c>
      <c r="FI11" s="25">
        <v>61638167</v>
      </c>
      <c r="FJ11" s="25">
        <v>61705514</v>
      </c>
    </row>
    <row r="12" spans="1:166" x14ac:dyDescent="0.4">
      <c r="A12" s="34" t="s">
        <v>11</v>
      </c>
      <c r="B12" s="7">
        <v>0</v>
      </c>
      <c r="C12" s="7">
        <v>0</v>
      </c>
      <c r="D12" s="7">
        <v>0</v>
      </c>
      <c r="E12" s="7">
        <v>0</v>
      </c>
      <c r="F12" s="7">
        <v>0</v>
      </c>
      <c r="G12" s="7">
        <v>0</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149530</v>
      </c>
      <c r="BG12" s="7">
        <v>149530</v>
      </c>
      <c r="BH12" s="7">
        <v>325158</v>
      </c>
      <c r="BI12" s="7">
        <v>303962</v>
      </c>
      <c r="BJ12" s="7">
        <v>352321</v>
      </c>
      <c r="BK12" s="7">
        <v>493641</v>
      </c>
      <c r="BL12" s="7">
        <v>700189</v>
      </c>
      <c r="BM12" s="7">
        <v>1128680</v>
      </c>
      <c r="BN12" s="7">
        <v>1041898</v>
      </c>
      <c r="BO12" s="7">
        <v>1205347</v>
      </c>
      <c r="BP12" s="7">
        <v>1112149</v>
      </c>
      <c r="BQ12" s="7">
        <v>1438878</v>
      </c>
      <c r="BR12" s="7">
        <v>1400158</v>
      </c>
      <c r="BS12" s="7">
        <v>1486459</v>
      </c>
      <c r="BT12" s="7">
        <v>1432800</v>
      </c>
      <c r="BU12" s="7">
        <v>1616930</v>
      </c>
      <c r="BV12" s="7">
        <v>1374230</v>
      </c>
      <c r="BW12" s="7">
        <v>1500000</v>
      </c>
      <c r="BX12" s="7">
        <v>1500000</v>
      </c>
      <c r="BY12" s="7">
        <v>1500000</v>
      </c>
      <c r="BZ12" s="7">
        <v>1500000</v>
      </c>
      <c r="CA12" s="7">
        <v>1600000</v>
      </c>
      <c r="CB12" s="7">
        <v>1700000</v>
      </c>
      <c r="CC12" s="7">
        <v>1500000</v>
      </c>
      <c r="CD12" s="7">
        <v>1200000</v>
      </c>
      <c r="CE12" s="7">
        <v>800000</v>
      </c>
      <c r="CF12" s="7">
        <v>1100000</v>
      </c>
      <c r="CG12" s="7">
        <v>1500000</v>
      </c>
      <c r="CH12" s="7">
        <v>1936705</v>
      </c>
      <c r="CI12" s="7">
        <v>2052691</v>
      </c>
      <c r="CJ12" s="7">
        <v>1873418</v>
      </c>
      <c r="CK12" s="13">
        <v>1544228</v>
      </c>
      <c r="CL12" s="13">
        <v>1519165</v>
      </c>
      <c r="CM12" s="13">
        <v>1109740</v>
      </c>
      <c r="CN12" s="13">
        <v>708128</v>
      </c>
      <c r="CO12" s="13">
        <v>707708</v>
      </c>
      <c r="CP12" s="13">
        <v>830037</v>
      </c>
      <c r="CQ12" s="13">
        <v>818535</v>
      </c>
      <c r="CR12" s="13">
        <v>698438</v>
      </c>
      <c r="CS12" s="13">
        <v>606413</v>
      </c>
      <c r="CT12" s="13">
        <v>574227</v>
      </c>
      <c r="CU12" s="13">
        <v>555056</v>
      </c>
      <c r="CV12" s="13">
        <v>545212</v>
      </c>
      <c r="CW12" s="13">
        <v>645069</v>
      </c>
      <c r="CX12" s="13">
        <v>658450</v>
      </c>
      <c r="CY12" s="13">
        <v>676913</v>
      </c>
      <c r="CZ12" s="13">
        <v>626380</v>
      </c>
      <c r="DA12" s="13">
        <v>596104</v>
      </c>
      <c r="DB12" s="13">
        <v>575867</v>
      </c>
      <c r="DC12" s="13">
        <v>603353</v>
      </c>
      <c r="DD12" s="13">
        <v>467491</v>
      </c>
      <c r="DE12" s="13">
        <v>163898</v>
      </c>
      <c r="DF12" s="13">
        <v>0</v>
      </c>
      <c r="DG12" s="13">
        <v>0</v>
      </c>
      <c r="DH12" s="13">
        <v>0</v>
      </c>
      <c r="DI12" s="13">
        <v>0</v>
      </c>
      <c r="DJ12" s="7">
        <v>0</v>
      </c>
      <c r="DK12" s="7">
        <v>0</v>
      </c>
      <c r="DL12" s="7">
        <v>0</v>
      </c>
      <c r="DM12" s="7">
        <v>0</v>
      </c>
      <c r="DN12" s="7">
        <v>0</v>
      </c>
      <c r="DO12" s="7">
        <v>0</v>
      </c>
      <c r="DP12" s="7">
        <v>0</v>
      </c>
      <c r="DQ12" s="7">
        <v>0</v>
      </c>
      <c r="DR12" s="7">
        <v>0</v>
      </c>
      <c r="DS12" s="7">
        <v>0</v>
      </c>
      <c r="DT12" s="7">
        <v>0</v>
      </c>
      <c r="DU12" s="7">
        <v>0</v>
      </c>
      <c r="DV12" s="7">
        <v>0</v>
      </c>
      <c r="DW12" s="7">
        <v>0</v>
      </c>
      <c r="DX12" s="7">
        <v>0</v>
      </c>
      <c r="DY12" s="7">
        <v>0</v>
      </c>
      <c r="DZ12" s="7">
        <v>0</v>
      </c>
      <c r="EA12" s="7">
        <v>0</v>
      </c>
      <c r="EB12" s="7">
        <v>0</v>
      </c>
      <c r="EC12" s="7">
        <v>0</v>
      </c>
      <c r="ED12" s="7">
        <v>0</v>
      </c>
      <c r="EE12" s="7">
        <v>0</v>
      </c>
      <c r="EF12" s="7">
        <v>0</v>
      </c>
      <c r="EG12" s="7">
        <v>0</v>
      </c>
      <c r="EH12" s="7">
        <v>0</v>
      </c>
      <c r="EI12" s="7">
        <v>0</v>
      </c>
      <c r="EJ12" s="25">
        <f t="shared" si="0"/>
        <v>0</v>
      </c>
      <c r="EK12" s="7">
        <v>0</v>
      </c>
      <c r="EL12" s="25">
        <f t="shared" si="1"/>
        <v>0</v>
      </c>
      <c r="EM12" s="7">
        <v>0</v>
      </c>
      <c r="EN12" s="25">
        <f t="shared" si="2"/>
        <v>0</v>
      </c>
      <c r="EO12" s="7">
        <v>0</v>
      </c>
      <c r="EP12" s="25">
        <f t="shared" si="3"/>
        <v>0</v>
      </c>
      <c r="EQ12" s="7">
        <v>0</v>
      </c>
      <c r="ER12" s="25">
        <f t="shared" si="4"/>
        <v>0</v>
      </c>
      <c r="ES12" s="7">
        <v>0</v>
      </c>
      <c r="ET12" s="25">
        <f t="shared" si="5"/>
        <v>0</v>
      </c>
      <c r="EU12" s="7">
        <v>0</v>
      </c>
      <c r="EV12" s="25">
        <f t="shared" si="6"/>
        <v>0</v>
      </c>
      <c r="EW12" s="7">
        <v>0</v>
      </c>
      <c r="EX12" s="7">
        <v>0</v>
      </c>
      <c r="EY12" s="7">
        <v>0</v>
      </c>
      <c r="EZ12" s="7">
        <v>0</v>
      </c>
      <c r="FA12" s="7">
        <v>0</v>
      </c>
      <c r="FB12" s="7">
        <v>0</v>
      </c>
      <c r="FC12" s="7">
        <v>0</v>
      </c>
      <c r="FD12" s="7">
        <v>0</v>
      </c>
      <c r="FE12" s="7">
        <v>0</v>
      </c>
      <c r="FF12" s="7">
        <v>0</v>
      </c>
      <c r="FG12" s="7">
        <v>0</v>
      </c>
      <c r="FH12" s="7">
        <v>0</v>
      </c>
      <c r="FI12" s="7">
        <v>0</v>
      </c>
      <c r="FJ12" s="7">
        <v>0</v>
      </c>
    </row>
    <row r="13" spans="1:166" x14ac:dyDescent="0.4">
      <c r="A13" s="35" t="s">
        <v>13</v>
      </c>
      <c r="B13" s="7">
        <v>0</v>
      </c>
      <c r="C13" s="7">
        <v>0</v>
      </c>
      <c r="D13" s="7">
        <v>0</v>
      </c>
      <c r="E13" s="7">
        <v>0</v>
      </c>
      <c r="F13" s="7">
        <v>0</v>
      </c>
      <c r="G13" s="7">
        <v>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7">
        <v>149530</v>
      </c>
      <c r="BG13" s="7">
        <v>149530</v>
      </c>
      <c r="BH13" s="7">
        <v>325158</v>
      </c>
      <c r="BI13" s="7">
        <v>303962</v>
      </c>
      <c r="BJ13" s="7">
        <v>352321</v>
      </c>
      <c r="BK13" s="7">
        <v>493641</v>
      </c>
      <c r="BL13" s="7">
        <v>700189</v>
      </c>
      <c r="BM13" s="7">
        <v>1128680</v>
      </c>
      <c r="BN13" s="7">
        <v>1041898</v>
      </c>
      <c r="BO13" s="7">
        <v>1205347</v>
      </c>
      <c r="BP13" s="7">
        <v>1112149</v>
      </c>
      <c r="BQ13" s="7">
        <v>1438878</v>
      </c>
      <c r="BR13" s="7">
        <v>1400158</v>
      </c>
      <c r="BS13" s="7">
        <v>1486459</v>
      </c>
      <c r="BT13" s="7">
        <v>1432800</v>
      </c>
      <c r="BU13" s="7">
        <v>1616930</v>
      </c>
      <c r="BV13" s="7">
        <v>1374230</v>
      </c>
      <c r="BW13" s="7">
        <v>1500000</v>
      </c>
      <c r="BX13" s="7">
        <v>1500000</v>
      </c>
      <c r="BY13" s="7">
        <v>1500000</v>
      </c>
      <c r="BZ13" s="7">
        <v>1500000</v>
      </c>
      <c r="CA13" s="7">
        <v>1600000</v>
      </c>
      <c r="CB13" s="7">
        <v>1700000</v>
      </c>
      <c r="CC13" s="7">
        <v>1500000</v>
      </c>
      <c r="CD13" s="7">
        <v>1200000</v>
      </c>
      <c r="CE13" s="7">
        <v>800000</v>
      </c>
      <c r="CF13" s="7">
        <v>1100000</v>
      </c>
      <c r="CG13" s="7">
        <v>1500000</v>
      </c>
      <c r="CH13" s="7">
        <v>1936705</v>
      </c>
      <c r="CI13" s="7">
        <v>2052691</v>
      </c>
      <c r="CJ13" s="7">
        <v>1873418</v>
      </c>
      <c r="CK13" s="13">
        <v>1544228</v>
      </c>
      <c r="CL13" s="13">
        <v>1519165</v>
      </c>
      <c r="CM13" s="13">
        <v>1109740</v>
      </c>
      <c r="CN13" s="13">
        <v>708128</v>
      </c>
      <c r="CO13" s="13">
        <v>707708</v>
      </c>
      <c r="CP13" s="13">
        <v>830037</v>
      </c>
      <c r="CQ13" s="13">
        <v>818535</v>
      </c>
      <c r="CR13" s="13">
        <v>698438</v>
      </c>
      <c r="CS13" s="13">
        <v>606413</v>
      </c>
      <c r="CT13" s="13">
        <v>574227</v>
      </c>
      <c r="CU13" s="13">
        <v>555056</v>
      </c>
      <c r="CV13" s="13">
        <v>545212</v>
      </c>
      <c r="CW13" s="13">
        <v>645069</v>
      </c>
      <c r="CX13" s="13">
        <v>658450</v>
      </c>
      <c r="CY13" s="13">
        <v>676913</v>
      </c>
      <c r="CZ13" s="13">
        <v>626380</v>
      </c>
      <c r="DA13" s="13">
        <v>596104</v>
      </c>
      <c r="DB13" s="13">
        <v>575867</v>
      </c>
      <c r="DC13" s="13">
        <v>603353</v>
      </c>
      <c r="DD13" s="13">
        <v>467491</v>
      </c>
      <c r="DE13" s="13">
        <v>163898</v>
      </c>
      <c r="DF13" s="13">
        <v>0</v>
      </c>
      <c r="DG13" s="13">
        <v>0</v>
      </c>
      <c r="DH13" s="13">
        <v>0</v>
      </c>
      <c r="DI13" s="13">
        <v>0</v>
      </c>
      <c r="DJ13" s="7">
        <v>0</v>
      </c>
      <c r="DK13" s="7">
        <v>0</v>
      </c>
      <c r="DL13" s="7">
        <v>0</v>
      </c>
      <c r="DM13" s="7">
        <v>0</v>
      </c>
      <c r="DN13" s="7">
        <v>0</v>
      </c>
      <c r="DO13" s="7">
        <v>0</v>
      </c>
      <c r="DP13" s="7">
        <v>0</v>
      </c>
      <c r="DQ13" s="7">
        <v>0</v>
      </c>
      <c r="DR13" s="7">
        <v>0</v>
      </c>
      <c r="DS13" s="7">
        <v>0</v>
      </c>
      <c r="DT13" s="7">
        <v>0</v>
      </c>
      <c r="DU13" s="7">
        <v>0</v>
      </c>
      <c r="DV13" s="7">
        <v>0</v>
      </c>
      <c r="DW13" s="7">
        <v>0</v>
      </c>
      <c r="DX13" s="7">
        <v>0</v>
      </c>
      <c r="DY13" s="7">
        <v>0</v>
      </c>
      <c r="DZ13" s="7">
        <v>0</v>
      </c>
      <c r="EA13" s="7">
        <v>0</v>
      </c>
      <c r="EB13" s="7">
        <v>0</v>
      </c>
      <c r="EC13" s="7">
        <v>0</v>
      </c>
      <c r="ED13" s="7">
        <v>0</v>
      </c>
      <c r="EE13" s="7">
        <v>0</v>
      </c>
      <c r="EF13" s="7">
        <v>0</v>
      </c>
      <c r="EG13" s="7">
        <v>0</v>
      </c>
      <c r="EH13" s="7">
        <v>0</v>
      </c>
      <c r="EI13" s="7">
        <v>0</v>
      </c>
      <c r="EJ13" s="25">
        <f t="shared" si="0"/>
        <v>0</v>
      </c>
      <c r="EK13" s="7">
        <v>0</v>
      </c>
      <c r="EL13" s="25">
        <f t="shared" si="1"/>
        <v>0</v>
      </c>
      <c r="EM13" s="7">
        <v>0</v>
      </c>
      <c r="EN13" s="25">
        <f t="shared" si="2"/>
        <v>0</v>
      </c>
      <c r="EO13" s="7">
        <v>0</v>
      </c>
      <c r="EP13" s="25">
        <f t="shared" si="3"/>
        <v>0</v>
      </c>
      <c r="EQ13" s="7">
        <v>0</v>
      </c>
      <c r="ER13" s="25">
        <f t="shared" si="4"/>
        <v>0</v>
      </c>
      <c r="ES13" s="7">
        <v>0</v>
      </c>
      <c r="ET13" s="25">
        <f t="shared" si="5"/>
        <v>0</v>
      </c>
      <c r="EU13" s="7">
        <v>0</v>
      </c>
      <c r="EV13" s="25">
        <f t="shared" si="6"/>
        <v>0</v>
      </c>
      <c r="EW13" s="7">
        <v>0</v>
      </c>
      <c r="EX13" s="7">
        <v>0</v>
      </c>
      <c r="EY13" s="7">
        <v>0</v>
      </c>
      <c r="EZ13" s="7">
        <v>0</v>
      </c>
      <c r="FA13" s="7">
        <v>0</v>
      </c>
      <c r="FB13" s="7">
        <v>0</v>
      </c>
      <c r="FC13" s="7">
        <v>0</v>
      </c>
      <c r="FD13" s="7">
        <v>0</v>
      </c>
      <c r="FE13" s="7">
        <v>0</v>
      </c>
      <c r="FF13" s="7">
        <v>0</v>
      </c>
      <c r="FG13" s="7">
        <v>0</v>
      </c>
      <c r="FH13" s="7">
        <v>0</v>
      </c>
      <c r="FI13" s="7">
        <v>0</v>
      </c>
      <c r="FJ13" s="7">
        <v>0</v>
      </c>
    </row>
    <row r="14" spans="1:166" x14ac:dyDescent="0.4">
      <c r="A14" s="35" t="s">
        <v>14</v>
      </c>
      <c r="B14" s="7">
        <v>0</v>
      </c>
      <c r="C14" s="7">
        <v>0</v>
      </c>
      <c r="D14" s="7">
        <v>0</v>
      </c>
      <c r="E14" s="7">
        <v>0</v>
      </c>
      <c r="F14" s="7">
        <v>0</v>
      </c>
      <c r="G14" s="7">
        <v>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0</v>
      </c>
      <c r="BI14" s="7">
        <v>0</v>
      </c>
      <c r="BJ14" s="7">
        <v>0</v>
      </c>
      <c r="BK14" s="7">
        <v>0</v>
      </c>
      <c r="BL14" s="7">
        <v>0</v>
      </c>
      <c r="BM14" s="7">
        <v>0</v>
      </c>
      <c r="BN14" s="7">
        <v>0</v>
      </c>
      <c r="BO14" s="7">
        <v>0</v>
      </c>
      <c r="BP14" s="7">
        <v>0</v>
      </c>
      <c r="BQ14" s="7">
        <v>0</v>
      </c>
      <c r="BR14" s="7">
        <v>0</v>
      </c>
      <c r="BS14" s="7">
        <v>0</v>
      </c>
      <c r="BT14" s="7">
        <v>0</v>
      </c>
      <c r="BU14" s="7">
        <v>0</v>
      </c>
      <c r="BV14" s="7">
        <v>0</v>
      </c>
      <c r="BW14" s="7">
        <v>0</v>
      </c>
      <c r="BX14" s="7">
        <v>0</v>
      </c>
      <c r="BY14" s="7">
        <v>0</v>
      </c>
      <c r="BZ14" s="7">
        <v>0</v>
      </c>
      <c r="CA14" s="7">
        <v>0</v>
      </c>
      <c r="CB14" s="7">
        <v>0</v>
      </c>
      <c r="CC14" s="7">
        <v>0</v>
      </c>
      <c r="CD14" s="7">
        <v>0</v>
      </c>
      <c r="CE14" s="7">
        <v>0</v>
      </c>
      <c r="CF14" s="7">
        <v>0</v>
      </c>
      <c r="CG14" s="7">
        <v>0</v>
      </c>
      <c r="CH14" s="7">
        <v>0</v>
      </c>
      <c r="CI14" s="7">
        <v>0</v>
      </c>
      <c r="CJ14" s="7">
        <v>0</v>
      </c>
      <c r="CK14" s="7">
        <v>0</v>
      </c>
      <c r="CL14" s="7">
        <v>0</v>
      </c>
      <c r="CM14" s="7">
        <v>0</v>
      </c>
      <c r="CN14" s="7">
        <v>0</v>
      </c>
      <c r="CO14" s="7">
        <v>0</v>
      </c>
      <c r="CP14" s="7">
        <v>0</v>
      </c>
      <c r="CQ14" s="7">
        <v>0</v>
      </c>
      <c r="CR14" s="7">
        <v>0</v>
      </c>
      <c r="CS14" s="7">
        <v>0</v>
      </c>
      <c r="CT14" s="7">
        <v>0</v>
      </c>
      <c r="CU14" s="7">
        <v>0</v>
      </c>
      <c r="CV14" s="7">
        <v>0</v>
      </c>
      <c r="CW14" s="7">
        <v>0</v>
      </c>
      <c r="CX14" s="7">
        <v>0</v>
      </c>
      <c r="CY14" s="7">
        <v>0</v>
      </c>
      <c r="CZ14" s="7">
        <v>0</v>
      </c>
      <c r="DA14" s="7">
        <v>0</v>
      </c>
      <c r="DB14" s="7">
        <v>0</v>
      </c>
      <c r="DC14" s="7">
        <v>0</v>
      </c>
      <c r="DD14" s="7">
        <v>0</v>
      </c>
      <c r="DE14" s="7">
        <v>0</v>
      </c>
      <c r="DF14" s="7">
        <v>0</v>
      </c>
      <c r="DG14" s="7">
        <v>0</v>
      </c>
      <c r="DH14" s="7">
        <v>0</v>
      </c>
      <c r="DI14" s="7">
        <v>0</v>
      </c>
      <c r="DJ14" s="7">
        <v>0</v>
      </c>
      <c r="DK14" s="7">
        <v>0</v>
      </c>
      <c r="DL14" s="7">
        <v>0</v>
      </c>
      <c r="DM14" s="7">
        <v>0</v>
      </c>
      <c r="DN14" s="7">
        <v>0</v>
      </c>
      <c r="DO14" s="7">
        <v>0</v>
      </c>
      <c r="DP14" s="7">
        <v>0</v>
      </c>
      <c r="DQ14" s="7">
        <v>0</v>
      </c>
      <c r="DR14" s="7">
        <v>0</v>
      </c>
      <c r="DS14" s="7">
        <v>0</v>
      </c>
      <c r="DT14" s="7">
        <v>0</v>
      </c>
      <c r="DU14" s="7">
        <v>0</v>
      </c>
      <c r="DV14" s="7">
        <v>0</v>
      </c>
      <c r="DW14" s="7">
        <v>0</v>
      </c>
      <c r="DX14" s="7">
        <v>0</v>
      </c>
      <c r="DY14" s="7">
        <v>0</v>
      </c>
      <c r="DZ14" s="7">
        <v>0</v>
      </c>
      <c r="EA14" s="7">
        <v>0</v>
      </c>
      <c r="EB14" s="7">
        <v>0</v>
      </c>
      <c r="EC14" s="7">
        <v>0</v>
      </c>
      <c r="ED14" s="7">
        <v>0</v>
      </c>
      <c r="EE14" s="7">
        <v>0</v>
      </c>
      <c r="EF14" s="7">
        <v>0</v>
      </c>
      <c r="EG14" s="7">
        <v>0</v>
      </c>
      <c r="EH14" s="7">
        <v>0</v>
      </c>
      <c r="EI14" s="7">
        <v>0</v>
      </c>
      <c r="EJ14" s="25">
        <f t="shared" si="0"/>
        <v>0</v>
      </c>
      <c r="EK14" s="7">
        <v>0</v>
      </c>
      <c r="EL14" s="25">
        <f t="shared" si="1"/>
        <v>0</v>
      </c>
      <c r="EM14" s="7">
        <v>0</v>
      </c>
      <c r="EN14" s="25">
        <f t="shared" si="2"/>
        <v>0</v>
      </c>
      <c r="EO14" s="7">
        <v>0</v>
      </c>
      <c r="EP14" s="25">
        <f t="shared" si="3"/>
        <v>0</v>
      </c>
      <c r="EQ14" s="7">
        <v>0</v>
      </c>
      <c r="ER14" s="25">
        <f t="shared" si="4"/>
        <v>0</v>
      </c>
      <c r="ES14" s="7">
        <v>0</v>
      </c>
      <c r="ET14" s="25">
        <f t="shared" si="5"/>
        <v>0</v>
      </c>
      <c r="EU14" s="7">
        <v>0</v>
      </c>
      <c r="EV14" s="25">
        <f t="shared" si="6"/>
        <v>0</v>
      </c>
      <c r="EW14" s="7">
        <v>0</v>
      </c>
      <c r="EX14" s="7">
        <v>0</v>
      </c>
      <c r="EY14" s="7">
        <v>0</v>
      </c>
      <c r="EZ14" s="7">
        <v>0</v>
      </c>
      <c r="FA14" s="7">
        <v>0</v>
      </c>
      <c r="FB14" s="7">
        <v>0</v>
      </c>
      <c r="FC14" s="7">
        <v>0</v>
      </c>
      <c r="FD14" s="7">
        <v>0</v>
      </c>
      <c r="FE14" s="7">
        <v>0</v>
      </c>
      <c r="FF14" s="7">
        <v>0</v>
      </c>
      <c r="FG14" s="7">
        <v>0</v>
      </c>
      <c r="FH14" s="7">
        <v>0</v>
      </c>
      <c r="FI14" s="7">
        <v>0</v>
      </c>
      <c r="FJ14" s="7">
        <v>0</v>
      </c>
    </row>
    <row r="15" spans="1:166" x14ac:dyDescent="0.4">
      <c r="A15" s="35" t="s">
        <v>27</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v>0</v>
      </c>
      <c r="BW15" s="7">
        <v>0</v>
      </c>
      <c r="BX15" s="7">
        <v>0</v>
      </c>
      <c r="BY15" s="7">
        <v>0</v>
      </c>
      <c r="BZ15" s="7">
        <v>0</v>
      </c>
      <c r="CA15" s="7">
        <v>0</v>
      </c>
      <c r="CB15" s="7">
        <v>0</v>
      </c>
      <c r="CC15" s="7">
        <v>0</v>
      </c>
      <c r="CD15" s="7">
        <v>0</v>
      </c>
      <c r="CE15" s="7">
        <v>0</v>
      </c>
      <c r="CF15" s="7">
        <v>0</v>
      </c>
      <c r="CG15" s="7">
        <v>0</v>
      </c>
      <c r="CH15" s="7">
        <v>0</v>
      </c>
      <c r="CI15" s="7">
        <v>0</v>
      </c>
      <c r="CJ15" s="7">
        <v>0</v>
      </c>
      <c r="CK15" s="7">
        <v>0</v>
      </c>
      <c r="CL15" s="7">
        <v>0</v>
      </c>
      <c r="CM15" s="7">
        <v>0</v>
      </c>
      <c r="CN15" s="7">
        <v>0</v>
      </c>
      <c r="CO15" s="7">
        <v>0</v>
      </c>
      <c r="CP15" s="7">
        <v>0</v>
      </c>
      <c r="CQ15" s="7">
        <v>0</v>
      </c>
      <c r="CR15" s="7">
        <v>0</v>
      </c>
      <c r="CS15" s="7">
        <v>0</v>
      </c>
      <c r="CT15" s="7">
        <v>0</v>
      </c>
      <c r="CU15" s="7">
        <v>0</v>
      </c>
      <c r="CV15" s="7">
        <v>0</v>
      </c>
      <c r="CW15" s="7">
        <v>0</v>
      </c>
      <c r="CX15" s="7">
        <v>0</v>
      </c>
      <c r="CY15" s="7">
        <v>0</v>
      </c>
      <c r="CZ15" s="7">
        <v>0</v>
      </c>
      <c r="DA15" s="7">
        <v>0</v>
      </c>
      <c r="DB15" s="7">
        <v>0</v>
      </c>
      <c r="DC15" s="7">
        <v>0</v>
      </c>
      <c r="DD15" s="7">
        <v>0</v>
      </c>
      <c r="DE15" s="7">
        <v>0</v>
      </c>
      <c r="DF15" s="7">
        <v>0</v>
      </c>
      <c r="DG15" s="7">
        <v>0</v>
      </c>
      <c r="DH15" s="7">
        <v>0</v>
      </c>
      <c r="DI15" s="7">
        <v>0</v>
      </c>
      <c r="DJ15" s="7">
        <v>0</v>
      </c>
      <c r="DK15" s="7">
        <v>0</v>
      </c>
      <c r="DL15" s="7">
        <v>0</v>
      </c>
      <c r="DM15" s="7">
        <v>0</v>
      </c>
      <c r="DN15" s="7">
        <v>0</v>
      </c>
      <c r="DO15" s="7">
        <v>0</v>
      </c>
      <c r="DP15" s="7">
        <v>0</v>
      </c>
      <c r="DQ15" s="7">
        <v>0</v>
      </c>
      <c r="DR15" s="7">
        <v>0</v>
      </c>
      <c r="DS15" s="7">
        <v>0</v>
      </c>
      <c r="DT15" s="7">
        <v>0</v>
      </c>
      <c r="DU15" s="7">
        <v>0</v>
      </c>
      <c r="DV15" s="7">
        <v>0</v>
      </c>
      <c r="DW15" s="7">
        <v>0</v>
      </c>
      <c r="DX15" s="7">
        <v>0</v>
      </c>
      <c r="DY15" s="7">
        <v>0</v>
      </c>
      <c r="DZ15" s="7">
        <v>0</v>
      </c>
      <c r="EA15" s="7">
        <v>0</v>
      </c>
      <c r="EB15" s="7">
        <v>0</v>
      </c>
      <c r="EC15" s="7">
        <v>0</v>
      </c>
      <c r="ED15" s="7">
        <v>0</v>
      </c>
      <c r="EE15" s="7">
        <v>0</v>
      </c>
      <c r="EF15" s="7">
        <v>0</v>
      </c>
      <c r="EG15" s="7">
        <v>0</v>
      </c>
      <c r="EH15" s="7">
        <v>0</v>
      </c>
      <c r="EI15" s="7">
        <v>0</v>
      </c>
      <c r="EJ15" s="25">
        <f t="shared" si="0"/>
        <v>0</v>
      </c>
      <c r="EK15" s="7">
        <v>0</v>
      </c>
      <c r="EL15" s="25">
        <f t="shared" si="1"/>
        <v>0</v>
      </c>
      <c r="EM15" s="7">
        <v>0</v>
      </c>
      <c r="EN15" s="25">
        <f t="shared" si="2"/>
        <v>0</v>
      </c>
      <c r="EO15" s="7">
        <v>0</v>
      </c>
      <c r="EP15" s="25">
        <f t="shared" si="3"/>
        <v>0</v>
      </c>
      <c r="EQ15" s="7">
        <v>0</v>
      </c>
      <c r="ER15" s="25">
        <f t="shared" si="4"/>
        <v>0</v>
      </c>
      <c r="ES15" s="7">
        <v>0</v>
      </c>
      <c r="ET15" s="25">
        <f t="shared" si="5"/>
        <v>0</v>
      </c>
      <c r="EU15" s="7">
        <v>0</v>
      </c>
      <c r="EV15" s="25">
        <f t="shared" si="6"/>
        <v>0</v>
      </c>
      <c r="EW15" s="7">
        <v>0</v>
      </c>
      <c r="EX15" s="7">
        <v>0</v>
      </c>
      <c r="EY15" s="7">
        <v>0</v>
      </c>
      <c r="EZ15" s="7">
        <v>0</v>
      </c>
      <c r="FA15" s="7">
        <v>0</v>
      </c>
      <c r="FB15" s="7">
        <v>0</v>
      </c>
      <c r="FC15" s="7">
        <v>0</v>
      </c>
      <c r="FD15" s="7">
        <v>0</v>
      </c>
      <c r="FE15" s="7">
        <v>0</v>
      </c>
      <c r="FF15" s="7">
        <v>0</v>
      </c>
      <c r="FG15" s="7">
        <v>0</v>
      </c>
      <c r="FH15" s="7">
        <v>0</v>
      </c>
      <c r="FI15" s="7">
        <v>0</v>
      </c>
      <c r="FJ15" s="7">
        <v>0</v>
      </c>
    </row>
    <row r="16" spans="1:166" x14ac:dyDescent="0.4">
      <c r="A16" s="35" t="s">
        <v>30</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v>0</v>
      </c>
      <c r="BW16" s="7">
        <v>0</v>
      </c>
      <c r="BX16" s="7">
        <v>0</v>
      </c>
      <c r="BY16" s="7">
        <v>0</v>
      </c>
      <c r="BZ16" s="7">
        <v>0</v>
      </c>
      <c r="CA16" s="7">
        <v>0</v>
      </c>
      <c r="CB16" s="7">
        <v>0</v>
      </c>
      <c r="CC16" s="7">
        <v>0</v>
      </c>
      <c r="CD16" s="7">
        <v>0</v>
      </c>
      <c r="CE16" s="7">
        <v>0</v>
      </c>
      <c r="CF16" s="7">
        <v>0</v>
      </c>
      <c r="CG16" s="7">
        <v>0</v>
      </c>
      <c r="CH16" s="7">
        <v>0</v>
      </c>
      <c r="CI16" s="7">
        <v>0</v>
      </c>
      <c r="CJ16" s="7">
        <v>0</v>
      </c>
      <c r="CK16" s="7">
        <v>0</v>
      </c>
      <c r="CL16" s="7">
        <v>0</v>
      </c>
      <c r="CM16" s="7">
        <v>0</v>
      </c>
      <c r="CN16" s="7">
        <v>0</v>
      </c>
      <c r="CO16" s="7">
        <v>0</v>
      </c>
      <c r="CP16" s="7">
        <v>0</v>
      </c>
      <c r="CQ16" s="7">
        <v>0</v>
      </c>
      <c r="CR16" s="7">
        <v>0</v>
      </c>
      <c r="CS16" s="7">
        <v>0</v>
      </c>
      <c r="CT16" s="7">
        <v>0</v>
      </c>
      <c r="CU16" s="7">
        <v>0</v>
      </c>
      <c r="CV16" s="7">
        <v>0</v>
      </c>
      <c r="CW16" s="7">
        <v>0</v>
      </c>
      <c r="CX16" s="7">
        <v>0</v>
      </c>
      <c r="CY16" s="7">
        <v>0</v>
      </c>
      <c r="CZ16" s="7">
        <v>0</v>
      </c>
      <c r="DA16" s="7">
        <v>0</v>
      </c>
      <c r="DB16" s="7">
        <v>0</v>
      </c>
      <c r="DC16" s="7">
        <v>0</v>
      </c>
      <c r="DD16" s="7">
        <v>0</v>
      </c>
      <c r="DE16" s="7">
        <v>0</v>
      </c>
      <c r="DF16" s="7">
        <v>0</v>
      </c>
      <c r="DG16" s="7">
        <v>0</v>
      </c>
      <c r="DH16" s="7">
        <v>0</v>
      </c>
      <c r="DI16" s="7">
        <v>0</v>
      </c>
      <c r="DJ16" s="7">
        <v>0</v>
      </c>
      <c r="DK16" s="7">
        <v>0</v>
      </c>
      <c r="DL16" s="7">
        <v>0</v>
      </c>
      <c r="DM16" s="7">
        <v>0</v>
      </c>
      <c r="DN16" s="7">
        <v>0</v>
      </c>
      <c r="DO16" s="7">
        <v>0</v>
      </c>
      <c r="DP16" s="7">
        <v>0</v>
      </c>
      <c r="DQ16" s="7">
        <v>0</v>
      </c>
      <c r="DR16" s="7">
        <v>0</v>
      </c>
      <c r="DS16" s="7">
        <v>0</v>
      </c>
      <c r="DT16" s="7">
        <v>0</v>
      </c>
      <c r="DU16" s="7">
        <v>0</v>
      </c>
      <c r="DV16" s="7">
        <v>0</v>
      </c>
      <c r="DW16" s="7">
        <v>0</v>
      </c>
      <c r="DX16" s="7">
        <v>0</v>
      </c>
      <c r="DY16" s="7">
        <v>0</v>
      </c>
      <c r="DZ16" s="7">
        <v>0</v>
      </c>
      <c r="EA16" s="7">
        <v>0</v>
      </c>
      <c r="EB16" s="7">
        <v>0</v>
      </c>
      <c r="EC16" s="7">
        <v>0</v>
      </c>
      <c r="ED16" s="7">
        <v>0</v>
      </c>
      <c r="EE16" s="7">
        <v>0</v>
      </c>
      <c r="EF16" s="7">
        <v>0</v>
      </c>
      <c r="EG16" s="7">
        <v>0</v>
      </c>
      <c r="EH16" s="7">
        <v>0</v>
      </c>
      <c r="EI16" s="7">
        <v>0</v>
      </c>
      <c r="EJ16" s="25">
        <f t="shared" si="0"/>
        <v>0</v>
      </c>
      <c r="EK16" s="7">
        <v>0</v>
      </c>
      <c r="EL16" s="25">
        <f t="shared" si="1"/>
        <v>0</v>
      </c>
      <c r="EM16" s="7">
        <v>0</v>
      </c>
      <c r="EN16" s="25">
        <f t="shared" si="2"/>
        <v>0</v>
      </c>
      <c r="EO16" s="7">
        <v>0</v>
      </c>
      <c r="EP16" s="25">
        <f t="shared" si="3"/>
        <v>0</v>
      </c>
      <c r="EQ16" s="7">
        <v>0</v>
      </c>
      <c r="ER16" s="25">
        <f t="shared" si="4"/>
        <v>0</v>
      </c>
      <c r="ES16" s="7">
        <v>0</v>
      </c>
      <c r="ET16" s="25">
        <f t="shared" si="5"/>
        <v>0</v>
      </c>
      <c r="EU16" s="7">
        <v>0</v>
      </c>
      <c r="EV16" s="25">
        <f t="shared" si="6"/>
        <v>0</v>
      </c>
      <c r="EW16" s="7">
        <v>0</v>
      </c>
      <c r="EX16" s="7">
        <v>0</v>
      </c>
      <c r="EY16" s="7">
        <v>0</v>
      </c>
      <c r="EZ16" s="7">
        <v>0</v>
      </c>
      <c r="FA16" s="7">
        <v>0</v>
      </c>
      <c r="FB16" s="7">
        <v>0</v>
      </c>
      <c r="FC16" s="7">
        <v>0</v>
      </c>
      <c r="FD16" s="7">
        <v>0</v>
      </c>
      <c r="FE16" s="7">
        <v>0</v>
      </c>
      <c r="FF16" s="7">
        <v>0</v>
      </c>
      <c r="FG16" s="7">
        <v>0</v>
      </c>
      <c r="FH16" s="7">
        <v>0</v>
      </c>
      <c r="FI16" s="7">
        <v>0</v>
      </c>
      <c r="FJ16" s="7">
        <v>0</v>
      </c>
    </row>
    <row r="17" spans="1:166" x14ac:dyDescent="0.4">
      <c r="A17" s="34" t="s">
        <v>3</v>
      </c>
      <c r="B17" s="7">
        <v>1136389</v>
      </c>
      <c r="C17" s="7">
        <v>1116889</v>
      </c>
      <c r="D17" s="7">
        <v>1200371</v>
      </c>
      <c r="E17" s="7">
        <v>1219871</v>
      </c>
      <c r="F17" s="7">
        <v>1242371</v>
      </c>
      <c r="G17" s="7">
        <v>1240425</v>
      </c>
      <c r="H17" s="7">
        <v>1233855</v>
      </c>
      <c r="I17" s="7">
        <v>1253510</v>
      </c>
      <c r="J17" s="7">
        <v>1265993</v>
      </c>
      <c r="K17" s="7">
        <v>1306554</v>
      </c>
      <c r="L17" s="7">
        <v>1372134</v>
      </c>
      <c r="M17" s="7">
        <v>1355316</v>
      </c>
      <c r="N17" s="7">
        <v>1354406</v>
      </c>
      <c r="O17" s="7">
        <v>1360463</v>
      </c>
      <c r="P17" s="7">
        <v>1338840</v>
      </c>
      <c r="Q17" s="7">
        <v>1337946</v>
      </c>
      <c r="R17" s="7">
        <v>1322946</v>
      </c>
      <c r="S17" s="7">
        <v>1343505</v>
      </c>
      <c r="T17" s="7">
        <v>1379623</v>
      </c>
      <c r="U17" s="7">
        <v>1367852</v>
      </c>
      <c r="V17" s="7">
        <v>1378488</v>
      </c>
      <c r="W17" s="7">
        <v>1420707</v>
      </c>
      <c r="X17" s="7">
        <v>1458707</v>
      </c>
      <c r="Y17" s="7">
        <v>1439110</v>
      </c>
      <c r="Z17" s="7">
        <v>1518473</v>
      </c>
      <c r="AA17" s="7">
        <v>1547368</v>
      </c>
      <c r="AB17" s="7">
        <v>1534883</v>
      </c>
      <c r="AC17" s="7">
        <v>1517104</v>
      </c>
      <c r="AD17" s="7">
        <v>1517563</v>
      </c>
      <c r="AE17" s="7">
        <v>1515042</v>
      </c>
      <c r="AF17" s="7">
        <v>1570534</v>
      </c>
      <c r="AG17" s="7">
        <v>1614034</v>
      </c>
      <c r="AH17" s="7">
        <v>1555502</v>
      </c>
      <c r="AI17" s="7">
        <v>1545062</v>
      </c>
      <c r="AJ17" s="7">
        <v>1566062</v>
      </c>
      <c r="AK17" s="7">
        <v>1566652</v>
      </c>
      <c r="AL17" s="7">
        <v>1585148</v>
      </c>
      <c r="AM17" s="7">
        <v>1547348</v>
      </c>
      <c r="AN17" s="7">
        <v>1472812</v>
      </c>
      <c r="AO17" s="7">
        <v>1489579</v>
      </c>
      <c r="AP17" s="7">
        <v>1495079</v>
      </c>
      <c r="AQ17" s="7">
        <v>1521581</v>
      </c>
      <c r="AR17" s="7">
        <v>1526017</v>
      </c>
      <c r="AS17" s="7">
        <v>1510517</v>
      </c>
      <c r="AT17" s="7">
        <v>1504343</v>
      </c>
      <c r="AU17" s="7">
        <v>1468339</v>
      </c>
      <c r="AV17" s="7">
        <v>1451240</v>
      </c>
      <c r="AW17" s="7">
        <v>1463990</v>
      </c>
      <c r="AX17" s="7">
        <v>1464342</v>
      </c>
      <c r="AY17" s="7">
        <v>1511443</v>
      </c>
      <c r="AZ17" s="7">
        <v>1499301</v>
      </c>
      <c r="BA17" s="7">
        <v>1533122</v>
      </c>
      <c r="BB17" s="7">
        <v>1506934</v>
      </c>
      <c r="BC17" s="7">
        <v>1640161</v>
      </c>
      <c r="BD17" s="7">
        <v>1663764</v>
      </c>
      <c r="BE17" s="7">
        <v>1626869</v>
      </c>
      <c r="BF17" s="7">
        <v>1628607</v>
      </c>
      <c r="BG17" s="7">
        <v>1576772</v>
      </c>
      <c r="BH17" s="7">
        <v>1688126</v>
      </c>
      <c r="BI17" s="7">
        <v>1694260</v>
      </c>
      <c r="BJ17" s="7">
        <v>1669698</v>
      </c>
      <c r="BK17" s="7">
        <v>1748586</v>
      </c>
      <c r="BL17" s="7">
        <v>1752773</v>
      </c>
      <c r="BM17" s="7">
        <v>1733448</v>
      </c>
      <c r="BN17" s="7">
        <v>1712661</v>
      </c>
      <c r="BO17" s="7">
        <v>1768707</v>
      </c>
      <c r="BP17" s="7">
        <v>1683752</v>
      </c>
      <c r="BQ17" s="7">
        <v>1777405</v>
      </c>
      <c r="BR17" s="7">
        <v>1830943</v>
      </c>
      <c r="BS17" s="7">
        <v>1802302</v>
      </c>
      <c r="BT17" s="7">
        <v>1813549</v>
      </c>
      <c r="BU17" s="7">
        <v>1811980</v>
      </c>
      <c r="BV17" s="7">
        <v>1861298</v>
      </c>
      <c r="BW17" s="7">
        <v>1901619</v>
      </c>
      <c r="BX17" s="7">
        <v>1917375</v>
      </c>
      <c r="BY17" s="7">
        <v>1943799</v>
      </c>
      <c r="BZ17" s="7">
        <v>2045135</v>
      </c>
      <c r="CA17" s="7">
        <v>2098176</v>
      </c>
      <c r="CB17" s="7">
        <v>2092528</v>
      </c>
      <c r="CC17" s="7">
        <v>2190122</v>
      </c>
      <c r="CD17" s="7">
        <v>2179663</v>
      </c>
      <c r="CE17" s="7">
        <v>2264869</v>
      </c>
      <c r="CF17" s="7">
        <v>2317790</v>
      </c>
      <c r="CG17" s="7">
        <v>2321480</v>
      </c>
      <c r="CH17" s="7">
        <v>2407513</v>
      </c>
      <c r="CI17" s="7">
        <v>2430317</v>
      </c>
      <c r="CJ17" s="7">
        <v>2465280</v>
      </c>
      <c r="CK17" s="13">
        <v>2482443</v>
      </c>
      <c r="CL17" s="13">
        <v>2463052</v>
      </c>
      <c r="CM17" s="13">
        <v>2443903</v>
      </c>
      <c r="CN17" s="13">
        <v>2426205</v>
      </c>
      <c r="CO17" s="13">
        <v>2524741</v>
      </c>
      <c r="CP17" s="13">
        <v>2551612</v>
      </c>
      <c r="CQ17" s="13">
        <v>2524372</v>
      </c>
      <c r="CR17" s="13">
        <v>2573873</v>
      </c>
      <c r="CS17" s="13">
        <v>2673081</v>
      </c>
      <c r="CT17" s="13">
        <v>2743925</v>
      </c>
      <c r="CU17" s="13">
        <v>2730662</v>
      </c>
      <c r="CV17" s="13">
        <v>2814384</v>
      </c>
      <c r="CW17" s="13">
        <v>2831494</v>
      </c>
      <c r="CX17" s="13">
        <v>2878227</v>
      </c>
      <c r="CY17" s="13">
        <v>2854794</v>
      </c>
      <c r="CZ17" s="13">
        <v>2983903</v>
      </c>
      <c r="DA17" s="13">
        <v>2982709</v>
      </c>
      <c r="DB17" s="13">
        <v>3009918</v>
      </c>
      <c r="DC17" s="13">
        <v>3061149</v>
      </c>
      <c r="DD17" s="13">
        <v>3054055</v>
      </c>
      <c r="DE17" s="13">
        <v>3120478</v>
      </c>
      <c r="DF17" s="13">
        <v>3229968</v>
      </c>
      <c r="DG17" s="13">
        <v>3224547</v>
      </c>
      <c r="DH17" s="13">
        <v>3153658</v>
      </c>
      <c r="DI17" s="13">
        <v>3118855</v>
      </c>
      <c r="DJ17" s="7">
        <v>3010317</v>
      </c>
      <c r="DK17" s="7">
        <v>2986795</v>
      </c>
      <c r="DL17" s="7">
        <v>2911401</v>
      </c>
      <c r="DM17" s="7">
        <v>2917264</v>
      </c>
      <c r="DN17" s="7">
        <v>2896265</v>
      </c>
      <c r="DO17" s="7">
        <v>2846795</v>
      </c>
      <c r="DP17" s="7">
        <v>2816161</v>
      </c>
      <c r="DQ17" s="7">
        <v>2882699</v>
      </c>
      <c r="DR17" s="7">
        <v>2872688</v>
      </c>
      <c r="DS17" s="7">
        <v>2826729</v>
      </c>
      <c r="DT17" s="7">
        <v>2956553</v>
      </c>
      <c r="DU17" s="7">
        <v>2977694</v>
      </c>
      <c r="DV17" s="7">
        <v>2960241</v>
      </c>
      <c r="DW17" s="7">
        <v>2958885</v>
      </c>
      <c r="DX17" s="7">
        <v>3040516</v>
      </c>
      <c r="DY17" s="7">
        <v>3105305</v>
      </c>
      <c r="DZ17" s="7">
        <v>3066248</v>
      </c>
      <c r="EA17" s="7">
        <v>3046477</v>
      </c>
      <c r="EB17" s="7">
        <v>3092155</v>
      </c>
      <c r="EC17" s="7">
        <v>3019357</v>
      </c>
      <c r="ED17" s="7">
        <v>3041046</v>
      </c>
      <c r="EE17" s="7">
        <v>3114872</v>
      </c>
      <c r="EF17" s="7">
        <v>3121273</v>
      </c>
      <c r="EG17" s="7">
        <v>3155764</v>
      </c>
      <c r="EH17" s="7">
        <v>3157186</v>
      </c>
      <c r="EI17" s="7">
        <v>3121405</v>
      </c>
      <c r="EJ17" s="25">
        <f t="shared" si="0"/>
        <v>172415</v>
      </c>
      <c r="EK17" s="7">
        <v>3293820</v>
      </c>
      <c r="EL17" s="25">
        <f t="shared" si="1"/>
        <v>-51225</v>
      </c>
      <c r="EM17" s="7">
        <v>3242595</v>
      </c>
      <c r="EN17" s="25">
        <f t="shared" si="2"/>
        <v>71201</v>
      </c>
      <c r="EO17" s="7">
        <v>3313796</v>
      </c>
      <c r="EP17" s="25">
        <f t="shared" si="3"/>
        <v>35532</v>
      </c>
      <c r="EQ17" s="7">
        <v>3349328</v>
      </c>
      <c r="ER17" s="25">
        <f t="shared" si="4"/>
        <v>53679</v>
      </c>
      <c r="ES17" s="7">
        <v>3403007</v>
      </c>
      <c r="ET17" s="25">
        <f t="shared" si="5"/>
        <v>-60420</v>
      </c>
      <c r="EU17" s="7">
        <v>3342587</v>
      </c>
      <c r="EV17" s="25">
        <f t="shared" si="6"/>
        <v>39552</v>
      </c>
      <c r="EW17" s="7">
        <v>3382139</v>
      </c>
      <c r="EX17" s="7">
        <v>3313853</v>
      </c>
      <c r="EY17" s="7">
        <v>3190196</v>
      </c>
      <c r="EZ17" s="7">
        <v>3208091</v>
      </c>
      <c r="FA17" s="7">
        <v>3213495</v>
      </c>
      <c r="FB17" s="7">
        <v>3186251</v>
      </c>
      <c r="FC17" s="7">
        <v>3206508</v>
      </c>
      <c r="FD17" s="7">
        <v>3218320</v>
      </c>
      <c r="FE17" s="7">
        <v>3230059</v>
      </c>
      <c r="FF17" s="7">
        <v>3259097</v>
      </c>
      <c r="FG17" s="7">
        <v>3210496</v>
      </c>
      <c r="FH17" s="7">
        <v>3150150</v>
      </c>
      <c r="FI17" s="7">
        <v>3232770</v>
      </c>
      <c r="FJ17" s="7">
        <v>3178819</v>
      </c>
    </row>
    <row r="18" spans="1:166" x14ac:dyDescent="0.4">
      <c r="A18" s="35" t="s">
        <v>13</v>
      </c>
      <c r="B18" s="7">
        <v>0</v>
      </c>
      <c r="C18" s="7">
        <v>0</v>
      </c>
      <c r="D18" s="7">
        <v>0</v>
      </c>
      <c r="E18" s="7">
        <v>0</v>
      </c>
      <c r="F18" s="7">
        <v>0</v>
      </c>
      <c r="G18" s="7">
        <v>0</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c r="AR18" s="7">
        <v>10</v>
      </c>
      <c r="AS18" s="7">
        <v>10</v>
      </c>
      <c r="AT18" s="7">
        <v>334</v>
      </c>
      <c r="AU18" s="7">
        <v>316</v>
      </c>
      <c r="AV18" s="7">
        <v>5217</v>
      </c>
      <c r="AW18" s="7">
        <v>30739</v>
      </c>
      <c r="AX18" s="7">
        <v>956</v>
      </c>
      <c r="AY18" s="7">
        <v>38032</v>
      </c>
      <c r="AZ18" s="7">
        <v>43276</v>
      </c>
      <c r="BA18" s="7">
        <v>58233</v>
      </c>
      <c r="BB18" s="7">
        <v>6956</v>
      </c>
      <c r="BC18" s="7">
        <v>47156</v>
      </c>
      <c r="BD18" s="7">
        <v>81500</v>
      </c>
      <c r="BE18" s="7">
        <v>51423</v>
      </c>
      <c r="BF18" s="7">
        <v>63755</v>
      </c>
      <c r="BG18" s="7">
        <v>12860</v>
      </c>
      <c r="BH18" s="7">
        <v>55306</v>
      </c>
      <c r="BI18" s="7">
        <v>48503</v>
      </c>
      <c r="BJ18" s="7">
        <v>37360</v>
      </c>
      <c r="BK18" s="7">
        <v>112587</v>
      </c>
      <c r="BL18" s="7">
        <v>112587</v>
      </c>
      <c r="BM18" s="7">
        <v>34587</v>
      </c>
      <c r="BN18" s="7">
        <v>31587</v>
      </c>
      <c r="BO18" s="7">
        <v>69979</v>
      </c>
      <c r="BP18" s="7">
        <v>32687</v>
      </c>
      <c r="BQ18" s="7">
        <v>47355</v>
      </c>
      <c r="BR18" s="7">
        <v>55143</v>
      </c>
      <c r="BS18" s="7">
        <v>28946</v>
      </c>
      <c r="BT18" s="7">
        <v>55489</v>
      </c>
      <c r="BU18" s="7">
        <v>35156</v>
      </c>
      <c r="BV18" s="7">
        <v>10288</v>
      </c>
      <c r="BW18" s="7">
        <v>33513</v>
      </c>
      <c r="BX18" s="7">
        <v>36149</v>
      </c>
      <c r="BY18" s="7">
        <v>13271</v>
      </c>
      <c r="BZ18" s="7">
        <v>55253</v>
      </c>
      <c r="CA18" s="7">
        <v>69176</v>
      </c>
      <c r="CB18" s="7">
        <v>69855</v>
      </c>
      <c r="CC18" s="7">
        <v>114630</v>
      </c>
      <c r="CD18" s="7">
        <v>105195</v>
      </c>
      <c r="CE18" s="7">
        <v>151177</v>
      </c>
      <c r="CF18" s="7">
        <v>166574</v>
      </c>
      <c r="CG18" s="7">
        <v>156573</v>
      </c>
      <c r="CH18" s="7">
        <v>167664</v>
      </c>
      <c r="CI18" s="7">
        <v>194844</v>
      </c>
      <c r="CJ18" s="7">
        <v>175523</v>
      </c>
      <c r="CK18" s="13">
        <v>167411</v>
      </c>
      <c r="CL18" s="13">
        <v>159169</v>
      </c>
      <c r="CM18" s="13">
        <v>137372</v>
      </c>
      <c r="CN18" s="13">
        <v>160701</v>
      </c>
      <c r="CO18" s="13">
        <v>156711</v>
      </c>
      <c r="CP18" s="13">
        <v>145660</v>
      </c>
      <c r="CQ18" s="13">
        <v>133026</v>
      </c>
      <c r="CR18" s="13">
        <v>121510</v>
      </c>
      <c r="CS18" s="13">
        <v>108914</v>
      </c>
      <c r="CT18" s="13">
        <v>124089</v>
      </c>
      <c r="CU18" s="13">
        <v>116824</v>
      </c>
      <c r="CV18" s="13">
        <v>107806</v>
      </c>
      <c r="CW18" s="13">
        <v>96165</v>
      </c>
      <c r="CX18" s="13">
        <v>83113</v>
      </c>
      <c r="CY18" s="13">
        <v>72259</v>
      </c>
      <c r="CZ18" s="13">
        <v>67659</v>
      </c>
      <c r="DA18" s="13">
        <v>61844</v>
      </c>
      <c r="DB18" s="13">
        <v>58998</v>
      </c>
      <c r="DC18" s="13">
        <v>66474</v>
      </c>
      <c r="DD18" s="13">
        <v>73325</v>
      </c>
      <c r="DE18" s="13">
        <v>82949</v>
      </c>
      <c r="DF18" s="13">
        <v>90960</v>
      </c>
      <c r="DG18" s="13">
        <v>89487</v>
      </c>
      <c r="DH18" s="13">
        <v>74693</v>
      </c>
      <c r="DI18" s="13">
        <v>72307</v>
      </c>
      <c r="DJ18" s="7">
        <v>68243</v>
      </c>
      <c r="DK18" s="7">
        <v>74619</v>
      </c>
      <c r="DL18" s="7">
        <v>66508</v>
      </c>
      <c r="DM18" s="7">
        <v>83706</v>
      </c>
      <c r="DN18" s="7">
        <v>70009</v>
      </c>
      <c r="DO18" s="7">
        <v>67388</v>
      </c>
      <c r="DP18" s="7">
        <v>83963</v>
      </c>
      <c r="DQ18" s="7">
        <v>34207</v>
      </c>
      <c r="DR18" s="7">
        <v>28684</v>
      </c>
      <c r="DS18" s="7">
        <v>37262</v>
      </c>
      <c r="DT18" s="7">
        <v>38628</v>
      </c>
      <c r="DU18" s="7">
        <v>67926</v>
      </c>
      <c r="DV18" s="7">
        <v>49548</v>
      </c>
      <c r="DW18" s="7">
        <v>81018</v>
      </c>
      <c r="DX18" s="7">
        <v>74486</v>
      </c>
      <c r="DY18" s="7">
        <v>134024</v>
      </c>
      <c r="DZ18" s="7">
        <v>127099</v>
      </c>
      <c r="EA18" s="7">
        <v>169336</v>
      </c>
      <c r="EB18" s="7">
        <v>215483</v>
      </c>
      <c r="EC18" s="7">
        <v>126102</v>
      </c>
      <c r="ED18" s="7">
        <v>125709</v>
      </c>
      <c r="EE18" s="7">
        <v>214273</v>
      </c>
      <c r="EF18" s="7">
        <v>192283</v>
      </c>
      <c r="EG18" s="7">
        <v>203699</v>
      </c>
      <c r="EH18" s="7">
        <v>167935</v>
      </c>
      <c r="EI18" s="7">
        <v>166143</v>
      </c>
      <c r="EJ18" s="25">
        <f t="shared" si="0"/>
        <v>-9067</v>
      </c>
      <c r="EK18" s="7">
        <v>157076</v>
      </c>
      <c r="EL18" s="25">
        <f t="shared" si="1"/>
        <v>-7201</v>
      </c>
      <c r="EM18" s="7">
        <v>149875</v>
      </c>
      <c r="EN18" s="25">
        <f t="shared" si="2"/>
        <v>-33359</v>
      </c>
      <c r="EO18" s="7">
        <v>116516</v>
      </c>
      <c r="EP18" s="25">
        <f t="shared" si="3"/>
        <v>30339</v>
      </c>
      <c r="EQ18" s="7">
        <v>146855</v>
      </c>
      <c r="ER18" s="25">
        <f t="shared" si="4"/>
        <v>-24449</v>
      </c>
      <c r="ES18" s="7">
        <v>122406</v>
      </c>
      <c r="ET18" s="25">
        <f t="shared" si="5"/>
        <v>-21341</v>
      </c>
      <c r="EU18" s="7">
        <v>101065</v>
      </c>
      <c r="EV18" s="25">
        <f t="shared" si="6"/>
        <v>11790</v>
      </c>
      <c r="EW18" s="7">
        <v>112855</v>
      </c>
      <c r="EX18" s="7">
        <v>94407</v>
      </c>
      <c r="EY18" s="7">
        <v>104771</v>
      </c>
      <c r="EZ18" s="7">
        <v>101459</v>
      </c>
      <c r="FA18" s="7">
        <v>100390</v>
      </c>
      <c r="FB18" s="7">
        <v>90027</v>
      </c>
      <c r="FC18" s="7">
        <v>80668</v>
      </c>
      <c r="FD18" s="7">
        <v>82735</v>
      </c>
      <c r="FE18" s="7">
        <v>81949</v>
      </c>
      <c r="FF18" s="7">
        <v>96079</v>
      </c>
      <c r="FG18" s="7">
        <v>93596</v>
      </c>
      <c r="FH18" s="7">
        <v>106517</v>
      </c>
      <c r="FI18" s="7">
        <v>124101</v>
      </c>
      <c r="FJ18" s="7">
        <v>123648</v>
      </c>
    </row>
    <row r="19" spans="1:166" x14ac:dyDescent="0.4">
      <c r="A19" s="35" t="s">
        <v>14</v>
      </c>
      <c r="B19" s="7">
        <v>1136389</v>
      </c>
      <c r="C19" s="7">
        <v>1116889</v>
      </c>
      <c r="D19" s="7">
        <v>1200371</v>
      </c>
      <c r="E19" s="7">
        <v>1219871</v>
      </c>
      <c r="F19" s="7">
        <v>1242371</v>
      </c>
      <c r="G19" s="7">
        <v>1240425</v>
      </c>
      <c r="H19" s="7">
        <v>1233855</v>
      </c>
      <c r="I19" s="7">
        <v>1253510</v>
      </c>
      <c r="J19" s="7">
        <v>1265993</v>
      </c>
      <c r="K19" s="7">
        <v>1306554</v>
      </c>
      <c r="L19" s="7">
        <v>1372134</v>
      </c>
      <c r="M19" s="7">
        <v>1355316</v>
      </c>
      <c r="N19" s="7">
        <v>1354406</v>
      </c>
      <c r="O19" s="7">
        <v>1360463</v>
      </c>
      <c r="P19" s="7">
        <v>1338840</v>
      </c>
      <c r="Q19" s="7">
        <v>1337946</v>
      </c>
      <c r="R19" s="7">
        <v>1322946</v>
      </c>
      <c r="S19" s="7">
        <v>1343505</v>
      </c>
      <c r="T19" s="7">
        <v>1379623</v>
      </c>
      <c r="U19" s="7">
        <v>1367852</v>
      </c>
      <c r="V19" s="7">
        <v>1378488</v>
      </c>
      <c r="W19" s="7">
        <v>1420707</v>
      </c>
      <c r="X19" s="7">
        <v>1458707</v>
      </c>
      <c r="Y19" s="7">
        <v>1439110</v>
      </c>
      <c r="Z19" s="7">
        <v>1518473</v>
      </c>
      <c r="AA19" s="7">
        <v>1547368</v>
      </c>
      <c r="AB19" s="7">
        <v>1534883</v>
      </c>
      <c r="AC19" s="7">
        <v>1517104</v>
      </c>
      <c r="AD19" s="7">
        <v>1517563</v>
      </c>
      <c r="AE19" s="7">
        <v>1515042</v>
      </c>
      <c r="AF19" s="7">
        <v>1570534</v>
      </c>
      <c r="AG19" s="7">
        <v>1614034</v>
      </c>
      <c r="AH19" s="7">
        <v>1555502</v>
      </c>
      <c r="AI19" s="7">
        <v>1545062</v>
      </c>
      <c r="AJ19" s="7">
        <v>1566062</v>
      </c>
      <c r="AK19" s="7">
        <v>1566652</v>
      </c>
      <c r="AL19" s="7">
        <v>1585148</v>
      </c>
      <c r="AM19" s="7">
        <v>1547348</v>
      </c>
      <c r="AN19" s="7">
        <v>1472812</v>
      </c>
      <c r="AO19" s="7">
        <v>1489579</v>
      </c>
      <c r="AP19" s="7">
        <v>1495079</v>
      </c>
      <c r="AQ19" s="7">
        <v>1521581</v>
      </c>
      <c r="AR19" s="7">
        <v>1526008</v>
      </c>
      <c r="AS19" s="7">
        <v>1510508</v>
      </c>
      <c r="AT19" s="7">
        <v>1504009</v>
      </c>
      <c r="AU19" s="7">
        <v>1468023</v>
      </c>
      <c r="AV19" s="7">
        <v>1446023</v>
      </c>
      <c r="AW19" s="7">
        <v>1433251</v>
      </c>
      <c r="AX19" s="7">
        <v>1463386</v>
      </c>
      <c r="AY19" s="7">
        <v>1473411</v>
      </c>
      <c r="AZ19" s="7">
        <v>1456025</v>
      </c>
      <c r="BA19" s="7">
        <v>1474889</v>
      </c>
      <c r="BB19" s="7">
        <v>1499978</v>
      </c>
      <c r="BC19" s="7">
        <v>1593006</v>
      </c>
      <c r="BD19" s="7">
        <v>1582264</v>
      </c>
      <c r="BE19" s="7">
        <v>1575446</v>
      </c>
      <c r="BF19" s="7">
        <v>1564852</v>
      </c>
      <c r="BG19" s="7">
        <v>1563912</v>
      </c>
      <c r="BH19" s="7">
        <v>1632820</v>
      </c>
      <c r="BI19" s="7">
        <v>1645756</v>
      </c>
      <c r="BJ19" s="7">
        <v>1632338</v>
      </c>
      <c r="BK19" s="7">
        <v>1635999</v>
      </c>
      <c r="BL19" s="7">
        <v>1640187</v>
      </c>
      <c r="BM19" s="7">
        <v>1698862</v>
      </c>
      <c r="BN19" s="7">
        <v>1681074</v>
      </c>
      <c r="BO19" s="7">
        <v>1698727</v>
      </c>
      <c r="BP19" s="7">
        <v>1651065</v>
      </c>
      <c r="BQ19" s="7">
        <v>1730050</v>
      </c>
      <c r="BR19" s="7">
        <v>1775800</v>
      </c>
      <c r="BS19" s="7">
        <v>1773356</v>
      </c>
      <c r="BT19" s="7">
        <v>1758059</v>
      </c>
      <c r="BU19" s="7">
        <v>1776824</v>
      </c>
      <c r="BV19" s="7">
        <v>1851011</v>
      </c>
      <c r="BW19" s="7">
        <v>1868106</v>
      </c>
      <c r="BX19" s="7">
        <v>1881225</v>
      </c>
      <c r="BY19" s="7">
        <v>1930528</v>
      </c>
      <c r="BZ19" s="7">
        <v>1989881</v>
      </c>
      <c r="CA19" s="7">
        <v>2029000</v>
      </c>
      <c r="CB19" s="7">
        <v>2022672</v>
      </c>
      <c r="CC19" s="7">
        <v>2075492</v>
      </c>
      <c r="CD19" s="7">
        <v>2074468</v>
      </c>
      <c r="CE19" s="7">
        <v>2113692</v>
      </c>
      <c r="CF19" s="7">
        <v>2151215</v>
      </c>
      <c r="CG19" s="7">
        <v>2164908</v>
      </c>
      <c r="CH19" s="7">
        <v>2239850</v>
      </c>
      <c r="CI19" s="7">
        <v>2235473</v>
      </c>
      <c r="CJ19" s="7">
        <v>2289758</v>
      </c>
      <c r="CK19" s="13">
        <v>2315032</v>
      </c>
      <c r="CL19" s="13">
        <v>2303883</v>
      </c>
      <c r="CM19" s="13">
        <v>2306531</v>
      </c>
      <c r="CN19" s="13">
        <v>2265505</v>
      </c>
      <c r="CO19" s="13">
        <v>2368030</v>
      </c>
      <c r="CP19" s="13">
        <v>2405951</v>
      </c>
      <c r="CQ19" s="13">
        <v>2391347</v>
      </c>
      <c r="CR19" s="13">
        <v>2452363</v>
      </c>
      <c r="CS19" s="13">
        <v>2564167</v>
      </c>
      <c r="CT19" s="13">
        <v>2619837</v>
      </c>
      <c r="CU19" s="13">
        <v>2613839</v>
      </c>
      <c r="CV19" s="13">
        <v>2706578</v>
      </c>
      <c r="CW19" s="13">
        <v>2735329</v>
      </c>
      <c r="CX19" s="13">
        <v>2795115</v>
      </c>
      <c r="CY19" s="13">
        <v>2782535</v>
      </c>
      <c r="CZ19" s="13">
        <v>2916244</v>
      </c>
      <c r="DA19" s="13">
        <v>2920866</v>
      </c>
      <c r="DB19" s="13">
        <v>2950920</v>
      </c>
      <c r="DC19" s="13">
        <v>2994675</v>
      </c>
      <c r="DD19" s="13">
        <v>2980730</v>
      </c>
      <c r="DE19" s="13">
        <v>3037529</v>
      </c>
      <c r="DF19" s="13">
        <v>3139008</v>
      </c>
      <c r="DG19" s="13">
        <v>3135060</v>
      </c>
      <c r="DH19" s="13">
        <v>3078965</v>
      </c>
      <c r="DI19" s="13">
        <v>3046548</v>
      </c>
      <c r="DJ19" s="7">
        <v>2942074</v>
      </c>
      <c r="DK19" s="7">
        <v>2912177</v>
      </c>
      <c r="DL19" s="7">
        <v>2844893</v>
      </c>
      <c r="DM19" s="7">
        <v>2833558</v>
      </c>
      <c r="DN19" s="7">
        <v>2826256</v>
      </c>
      <c r="DO19" s="7">
        <v>2779406</v>
      </c>
      <c r="DP19" s="7">
        <v>2732199</v>
      </c>
      <c r="DQ19" s="7">
        <v>2848492</v>
      </c>
      <c r="DR19" s="7">
        <v>2844003</v>
      </c>
      <c r="DS19" s="7">
        <v>2789466</v>
      </c>
      <c r="DT19" s="7">
        <v>2917925</v>
      </c>
      <c r="DU19" s="7">
        <v>2909768</v>
      </c>
      <c r="DV19" s="7">
        <v>2910693</v>
      </c>
      <c r="DW19" s="7">
        <v>2877867</v>
      </c>
      <c r="DX19" s="7">
        <v>2966030</v>
      </c>
      <c r="DY19" s="7">
        <v>2971281</v>
      </c>
      <c r="DZ19" s="7">
        <v>2939148</v>
      </c>
      <c r="EA19" s="7">
        <v>2877141</v>
      </c>
      <c r="EB19" s="7">
        <v>2876672</v>
      </c>
      <c r="EC19" s="7">
        <v>2893255</v>
      </c>
      <c r="ED19" s="7">
        <v>2915338</v>
      </c>
      <c r="EE19" s="7">
        <v>2900599</v>
      </c>
      <c r="EF19" s="7">
        <v>2928990</v>
      </c>
      <c r="EG19" s="7">
        <v>2952064</v>
      </c>
      <c r="EH19" s="7">
        <v>2989250</v>
      </c>
      <c r="EI19" s="7">
        <v>2955262</v>
      </c>
      <c r="EJ19" s="25">
        <f t="shared" si="0"/>
        <v>181482</v>
      </c>
      <c r="EK19" s="7">
        <v>3136744</v>
      </c>
      <c r="EL19" s="25">
        <f t="shared" si="1"/>
        <v>-44024</v>
      </c>
      <c r="EM19" s="7">
        <v>3092720</v>
      </c>
      <c r="EN19" s="25">
        <f t="shared" si="2"/>
        <v>104560</v>
      </c>
      <c r="EO19" s="7">
        <v>3197280</v>
      </c>
      <c r="EP19" s="25">
        <f t="shared" si="3"/>
        <v>5193</v>
      </c>
      <c r="EQ19" s="7">
        <v>3202473</v>
      </c>
      <c r="ER19" s="25">
        <f t="shared" si="4"/>
        <v>78129</v>
      </c>
      <c r="ES19" s="7">
        <v>3280602</v>
      </c>
      <c r="ET19" s="25">
        <f t="shared" si="5"/>
        <v>-39081</v>
      </c>
      <c r="EU19" s="7">
        <v>3241521</v>
      </c>
      <c r="EV19" s="25">
        <f t="shared" si="6"/>
        <v>27762</v>
      </c>
      <c r="EW19" s="7">
        <v>3269283</v>
      </c>
      <c r="EX19" s="7">
        <v>3219446</v>
      </c>
      <c r="EY19" s="7">
        <v>3085425</v>
      </c>
      <c r="EZ19" s="7">
        <v>3106632</v>
      </c>
      <c r="FA19" s="7">
        <v>3113104</v>
      </c>
      <c r="FB19" s="7">
        <v>3096225</v>
      </c>
      <c r="FC19" s="7">
        <v>3125840</v>
      </c>
      <c r="FD19" s="7">
        <v>3135585</v>
      </c>
      <c r="FE19" s="7">
        <v>3148110</v>
      </c>
      <c r="FF19" s="7">
        <v>3163018</v>
      </c>
      <c r="FG19" s="7">
        <v>3116900</v>
      </c>
      <c r="FH19" s="7">
        <v>3043634</v>
      </c>
      <c r="FI19" s="7">
        <v>3108669</v>
      </c>
      <c r="FJ19" s="7">
        <v>3055171</v>
      </c>
    </row>
    <row r="20" spans="1:166" x14ac:dyDescent="0.4">
      <c r="A20" s="35" t="s">
        <v>27</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v>151691</v>
      </c>
      <c r="BW20" s="7">
        <v>168691</v>
      </c>
      <c r="BX20" s="7">
        <v>186191</v>
      </c>
      <c r="BY20" s="7">
        <v>190111</v>
      </c>
      <c r="BZ20" s="7">
        <v>194888</v>
      </c>
      <c r="CA20" s="7">
        <v>194104</v>
      </c>
      <c r="CB20" s="7">
        <v>255214</v>
      </c>
      <c r="CC20" s="7">
        <v>233654</v>
      </c>
      <c r="CD20" s="7">
        <v>220852</v>
      </c>
      <c r="CE20" s="7">
        <v>242852</v>
      </c>
      <c r="CF20" s="7">
        <v>234852</v>
      </c>
      <c r="CG20" s="7">
        <v>209052</v>
      </c>
      <c r="CH20" s="7">
        <v>281021</v>
      </c>
      <c r="CI20" s="7">
        <v>279021</v>
      </c>
      <c r="CJ20" s="7">
        <v>268821</v>
      </c>
      <c r="CK20" s="13">
        <v>329973</v>
      </c>
      <c r="CL20" s="13">
        <v>350978</v>
      </c>
      <c r="CM20" s="13">
        <v>345171</v>
      </c>
      <c r="CN20" s="13">
        <v>338530</v>
      </c>
      <c r="CO20" s="13">
        <v>380488</v>
      </c>
      <c r="CP20" s="13">
        <v>442576</v>
      </c>
      <c r="CQ20" s="13">
        <v>456594</v>
      </c>
      <c r="CR20" s="13">
        <v>469228</v>
      </c>
      <c r="CS20" s="13">
        <v>514268</v>
      </c>
      <c r="CT20" s="13">
        <v>454808</v>
      </c>
      <c r="CU20" s="13">
        <v>467798</v>
      </c>
      <c r="CV20" s="13">
        <v>539362</v>
      </c>
      <c r="CW20" s="13">
        <v>499447</v>
      </c>
      <c r="CX20" s="13">
        <v>510906</v>
      </c>
      <c r="CY20" s="13">
        <v>513419</v>
      </c>
      <c r="CZ20" s="13">
        <v>505469</v>
      </c>
      <c r="DA20" s="13">
        <v>506144</v>
      </c>
      <c r="DB20" s="13">
        <v>460501</v>
      </c>
      <c r="DC20" s="13">
        <v>432210</v>
      </c>
      <c r="DD20" s="13">
        <v>464584</v>
      </c>
      <c r="DE20" s="13">
        <v>438453</v>
      </c>
      <c r="DF20" s="13">
        <v>451371</v>
      </c>
      <c r="DG20" s="13">
        <v>487603</v>
      </c>
      <c r="DH20" s="13">
        <v>429934</v>
      </c>
      <c r="DI20" s="13">
        <v>419510</v>
      </c>
      <c r="DJ20" s="7">
        <v>389455</v>
      </c>
      <c r="DK20" s="7">
        <v>447384</v>
      </c>
      <c r="DL20" s="7">
        <v>445176</v>
      </c>
      <c r="DM20" s="7">
        <v>443007</v>
      </c>
      <c r="DN20" s="7">
        <v>461255</v>
      </c>
      <c r="DO20" s="7">
        <v>497395</v>
      </c>
      <c r="DP20" s="7">
        <v>588731</v>
      </c>
      <c r="DQ20" s="7">
        <v>639264</v>
      </c>
      <c r="DR20" s="7">
        <v>609957</v>
      </c>
      <c r="DS20" s="7">
        <v>587713</v>
      </c>
      <c r="DT20" s="7">
        <v>593414</v>
      </c>
      <c r="DU20" s="7">
        <v>590743</v>
      </c>
      <c r="DV20" s="7">
        <v>593026</v>
      </c>
      <c r="DW20" s="7">
        <v>566536</v>
      </c>
      <c r="DX20" s="7">
        <v>596109</v>
      </c>
      <c r="DY20" s="7">
        <v>577265</v>
      </c>
      <c r="DZ20" s="7">
        <v>554715</v>
      </c>
      <c r="EA20" s="7">
        <v>580480</v>
      </c>
      <c r="EB20" s="7">
        <v>457111</v>
      </c>
      <c r="EC20" s="7">
        <v>512920</v>
      </c>
      <c r="ED20" s="7">
        <v>569123</v>
      </c>
      <c r="EE20" s="7">
        <v>565462</v>
      </c>
      <c r="EF20" s="7">
        <v>611080</v>
      </c>
      <c r="EG20" s="7">
        <v>671192</v>
      </c>
      <c r="EH20" s="7">
        <v>653783</v>
      </c>
      <c r="EI20" s="7">
        <v>628990</v>
      </c>
      <c r="EJ20" s="25">
        <f t="shared" si="0"/>
        <v>-50654</v>
      </c>
      <c r="EK20" s="7">
        <v>578336</v>
      </c>
      <c r="EL20" s="25">
        <f t="shared" si="1"/>
        <v>34410</v>
      </c>
      <c r="EM20" s="7">
        <v>612746</v>
      </c>
      <c r="EN20" s="25">
        <f t="shared" si="2"/>
        <v>22133</v>
      </c>
      <c r="EO20" s="7">
        <v>634879</v>
      </c>
      <c r="EP20" s="25">
        <f t="shared" si="3"/>
        <v>-39633</v>
      </c>
      <c r="EQ20" s="7">
        <v>595246</v>
      </c>
      <c r="ER20" s="25">
        <f t="shared" si="4"/>
        <v>42938</v>
      </c>
      <c r="ES20" s="7">
        <v>638184</v>
      </c>
      <c r="ET20" s="25">
        <f t="shared" si="5"/>
        <v>-70757</v>
      </c>
      <c r="EU20" s="7">
        <v>567427</v>
      </c>
      <c r="EV20" s="25">
        <f t="shared" si="6"/>
        <v>-36647</v>
      </c>
      <c r="EW20" s="7">
        <v>530780</v>
      </c>
      <c r="EX20" s="7">
        <v>538890</v>
      </c>
      <c r="EY20" s="7">
        <v>476268</v>
      </c>
      <c r="EZ20" s="7">
        <v>395702</v>
      </c>
      <c r="FA20" s="7">
        <v>431632</v>
      </c>
      <c r="FB20" s="7">
        <v>534671</v>
      </c>
      <c r="FC20" s="7">
        <v>585002</v>
      </c>
      <c r="FD20" s="7">
        <v>568395</v>
      </c>
      <c r="FE20" s="7">
        <v>563608</v>
      </c>
      <c r="FF20" s="7">
        <v>565283</v>
      </c>
      <c r="FG20" s="7">
        <v>515920</v>
      </c>
      <c r="FH20" s="7">
        <v>472050</v>
      </c>
      <c r="FI20" s="7">
        <v>591706</v>
      </c>
      <c r="FJ20" s="7">
        <v>597122</v>
      </c>
    </row>
    <row r="21" spans="1:166" x14ac:dyDescent="0.4">
      <c r="A21" s="35" t="s">
        <v>30</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v>1699320</v>
      </c>
      <c r="BW21" s="7">
        <v>1699416</v>
      </c>
      <c r="BX21" s="7">
        <v>1695035</v>
      </c>
      <c r="BY21" s="7">
        <v>1740417</v>
      </c>
      <c r="BZ21" s="7">
        <v>1794993</v>
      </c>
      <c r="CA21" s="7">
        <v>1834896</v>
      </c>
      <c r="CB21" s="7">
        <v>1767459</v>
      </c>
      <c r="CC21" s="7">
        <v>1841839</v>
      </c>
      <c r="CD21" s="7">
        <v>1853616</v>
      </c>
      <c r="CE21" s="7">
        <v>1870840</v>
      </c>
      <c r="CF21" s="7">
        <v>1916363</v>
      </c>
      <c r="CG21" s="7">
        <v>1955856</v>
      </c>
      <c r="CH21" s="7">
        <v>1958828</v>
      </c>
      <c r="CI21" s="7">
        <v>1956451</v>
      </c>
      <c r="CJ21" s="7">
        <v>2020937</v>
      </c>
      <c r="CK21" s="13">
        <v>1985059</v>
      </c>
      <c r="CL21" s="13">
        <v>1952906</v>
      </c>
      <c r="CM21" s="13">
        <v>1961361</v>
      </c>
      <c r="CN21" s="13">
        <v>1926975</v>
      </c>
      <c r="CO21" s="13">
        <v>1987542</v>
      </c>
      <c r="CP21" s="13">
        <v>1963375</v>
      </c>
      <c r="CQ21" s="13">
        <v>1934752</v>
      </c>
      <c r="CR21" s="13">
        <v>1983134</v>
      </c>
      <c r="CS21" s="13">
        <v>2049898</v>
      </c>
      <c r="CT21" s="13">
        <v>2165028</v>
      </c>
      <c r="CU21" s="13">
        <v>2146041</v>
      </c>
      <c r="CV21" s="13">
        <v>2167217</v>
      </c>
      <c r="CW21" s="13">
        <v>2235882</v>
      </c>
      <c r="CX21" s="13">
        <v>2284209</v>
      </c>
      <c r="CY21" s="13">
        <v>2269116</v>
      </c>
      <c r="CZ21" s="13">
        <v>2410775</v>
      </c>
      <c r="DA21" s="13">
        <v>2414722</v>
      </c>
      <c r="DB21" s="13">
        <v>2490419</v>
      </c>
      <c r="DC21" s="13">
        <v>2562465</v>
      </c>
      <c r="DD21" s="13">
        <v>2516146</v>
      </c>
      <c r="DE21" s="13">
        <v>2599076</v>
      </c>
      <c r="DF21" s="13">
        <v>2687637</v>
      </c>
      <c r="DG21" s="13">
        <v>2647457</v>
      </c>
      <c r="DH21" s="13">
        <v>2649031</v>
      </c>
      <c r="DI21" s="13">
        <v>2627038</v>
      </c>
      <c r="DJ21" s="7">
        <v>2552619</v>
      </c>
      <c r="DK21" s="7">
        <v>2464793</v>
      </c>
      <c r="DL21" s="7">
        <v>2399718</v>
      </c>
      <c r="DM21" s="7">
        <v>2390551</v>
      </c>
      <c r="DN21" s="7">
        <v>2365001</v>
      </c>
      <c r="DO21" s="7">
        <v>2282011</v>
      </c>
      <c r="DP21" s="7">
        <v>2143468</v>
      </c>
      <c r="DQ21" s="7">
        <v>2209228</v>
      </c>
      <c r="DR21" s="7">
        <v>2234047</v>
      </c>
      <c r="DS21" s="7">
        <v>2201753</v>
      </c>
      <c r="DT21" s="7">
        <v>2324511</v>
      </c>
      <c r="DU21" s="7">
        <v>2319025</v>
      </c>
      <c r="DV21" s="7">
        <v>2317667</v>
      </c>
      <c r="DW21" s="7">
        <v>2311330</v>
      </c>
      <c r="DX21" s="7">
        <v>2369921</v>
      </c>
      <c r="DY21" s="7">
        <v>2394017</v>
      </c>
      <c r="DZ21" s="7">
        <v>2384433</v>
      </c>
      <c r="EA21" s="7">
        <v>2296661</v>
      </c>
      <c r="EB21" s="7">
        <v>2419561</v>
      </c>
      <c r="EC21" s="7">
        <v>2380335</v>
      </c>
      <c r="ED21" s="7">
        <v>2346215</v>
      </c>
      <c r="EE21" s="7">
        <v>2335137</v>
      </c>
      <c r="EF21" s="7">
        <v>2317910</v>
      </c>
      <c r="EG21" s="7">
        <v>2280873</v>
      </c>
      <c r="EH21" s="7">
        <v>2335467</v>
      </c>
      <c r="EI21" s="7">
        <v>2326273</v>
      </c>
      <c r="EJ21" s="25">
        <f t="shared" si="0"/>
        <v>232135</v>
      </c>
      <c r="EK21" s="7">
        <v>2558408</v>
      </c>
      <c r="EL21" s="25">
        <f t="shared" si="1"/>
        <v>-78434</v>
      </c>
      <c r="EM21" s="7">
        <v>2479974</v>
      </c>
      <c r="EN21" s="25">
        <f t="shared" si="2"/>
        <v>82427</v>
      </c>
      <c r="EO21" s="7">
        <v>2562401</v>
      </c>
      <c r="EP21" s="25">
        <f t="shared" si="3"/>
        <v>44825</v>
      </c>
      <c r="EQ21" s="7">
        <v>2607226</v>
      </c>
      <c r="ER21" s="25">
        <f t="shared" si="4"/>
        <v>35192</v>
      </c>
      <c r="ES21" s="7">
        <v>2642418</v>
      </c>
      <c r="ET21" s="25">
        <f t="shared" si="5"/>
        <v>31677</v>
      </c>
      <c r="EU21" s="7">
        <v>2674095</v>
      </c>
      <c r="EV21" s="25">
        <f t="shared" si="6"/>
        <v>64409</v>
      </c>
      <c r="EW21" s="7">
        <v>2738504</v>
      </c>
      <c r="EX21" s="7">
        <v>2680556</v>
      </c>
      <c r="EY21" s="7">
        <v>2609157</v>
      </c>
      <c r="EZ21" s="7">
        <v>2710930</v>
      </c>
      <c r="FA21" s="7">
        <v>2681472</v>
      </c>
      <c r="FB21" s="7">
        <v>2561554</v>
      </c>
      <c r="FC21" s="7">
        <v>2540837</v>
      </c>
      <c r="FD21" s="7">
        <v>2567191</v>
      </c>
      <c r="FE21" s="7">
        <v>2584502</v>
      </c>
      <c r="FF21" s="7">
        <v>2597736</v>
      </c>
      <c r="FG21" s="7">
        <v>2600980</v>
      </c>
      <c r="FH21" s="7">
        <v>2571584</v>
      </c>
      <c r="FI21" s="7">
        <v>2516962</v>
      </c>
      <c r="FJ21" s="7">
        <v>2458049</v>
      </c>
    </row>
    <row r="22" spans="1:166" x14ac:dyDescent="0.4">
      <c r="A22" s="34" t="s">
        <v>4</v>
      </c>
      <c r="B22" s="7">
        <v>15000</v>
      </c>
      <c r="C22" s="7">
        <v>15000</v>
      </c>
      <c r="D22" s="7">
        <v>15000</v>
      </c>
      <c r="E22" s="7">
        <v>15000</v>
      </c>
      <c r="F22" s="7">
        <v>18000</v>
      </c>
      <c r="G22" s="7">
        <v>18000</v>
      </c>
      <c r="H22" s="7">
        <v>18000</v>
      </c>
      <c r="I22" s="7">
        <v>18000</v>
      </c>
      <c r="J22" s="7">
        <v>18000</v>
      </c>
      <c r="K22" s="7">
        <v>18000</v>
      </c>
      <c r="L22" s="7">
        <v>18000</v>
      </c>
      <c r="M22" s="7">
        <v>18000</v>
      </c>
      <c r="N22" s="7">
        <v>18000</v>
      </c>
      <c r="O22" s="7">
        <v>18000</v>
      </c>
      <c r="P22" s="7">
        <v>18000</v>
      </c>
      <c r="Q22" s="7">
        <v>18000</v>
      </c>
      <c r="R22" s="7">
        <v>18000</v>
      </c>
      <c r="S22" s="7">
        <v>18000</v>
      </c>
      <c r="T22" s="7">
        <v>18000</v>
      </c>
      <c r="U22" s="7">
        <v>18000</v>
      </c>
      <c r="V22" s="7">
        <v>18000</v>
      </c>
      <c r="W22" s="7">
        <v>18000</v>
      </c>
      <c r="X22" s="7">
        <v>18000</v>
      </c>
      <c r="Y22" s="7">
        <v>13000</v>
      </c>
      <c r="Z22" s="7">
        <v>13000</v>
      </c>
      <c r="AA22" s="7">
        <v>13000</v>
      </c>
      <c r="AB22" s="7">
        <v>13000</v>
      </c>
      <c r="AC22" s="7">
        <v>13000</v>
      </c>
      <c r="AD22" s="7">
        <v>13000</v>
      </c>
      <c r="AE22" s="7">
        <v>13000</v>
      </c>
      <c r="AF22" s="7">
        <v>13000</v>
      </c>
      <c r="AG22" s="7">
        <v>13000</v>
      </c>
      <c r="AH22" s="7">
        <v>13000</v>
      </c>
      <c r="AI22" s="7">
        <v>13000</v>
      </c>
      <c r="AJ22" s="7">
        <v>13000</v>
      </c>
      <c r="AK22" s="7">
        <v>13000</v>
      </c>
      <c r="AL22" s="7">
        <v>13000</v>
      </c>
      <c r="AM22" s="7">
        <v>13000</v>
      </c>
      <c r="AN22" s="7">
        <v>13000</v>
      </c>
      <c r="AO22" s="7">
        <v>13000</v>
      </c>
      <c r="AP22" s="7">
        <v>13000</v>
      </c>
      <c r="AQ22" s="7">
        <v>13000</v>
      </c>
      <c r="AR22" s="7">
        <v>13000</v>
      </c>
      <c r="AS22" s="7">
        <v>13000</v>
      </c>
      <c r="AT22" s="7">
        <v>13000</v>
      </c>
      <c r="AU22" s="7">
        <v>13000</v>
      </c>
      <c r="AV22" s="7">
        <v>13000</v>
      </c>
      <c r="AW22" s="7">
        <v>13000</v>
      </c>
      <c r="AX22" s="7">
        <v>13000</v>
      </c>
      <c r="AY22" s="7">
        <v>13000</v>
      </c>
      <c r="AZ22" s="7">
        <v>13000</v>
      </c>
      <c r="BA22" s="7">
        <v>13000</v>
      </c>
      <c r="BB22" s="7">
        <v>17000</v>
      </c>
      <c r="BC22" s="7">
        <v>17000</v>
      </c>
      <c r="BD22" s="7">
        <v>17000</v>
      </c>
      <c r="BE22" s="7">
        <v>17000</v>
      </c>
      <c r="BF22" s="7">
        <v>17000</v>
      </c>
      <c r="BG22" s="7">
        <v>12000</v>
      </c>
      <c r="BH22" s="7">
        <v>12000</v>
      </c>
      <c r="BI22" s="7">
        <v>7000</v>
      </c>
      <c r="BJ22" s="7">
        <v>7000</v>
      </c>
      <c r="BK22" s="7">
        <v>7000</v>
      </c>
      <c r="BL22" s="7">
        <v>7000</v>
      </c>
      <c r="BM22" s="7">
        <v>7000</v>
      </c>
      <c r="BN22" s="7">
        <v>7000</v>
      </c>
      <c r="BO22" s="7">
        <v>7000</v>
      </c>
      <c r="BP22" s="7">
        <v>7000</v>
      </c>
      <c r="BQ22" s="7">
        <v>7000</v>
      </c>
      <c r="BR22" s="7">
        <v>7000</v>
      </c>
      <c r="BS22" s="7">
        <v>7000</v>
      </c>
      <c r="BT22" s="7">
        <v>7000</v>
      </c>
      <c r="BU22" s="7">
        <v>7000</v>
      </c>
      <c r="BV22" s="7">
        <v>7000</v>
      </c>
      <c r="BW22" s="7">
        <v>7000</v>
      </c>
      <c r="BX22" s="7">
        <v>7000</v>
      </c>
      <c r="BY22" s="7">
        <v>7000</v>
      </c>
      <c r="BZ22" s="7">
        <v>7000</v>
      </c>
      <c r="CA22" s="7">
        <v>7000</v>
      </c>
      <c r="CB22" s="7">
        <v>7000</v>
      </c>
      <c r="CC22" s="7">
        <v>7000</v>
      </c>
      <c r="CD22" s="7">
        <v>7000</v>
      </c>
      <c r="CE22" s="7">
        <v>4000</v>
      </c>
      <c r="CF22" s="7">
        <v>7000</v>
      </c>
      <c r="CG22" s="7">
        <v>7000</v>
      </c>
      <c r="CH22" s="7">
        <v>7000</v>
      </c>
      <c r="CI22" s="7">
        <v>7000</v>
      </c>
      <c r="CJ22" s="7">
        <v>7282</v>
      </c>
      <c r="CK22" s="13">
        <v>7343</v>
      </c>
      <c r="CL22" s="13">
        <v>7043</v>
      </c>
      <c r="CM22" s="13">
        <v>7101</v>
      </c>
      <c r="CN22" s="13">
        <v>7157</v>
      </c>
      <c r="CO22" s="13">
        <v>7215</v>
      </c>
      <c r="CP22" s="13">
        <v>7273</v>
      </c>
      <c r="CQ22" s="13">
        <v>7329</v>
      </c>
      <c r="CR22" s="13">
        <v>7047</v>
      </c>
      <c r="CS22" s="13">
        <v>7103</v>
      </c>
      <c r="CT22" s="13">
        <v>7161</v>
      </c>
      <c r="CU22" s="13">
        <v>7219</v>
      </c>
      <c r="CV22" s="13">
        <v>7271</v>
      </c>
      <c r="CW22" s="13">
        <v>7329</v>
      </c>
      <c r="CX22" s="13">
        <v>7035</v>
      </c>
      <c r="CY22" s="13">
        <v>7082</v>
      </c>
      <c r="CZ22" s="13">
        <v>7127</v>
      </c>
      <c r="DA22" s="13">
        <v>7174</v>
      </c>
      <c r="DB22" s="13">
        <v>7221</v>
      </c>
      <c r="DC22" s="13">
        <v>7266</v>
      </c>
      <c r="DD22" s="13">
        <v>4021</v>
      </c>
      <c r="DE22" s="13">
        <v>4044</v>
      </c>
      <c r="DF22" s="13">
        <v>4068</v>
      </c>
      <c r="DG22" s="13">
        <v>4091</v>
      </c>
      <c r="DH22" s="13">
        <v>4113</v>
      </c>
      <c r="DI22" s="13">
        <v>4137</v>
      </c>
      <c r="DJ22" s="7">
        <v>0</v>
      </c>
      <c r="DK22" s="7">
        <v>0</v>
      </c>
      <c r="DL22" s="7">
        <v>0</v>
      </c>
      <c r="DM22" s="7">
        <v>0</v>
      </c>
      <c r="DN22" s="7">
        <v>0</v>
      </c>
      <c r="DO22" s="7">
        <v>0</v>
      </c>
      <c r="DP22" s="7">
        <v>0</v>
      </c>
      <c r="DQ22" s="7">
        <v>0</v>
      </c>
      <c r="DR22" s="7">
        <v>0</v>
      </c>
      <c r="DS22" s="7">
        <v>0</v>
      </c>
      <c r="DT22" s="7">
        <v>0</v>
      </c>
      <c r="DU22" s="7">
        <v>0</v>
      </c>
      <c r="DV22" s="7">
        <v>0</v>
      </c>
      <c r="DW22" s="7">
        <v>0</v>
      </c>
      <c r="DX22" s="7">
        <v>0</v>
      </c>
      <c r="DY22" s="7">
        <v>0</v>
      </c>
      <c r="DZ22" s="7">
        <v>0</v>
      </c>
      <c r="EA22" s="7">
        <v>0</v>
      </c>
      <c r="EB22" s="7">
        <v>0</v>
      </c>
      <c r="EC22" s="7">
        <v>0</v>
      </c>
      <c r="ED22" s="7">
        <v>0</v>
      </c>
      <c r="EE22" s="7">
        <v>0</v>
      </c>
      <c r="EF22" s="7">
        <v>0</v>
      </c>
      <c r="EG22" s="7">
        <v>0</v>
      </c>
      <c r="EH22" s="7">
        <v>0</v>
      </c>
      <c r="EI22" s="7">
        <v>0</v>
      </c>
      <c r="EJ22" s="25">
        <f t="shared" si="0"/>
        <v>0</v>
      </c>
      <c r="EK22" s="7">
        <v>0</v>
      </c>
      <c r="EL22" s="25">
        <f t="shared" si="1"/>
        <v>0</v>
      </c>
      <c r="EM22" s="7">
        <v>0</v>
      </c>
      <c r="EN22" s="25">
        <f t="shared" si="2"/>
        <v>0</v>
      </c>
      <c r="EO22" s="7">
        <v>0</v>
      </c>
      <c r="EP22" s="25">
        <f t="shared" si="3"/>
        <v>0</v>
      </c>
      <c r="EQ22" s="7">
        <v>0</v>
      </c>
      <c r="ER22" s="25">
        <f t="shared" si="4"/>
        <v>0</v>
      </c>
      <c r="ES22" s="7">
        <v>0</v>
      </c>
      <c r="ET22" s="25">
        <f t="shared" si="5"/>
        <v>0</v>
      </c>
      <c r="EU22" s="7">
        <v>0</v>
      </c>
      <c r="EV22" s="25">
        <f t="shared" si="6"/>
        <v>0</v>
      </c>
      <c r="EW22" s="7">
        <v>0</v>
      </c>
      <c r="EX22" s="7">
        <v>0</v>
      </c>
      <c r="EY22" s="7">
        <v>0</v>
      </c>
      <c r="EZ22" s="7">
        <v>0</v>
      </c>
      <c r="FA22" s="7">
        <v>0</v>
      </c>
      <c r="FB22" s="7">
        <v>0</v>
      </c>
      <c r="FC22" s="7">
        <v>0</v>
      </c>
      <c r="FD22" s="7">
        <v>0</v>
      </c>
      <c r="FE22" s="7">
        <v>0</v>
      </c>
      <c r="FF22" s="7">
        <v>0</v>
      </c>
      <c r="FG22" s="7">
        <v>0</v>
      </c>
      <c r="FH22" s="7">
        <v>0</v>
      </c>
      <c r="FI22" s="7">
        <v>0</v>
      </c>
      <c r="FJ22" s="7">
        <v>0</v>
      </c>
    </row>
    <row r="23" spans="1:166" x14ac:dyDescent="0.4">
      <c r="A23" s="35" t="s">
        <v>13</v>
      </c>
      <c r="B23" s="7">
        <v>0</v>
      </c>
      <c r="C23" s="7">
        <v>0</v>
      </c>
      <c r="D23" s="7">
        <v>0</v>
      </c>
      <c r="E23" s="7">
        <v>0</v>
      </c>
      <c r="F23" s="7">
        <v>0</v>
      </c>
      <c r="G23" s="7">
        <v>0</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v>0</v>
      </c>
      <c r="BM23" s="7">
        <v>0</v>
      </c>
      <c r="BN23" s="7">
        <v>0</v>
      </c>
      <c r="BO23" s="7">
        <v>0</v>
      </c>
      <c r="BP23" s="7">
        <v>0</v>
      </c>
      <c r="BQ23" s="7">
        <v>0</v>
      </c>
      <c r="BR23" s="7">
        <v>0</v>
      </c>
      <c r="BS23" s="7">
        <v>0</v>
      </c>
      <c r="BT23" s="7">
        <v>0</v>
      </c>
      <c r="BU23" s="7">
        <v>0</v>
      </c>
      <c r="BV23" s="7">
        <v>0</v>
      </c>
      <c r="BW23" s="7">
        <v>0</v>
      </c>
      <c r="BX23" s="7">
        <v>0</v>
      </c>
      <c r="BY23" s="7">
        <v>0</v>
      </c>
      <c r="BZ23" s="7">
        <v>0</v>
      </c>
      <c r="CA23" s="7">
        <v>0</v>
      </c>
      <c r="CB23" s="7">
        <v>0</v>
      </c>
      <c r="CC23" s="7">
        <v>0</v>
      </c>
      <c r="CD23" s="7">
        <v>0</v>
      </c>
      <c r="CE23" s="7">
        <v>0</v>
      </c>
      <c r="CF23" s="7">
        <v>0</v>
      </c>
      <c r="CG23" s="7">
        <v>0</v>
      </c>
      <c r="CH23" s="7">
        <v>0</v>
      </c>
      <c r="CI23" s="7">
        <v>0</v>
      </c>
      <c r="CJ23" s="7">
        <v>0</v>
      </c>
      <c r="CK23" s="7">
        <v>0</v>
      </c>
      <c r="CL23" s="7">
        <v>0</v>
      </c>
      <c r="CM23" s="7">
        <v>0</v>
      </c>
      <c r="CN23" s="7">
        <v>0</v>
      </c>
      <c r="CO23" s="7">
        <v>0</v>
      </c>
      <c r="CP23" s="7">
        <v>0</v>
      </c>
      <c r="CQ23" s="7">
        <v>0</v>
      </c>
      <c r="CR23" s="7">
        <v>0</v>
      </c>
      <c r="CS23" s="7">
        <v>0</v>
      </c>
      <c r="CT23" s="7">
        <v>0</v>
      </c>
      <c r="CU23" s="7">
        <v>0</v>
      </c>
      <c r="CV23" s="7">
        <v>0</v>
      </c>
      <c r="CW23" s="7">
        <v>0</v>
      </c>
      <c r="CX23" s="7">
        <v>0</v>
      </c>
      <c r="CY23" s="7">
        <v>0</v>
      </c>
      <c r="CZ23" s="7">
        <v>0</v>
      </c>
      <c r="DA23" s="7">
        <v>0</v>
      </c>
      <c r="DB23" s="7">
        <v>0</v>
      </c>
      <c r="DC23" s="7">
        <v>0</v>
      </c>
      <c r="DD23" s="7">
        <v>0</v>
      </c>
      <c r="DE23" s="7">
        <v>0</v>
      </c>
      <c r="DF23" s="7">
        <v>0</v>
      </c>
      <c r="DG23" s="7">
        <v>0</v>
      </c>
      <c r="DH23" s="7">
        <v>0</v>
      </c>
      <c r="DI23" s="7">
        <v>0</v>
      </c>
      <c r="DJ23" s="7">
        <v>0</v>
      </c>
      <c r="DK23" s="7">
        <v>0</v>
      </c>
      <c r="DL23" s="7">
        <v>0</v>
      </c>
      <c r="DM23" s="7">
        <v>0</v>
      </c>
      <c r="DN23" s="7">
        <v>0</v>
      </c>
      <c r="DO23" s="7">
        <v>0</v>
      </c>
      <c r="DP23" s="7">
        <v>0</v>
      </c>
      <c r="DQ23" s="7">
        <v>0</v>
      </c>
      <c r="DR23" s="7">
        <v>0</v>
      </c>
      <c r="DS23" s="7">
        <v>0</v>
      </c>
      <c r="DT23" s="7">
        <v>0</v>
      </c>
      <c r="DU23" s="7">
        <v>0</v>
      </c>
      <c r="DV23" s="7">
        <v>0</v>
      </c>
      <c r="DW23" s="7">
        <v>0</v>
      </c>
      <c r="DX23" s="7">
        <v>0</v>
      </c>
      <c r="DY23" s="7">
        <v>0</v>
      </c>
      <c r="DZ23" s="7">
        <v>0</v>
      </c>
      <c r="EA23" s="7">
        <v>0</v>
      </c>
      <c r="EB23" s="7">
        <v>0</v>
      </c>
      <c r="EC23" s="7">
        <v>0</v>
      </c>
      <c r="ED23" s="7">
        <v>0</v>
      </c>
      <c r="EE23" s="7">
        <v>0</v>
      </c>
      <c r="EF23" s="7">
        <v>0</v>
      </c>
      <c r="EG23" s="7">
        <v>0</v>
      </c>
      <c r="EH23" s="7">
        <v>0</v>
      </c>
      <c r="EI23" s="7">
        <v>0</v>
      </c>
      <c r="EJ23" s="25">
        <f t="shared" si="0"/>
        <v>0</v>
      </c>
      <c r="EK23" s="7">
        <v>0</v>
      </c>
      <c r="EL23" s="25">
        <f t="shared" si="1"/>
        <v>0</v>
      </c>
      <c r="EM23" s="7">
        <v>0</v>
      </c>
      <c r="EN23" s="25">
        <f t="shared" si="2"/>
        <v>0</v>
      </c>
      <c r="EO23" s="7">
        <v>0</v>
      </c>
      <c r="EP23" s="25">
        <f t="shared" si="3"/>
        <v>0</v>
      </c>
      <c r="EQ23" s="7">
        <v>0</v>
      </c>
      <c r="ER23" s="25">
        <f t="shared" si="4"/>
        <v>0</v>
      </c>
      <c r="ES23" s="7">
        <v>0</v>
      </c>
      <c r="ET23" s="25">
        <f t="shared" si="5"/>
        <v>0</v>
      </c>
      <c r="EU23" s="7">
        <v>0</v>
      </c>
      <c r="EV23" s="25">
        <f t="shared" si="6"/>
        <v>0</v>
      </c>
      <c r="EW23" s="7">
        <v>0</v>
      </c>
      <c r="EX23" s="7">
        <v>0</v>
      </c>
      <c r="EY23" s="7">
        <v>0</v>
      </c>
      <c r="EZ23" s="7">
        <v>0</v>
      </c>
      <c r="FA23" s="7">
        <v>0</v>
      </c>
      <c r="FB23" s="7">
        <v>0</v>
      </c>
      <c r="FC23" s="7">
        <v>0</v>
      </c>
      <c r="FD23" s="7">
        <v>0</v>
      </c>
      <c r="FE23" s="7">
        <v>0</v>
      </c>
      <c r="FF23" s="7">
        <v>0</v>
      </c>
      <c r="FG23" s="7">
        <v>0</v>
      </c>
      <c r="FH23" s="7">
        <v>0</v>
      </c>
      <c r="FI23" s="7">
        <v>0</v>
      </c>
      <c r="FJ23" s="7">
        <v>0</v>
      </c>
    </row>
    <row r="24" spans="1:166" x14ac:dyDescent="0.4">
      <c r="A24" s="35" t="s">
        <v>14</v>
      </c>
      <c r="B24" s="7">
        <v>15000</v>
      </c>
      <c r="C24" s="7">
        <v>15000</v>
      </c>
      <c r="D24" s="7">
        <v>15000</v>
      </c>
      <c r="E24" s="7">
        <v>15000</v>
      </c>
      <c r="F24" s="7">
        <v>18000</v>
      </c>
      <c r="G24" s="7">
        <v>18000</v>
      </c>
      <c r="H24" s="7">
        <v>18000</v>
      </c>
      <c r="I24" s="7">
        <v>18000</v>
      </c>
      <c r="J24" s="7">
        <v>18000</v>
      </c>
      <c r="K24" s="7">
        <v>18000</v>
      </c>
      <c r="L24" s="7">
        <v>18000</v>
      </c>
      <c r="M24" s="7">
        <v>18000</v>
      </c>
      <c r="N24" s="7">
        <v>18000</v>
      </c>
      <c r="O24" s="7">
        <v>18000</v>
      </c>
      <c r="P24" s="7">
        <v>18000</v>
      </c>
      <c r="Q24" s="7">
        <v>18000</v>
      </c>
      <c r="R24" s="7">
        <v>18000</v>
      </c>
      <c r="S24" s="7">
        <v>18000</v>
      </c>
      <c r="T24" s="7">
        <v>18000</v>
      </c>
      <c r="U24" s="7">
        <v>18000</v>
      </c>
      <c r="V24" s="7">
        <v>18000</v>
      </c>
      <c r="W24" s="7">
        <v>18000</v>
      </c>
      <c r="X24" s="7">
        <v>18000</v>
      </c>
      <c r="Y24" s="7">
        <v>13000</v>
      </c>
      <c r="Z24" s="7">
        <v>13000</v>
      </c>
      <c r="AA24" s="7">
        <v>13000</v>
      </c>
      <c r="AB24" s="7">
        <v>13000</v>
      </c>
      <c r="AC24" s="7">
        <v>13000</v>
      </c>
      <c r="AD24" s="7">
        <v>13000</v>
      </c>
      <c r="AE24" s="7">
        <v>13000</v>
      </c>
      <c r="AF24" s="7">
        <v>13000</v>
      </c>
      <c r="AG24" s="7">
        <v>13000</v>
      </c>
      <c r="AH24" s="7">
        <v>13000</v>
      </c>
      <c r="AI24" s="7">
        <v>13000</v>
      </c>
      <c r="AJ24" s="7">
        <v>13000</v>
      </c>
      <c r="AK24" s="7">
        <v>13000</v>
      </c>
      <c r="AL24" s="7">
        <v>13000</v>
      </c>
      <c r="AM24" s="7">
        <v>13000</v>
      </c>
      <c r="AN24" s="7">
        <v>13000</v>
      </c>
      <c r="AO24" s="7">
        <v>13000</v>
      </c>
      <c r="AP24" s="7">
        <v>13000</v>
      </c>
      <c r="AQ24" s="7">
        <v>13000</v>
      </c>
      <c r="AR24" s="7">
        <v>13000</v>
      </c>
      <c r="AS24" s="7">
        <v>13000</v>
      </c>
      <c r="AT24" s="7">
        <v>13000</v>
      </c>
      <c r="AU24" s="7">
        <v>13000</v>
      </c>
      <c r="AV24" s="7">
        <v>13000</v>
      </c>
      <c r="AW24" s="7">
        <v>13000</v>
      </c>
      <c r="AX24" s="7">
        <v>13000</v>
      </c>
      <c r="AY24" s="7">
        <v>13000</v>
      </c>
      <c r="AZ24" s="7">
        <v>13000</v>
      </c>
      <c r="BA24" s="7">
        <v>13000</v>
      </c>
      <c r="BB24" s="7">
        <v>17000</v>
      </c>
      <c r="BC24" s="7">
        <v>17000</v>
      </c>
      <c r="BD24" s="7">
        <v>17000</v>
      </c>
      <c r="BE24" s="7">
        <v>17000</v>
      </c>
      <c r="BF24" s="7">
        <v>17000</v>
      </c>
      <c r="BG24" s="7">
        <v>12000</v>
      </c>
      <c r="BH24" s="7">
        <v>12000</v>
      </c>
      <c r="BI24" s="7">
        <v>7000</v>
      </c>
      <c r="BJ24" s="7">
        <v>7000</v>
      </c>
      <c r="BK24" s="7">
        <v>7000</v>
      </c>
      <c r="BL24" s="7">
        <v>7000</v>
      </c>
      <c r="BM24" s="7">
        <v>7000</v>
      </c>
      <c r="BN24" s="7">
        <v>7000</v>
      </c>
      <c r="BO24" s="7">
        <v>7000</v>
      </c>
      <c r="BP24" s="7">
        <v>7000</v>
      </c>
      <c r="BQ24" s="7">
        <v>7000</v>
      </c>
      <c r="BR24" s="7">
        <v>7000</v>
      </c>
      <c r="BS24" s="7">
        <v>7000</v>
      </c>
      <c r="BT24" s="7">
        <v>7000</v>
      </c>
      <c r="BU24" s="7">
        <v>7000</v>
      </c>
      <c r="BV24" s="7">
        <v>7000</v>
      </c>
      <c r="BW24" s="7">
        <v>7000</v>
      </c>
      <c r="BX24" s="7">
        <v>7000</v>
      </c>
      <c r="BY24" s="7">
        <v>7000</v>
      </c>
      <c r="BZ24" s="7">
        <v>7000</v>
      </c>
      <c r="CA24" s="7">
        <v>7000</v>
      </c>
      <c r="CB24" s="7">
        <v>7000</v>
      </c>
      <c r="CC24" s="7">
        <v>7000</v>
      </c>
      <c r="CD24" s="7">
        <v>7000</v>
      </c>
      <c r="CE24" s="7">
        <v>4000</v>
      </c>
      <c r="CF24" s="7">
        <v>7000</v>
      </c>
      <c r="CG24" s="7">
        <v>7000</v>
      </c>
      <c r="CH24" s="7">
        <v>7000</v>
      </c>
      <c r="CI24" s="7">
        <v>7000</v>
      </c>
      <c r="CJ24" s="7">
        <v>7282</v>
      </c>
      <c r="CK24" s="13">
        <v>7343</v>
      </c>
      <c r="CL24" s="13">
        <v>7043</v>
      </c>
      <c r="CM24" s="13">
        <v>7101</v>
      </c>
      <c r="CN24" s="13">
        <v>7157</v>
      </c>
      <c r="CO24" s="13">
        <v>7215</v>
      </c>
      <c r="CP24" s="13">
        <v>7273</v>
      </c>
      <c r="CQ24" s="13">
        <v>7329</v>
      </c>
      <c r="CR24" s="13">
        <v>7047</v>
      </c>
      <c r="CS24" s="13">
        <v>7103</v>
      </c>
      <c r="CT24" s="13">
        <v>7161</v>
      </c>
      <c r="CU24" s="13">
        <v>7219</v>
      </c>
      <c r="CV24" s="13">
        <v>7271</v>
      </c>
      <c r="CW24" s="13">
        <v>7329</v>
      </c>
      <c r="CX24" s="13">
        <v>7035</v>
      </c>
      <c r="CY24" s="13">
        <v>7082</v>
      </c>
      <c r="CZ24" s="13">
        <v>7127</v>
      </c>
      <c r="DA24" s="13">
        <v>7174</v>
      </c>
      <c r="DB24" s="13">
        <v>7221</v>
      </c>
      <c r="DC24" s="13">
        <v>7266</v>
      </c>
      <c r="DD24" s="13">
        <v>4021</v>
      </c>
      <c r="DE24" s="13">
        <v>4044</v>
      </c>
      <c r="DF24" s="13">
        <v>4068</v>
      </c>
      <c r="DG24" s="13">
        <v>4091</v>
      </c>
      <c r="DH24" s="13">
        <v>4113</v>
      </c>
      <c r="DI24" s="13">
        <v>4137</v>
      </c>
      <c r="DJ24" s="7">
        <v>0</v>
      </c>
      <c r="DK24" s="7">
        <v>0</v>
      </c>
      <c r="DL24" s="7">
        <v>0</v>
      </c>
      <c r="DM24" s="7">
        <v>0</v>
      </c>
      <c r="DN24" s="7">
        <v>0</v>
      </c>
      <c r="DO24" s="7">
        <v>0</v>
      </c>
      <c r="DP24" s="7">
        <v>0</v>
      </c>
      <c r="DQ24" s="7">
        <v>0</v>
      </c>
      <c r="DR24" s="7">
        <v>0</v>
      </c>
      <c r="DS24" s="7">
        <v>0</v>
      </c>
      <c r="DT24" s="7">
        <v>0</v>
      </c>
      <c r="DU24" s="7">
        <v>0</v>
      </c>
      <c r="DV24" s="7">
        <v>0</v>
      </c>
      <c r="DW24" s="7">
        <v>0</v>
      </c>
      <c r="DX24" s="7">
        <v>0</v>
      </c>
      <c r="DY24" s="7">
        <v>0</v>
      </c>
      <c r="DZ24" s="7">
        <v>0</v>
      </c>
      <c r="EA24" s="7">
        <v>0</v>
      </c>
      <c r="EB24" s="7">
        <v>0</v>
      </c>
      <c r="EC24" s="7">
        <v>0</v>
      </c>
      <c r="ED24" s="7">
        <v>0</v>
      </c>
      <c r="EE24" s="7">
        <v>0</v>
      </c>
      <c r="EF24" s="7">
        <v>0</v>
      </c>
      <c r="EG24" s="7">
        <v>0</v>
      </c>
      <c r="EH24" s="7">
        <v>0</v>
      </c>
      <c r="EI24" s="7">
        <v>0</v>
      </c>
      <c r="EJ24" s="25">
        <f t="shared" si="0"/>
        <v>0</v>
      </c>
      <c r="EK24" s="7">
        <v>0</v>
      </c>
      <c r="EL24" s="25">
        <f t="shared" si="1"/>
        <v>0</v>
      </c>
      <c r="EM24" s="7">
        <v>0</v>
      </c>
      <c r="EN24" s="25">
        <f t="shared" si="2"/>
        <v>0</v>
      </c>
      <c r="EO24" s="7">
        <v>0</v>
      </c>
      <c r="EP24" s="25">
        <f t="shared" si="3"/>
        <v>0</v>
      </c>
      <c r="EQ24" s="7">
        <v>0</v>
      </c>
      <c r="ER24" s="25">
        <f t="shared" si="4"/>
        <v>0</v>
      </c>
      <c r="ES24" s="7">
        <v>0</v>
      </c>
      <c r="ET24" s="25">
        <f t="shared" si="5"/>
        <v>0</v>
      </c>
      <c r="EU24" s="7">
        <v>0</v>
      </c>
      <c r="EV24" s="25">
        <f t="shared" si="6"/>
        <v>0</v>
      </c>
      <c r="EW24" s="7">
        <v>0</v>
      </c>
      <c r="EX24" s="7">
        <v>0</v>
      </c>
      <c r="EY24" s="7">
        <v>0</v>
      </c>
      <c r="EZ24" s="7">
        <v>0</v>
      </c>
      <c r="FA24" s="7">
        <v>0</v>
      </c>
      <c r="FB24" s="7">
        <v>0</v>
      </c>
      <c r="FC24" s="7">
        <v>0</v>
      </c>
      <c r="FD24" s="7">
        <v>0</v>
      </c>
      <c r="FE24" s="7">
        <v>0</v>
      </c>
      <c r="FF24" s="7">
        <v>0</v>
      </c>
      <c r="FG24" s="7">
        <v>0</v>
      </c>
      <c r="FH24" s="7">
        <v>0</v>
      </c>
      <c r="FI24" s="7">
        <v>0</v>
      </c>
      <c r="FJ24" s="7">
        <v>0</v>
      </c>
    </row>
    <row r="25" spans="1:166" x14ac:dyDescent="0.4">
      <c r="A25" s="35" t="s">
        <v>27</v>
      </c>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v>0</v>
      </c>
      <c r="BW25" s="7">
        <v>0</v>
      </c>
      <c r="BX25" s="7">
        <v>0</v>
      </c>
      <c r="BY25" s="7">
        <v>0</v>
      </c>
      <c r="BZ25" s="7">
        <v>0</v>
      </c>
      <c r="CA25" s="7">
        <v>0</v>
      </c>
      <c r="CB25" s="7">
        <v>0</v>
      </c>
      <c r="CC25" s="7">
        <v>0</v>
      </c>
      <c r="CD25" s="7">
        <v>0</v>
      </c>
      <c r="CE25" s="7">
        <v>0</v>
      </c>
      <c r="CF25" s="7">
        <v>0</v>
      </c>
      <c r="CG25" s="7">
        <v>0</v>
      </c>
      <c r="CH25" s="7">
        <v>0</v>
      </c>
      <c r="CI25" s="7">
        <v>0</v>
      </c>
      <c r="CJ25" s="7">
        <v>0</v>
      </c>
      <c r="CK25" s="13">
        <v>0</v>
      </c>
      <c r="CL25" s="13">
        <v>0</v>
      </c>
      <c r="CM25" s="13">
        <v>0</v>
      </c>
      <c r="CN25" s="13">
        <v>0</v>
      </c>
      <c r="CO25" s="13">
        <v>0</v>
      </c>
      <c r="CP25" s="13">
        <v>0</v>
      </c>
      <c r="CQ25" s="13">
        <v>0</v>
      </c>
      <c r="CR25" s="13">
        <v>0</v>
      </c>
      <c r="CS25" s="13">
        <v>0</v>
      </c>
      <c r="CT25" s="13">
        <v>0</v>
      </c>
      <c r="CU25" s="13">
        <v>0</v>
      </c>
      <c r="CV25" s="13">
        <v>0</v>
      </c>
      <c r="CW25" s="13">
        <v>0</v>
      </c>
      <c r="CX25" s="13">
        <v>4019</v>
      </c>
      <c r="CY25" s="13">
        <v>4043</v>
      </c>
      <c r="CZ25" s="13">
        <v>4066</v>
      </c>
      <c r="DA25" s="13">
        <v>4090</v>
      </c>
      <c r="DB25" s="13">
        <v>4114</v>
      </c>
      <c r="DC25" s="13">
        <v>4137</v>
      </c>
      <c r="DD25" s="13">
        <v>4021</v>
      </c>
      <c r="DE25" s="13">
        <v>4044</v>
      </c>
      <c r="DF25" s="13">
        <v>4068</v>
      </c>
      <c r="DG25" s="13">
        <v>4091</v>
      </c>
      <c r="DH25" s="13">
        <v>4113</v>
      </c>
      <c r="DI25" s="13">
        <v>4137</v>
      </c>
      <c r="DJ25" s="7">
        <v>0</v>
      </c>
      <c r="DK25" s="7">
        <v>0</v>
      </c>
      <c r="DL25" s="7">
        <v>0</v>
      </c>
      <c r="DM25" s="7">
        <v>0</v>
      </c>
      <c r="DN25" s="7">
        <v>0</v>
      </c>
      <c r="DO25" s="7">
        <v>0</v>
      </c>
      <c r="DP25" s="7">
        <v>0</v>
      </c>
      <c r="DQ25" s="7">
        <v>0</v>
      </c>
      <c r="DR25" s="7">
        <v>0</v>
      </c>
      <c r="DS25" s="7">
        <v>0</v>
      </c>
      <c r="DT25" s="7">
        <v>0</v>
      </c>
      <c r="DU25" s="7">
        <v>0</v>
      </c>
      <c r="DV25" s="7">
        <v>0</v>
      </c>
      <c r="DW25" s="7">
        <v>0</v>
      </c>
      <c r="DX25" s="7">
        <v>0</v>
      </c>
      <c r="DY25" s="7">
        <v>0</v>
      </c>
      <c r="DZ25" s="7">
        <v>0</v>
      </c>
      <c r="EA25" s="7">
        <v>0</v>
      </c>
      <c r="EB25" s="7">
        <v>0</v>
      </c>
      <c r="EC25" s="7">
        <v>0</v>
      </c>
      <c r="ED25" s="7">
        <v>0</v>
      </c>
      <c r="EE25" s="7">
        <v>0</v>
      </c>
      <c r="EF25" s="7">
        <v>0</v>
      </c>
      <c r="EG25" s="7">
        <v>0</v>
      </c>
      <c r="EH25" s="7">
        <v>0</v>
      </c>
      <c r="EI25" s="7">
        <v>0</v>
      </c>
      <c r="EJ25" s="25">
        <f t="shared" si="0"/>
        <v>0</v>
      </c>
      <c r="EK25" s="7">
        <v>0</v>
      </c>
      <c r="EL25" s="25">
        <f t="shared" si="1"/>
        <v>0</v>
      </c>
      <c r="EM25" s="7">
        <v>0</v>
      </c>
      <c r="EN25" s="25">
        <f t="shared" si="2"/>
        <v>0</v>
      </c>
      <c r="EO25" s="7">
        <v>0</v>
      </c>
      <c r="EP25" s="25">
        <f t="shared" si="3"/>
        <v>0</v>
      </c>
      <c r="EQ25" s="7">
        <v>0</v>
      </c>
      <c r="ER25" s="25">
        <f t="shared" si="4"/>
        <v>0</v>
      </c>
      <c r="ES25" s="7">
        <v>0</v>
      </c>
      <c r="ET25" s="25">
        <f t="shared" si="5"/>
        <v>0</v>
      </c>
      <c r="EU25" s="7">
        <v>0</v>
      </c>
      <c r="EV25" s="25">
        <f t="shared" si="6"/>
        <v>0</v>
      </c>
      <c r="EW25" s="7">
        <v>0</v>
      </c>
      <c r="EX25" s="7">
        <v>0</v>
      </c>
      <c r="EY25" s="7">
        <v>0</v>
      </c>
      <c r="EZ25" s="7">
        <v>0</v>
      </c>
      <c r="FA25" s="7">
        <v>0</v>
      </c>
      <c r="FB25" s="7">
        <v>0</v>
      </c>
      <c r="FC25" s="7">
        <v>0</v>
      </c>
      <c r="FD25" s="7">
        <v>0</v>
      </c>
      <c r="FE25" s="7">
        <v>0</v>
      </c>
      <c r="FF25" s="7">
        <v>0</v>
      </c>
      <c r="FG25" s="7">
        <v>0</v>
      </c>
      <c r="FH25" s="7">
        <v>0</v>
      </c>
      <c r="FI25" s="7">
        <v>0</v>
      </c>
      <c r="FJ25" s="7">
        <v>0</v>
      </c>
    </row>
    <row r="26" spans="1:166" x14ac:dyDescent="0.4">
      <c r="A26" s="35" t="s">
        <v>30</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v>7000</v>
      </c>
      <c r="BW26" s="7">
        <v>7000</v>
      </c>
      <c r="BX26" s="7">
        <v>7000</v>
      </c>
      <c r="BY26" s="7">
        <v>7000</v>
      </c>
      <c r="BZ26" s="7">
        <v>7000</v>
      </c>
      <c r="CA26" s="7">
        <v>7000</v>
      </c>
      <c r="CB26" s="7">
        <v>7000</v>
      </c>
      <c r="CC26" s="7">
        <v>7000</v>
      </c>
      <c r="CD26" s="7">
        <v>7000</v>
      </c>
      <c r="CE26" s="7">
        <v>4000</v>
      </c>
      <c r="CF26" s="7">
        <v>7000</v>
      </c>
      <c r="CG26" s="7">
        <v>7000</v>
      </c>
      <c r="CH26" s="7">
        <v>7000</v>
      </c>
      <c r="CI26" s="7">
        <v>7000</v>
      </c>
      <c r="CJ26" s="7">
        <v>7282</v>
      </c>
      <c r="CK26" s="13">
        <v>7343</v>
      </c>
      <c r="CL26" s="13">
        <v>7043</v>
      </c>
      <c r="CM26" s="13">
        <v>7101</v>
      </c>
      <c r="CN26" s="13">
        <v>7157</v>
      </c>
      <c r="CO26" s="13">
        <v>7215</v>
      </c>
      <c r="CP26" s="13">
        <v>7273</v>
      </c>
      <c r="CQ26" s="13">
        <v>7329</v>
      </c>
      <c r="CR26" s="13">
        <v>7047</v>
      </c>
      <c r="CS26" s="13">
        <v>7103</v>
      </c>
      <c r="CT26" s="13">
        <v>7161</v>
      </c>
      <c r="CU26" s="13">
        <v>7219</v>
      </c>
      <c r="CV26" s="13">
        <v>7271</v>
      </c>
      <c r="CW26" s="13">
        <v>7329</v>
      </c>
      <c r="CX26" s="13">
        <v>3016</v>
      </c>
      <c r="CY26" s="13">
        <v>3039</v>
      </c>
      <c r="CZ26" s="13">
        <v>3061</v>
      </c>
      <c r="DA26" s="13">
        <v>3084</v>
      </c>
      <c r="DB26" s="13">
        <v>3107</v>
      </c>
      <c r="DC26" s="13">
        <v>3129</v>
      </c>
      <c r="DD26" s="13">
        <v>0</v>
      </c>
      <c r="DE26" s="13">
        <v>0</v>
      </c>
      <c r="DF26" s="13">
        <v>0</v>
      </c>
      <c r="DG26" s="13">
        <v>0</v>
      </c>
      <c r="DH26" s="13">
        <v>0</v>
      </c>
      <c r="DI26" s="13">
        <v>0</v>
      </c>
      <c r="DJ26" s="7">
        <v>0</v>
      </c>
      <c r="DK26" s="7">
        <v>0</v>
      </c>
      <c r="DL26" s="7">
        <v>0</v>
      </c>
      <c r="DM26" s="7">
        <v>0</v>
      </c>
      <c r="DN26" s="7">
        <v>0</v>
      </c>
      <c r="DO26" s="7">
        <v>0</v>
      </c>
      <c r="DP26" s="7">
        <v>0</v>
      </c>
      <c r="DQ26" s="7">
        <v>0</v>
      </c>
      <c r="DR26" s="7">
        <v>0</v>
      </c>
      <c r="DS26" s="7">
        <v>0</v>
      </c>
      <c r="DT26" s="7">
        <v>0</v>
      </c>
      <c r="DU26" s="7">
        <v>0</v>
      </c>
      <c r="DV26" s="7">
        <v>0</v>
      </c>
      <c r="DW26" s="7">
        <v>0</v>
      </c>
      <c r="DX26" s="7">
        <v>0</v>
      </c>
      <c r="DY26" s="7">
        <v>0</v>
      </c>
      <c r="DZ26" s="7">
        <v>0</v>
      </c>
      <c r="EA26" s="7">
        <v>0</v>
      </c>
      <c r="EB26" s="7">
        <v>0</v>
      </c>
      <c r="EC26" s="7">
        <v>0</v>
      </c>
      <c r="ED26" s="7">
        <v>0</v>
      </c>
      <c r="EE26" s="7">
        <v>0</v>
      </c>
      <c r="EF26" s="7">
        <v>0</v>
      </c>
      <c r="EG26" s="7">
        <v>0</v>
      </c>
      <c r="EH26" s="7">
        <v>0</v>
      </c>
      <c r="EI26" s="7">
        <v>0</v>
      </c>
      <c r="EJ26" s="25">
        <f t="shared" si="0"/>
        <v>0</v>
      </c>
      <c r="EK26" s="7">
        <v>0</v>
      </c>
      <c r="EL26" s="25">
        <f t="shared" si="1"/>
        <v>0</v>
      </c>
      <c r="EM26" s="7">
        <v>0</v>
      </c>
      <c r="EN26" s="25">
        <f t="shared" si="2"/>
        <v>0</v>
      </c>
      <c r="EO26" s="7">
        <v>0</v>
      </c>
      <c r="EP26" s="25">
        <f t="shared" si="3"/>
        <v>0</v>
      </c>
      <c r="EQ26" s="7">
        <v>0</v>
      </c>
      <c r="ER26" s="25">
        <f t="shared" si="4"/>
        <v>0</v>
      </c>
      <c r="ES26" s="7">
        <v>0</v>
      </c>
      <c r="ET26" s="25">
        <f t="shared" si="5"/>
        <v>0</v>
      </c>
      <c r="EU26" s="7">
        <v>0</v>
      </c>
      <c r="EV26" s="25">
        <f t="shared" si="6"/>
        <v>0</v>
      </c>
      <c r="EW26" s="7">
        <v>0</v>
      </c>
      <c r="EX26" s="7">
        <v>0</v>
      </c>
      <c r="EY26" s="7">
        <v>0</v>
      </c>
      <c r="EZ26" s="7">
        <v>0</v>
      </c>
      <c r="FA26" s="7">
        <v>0</v>
      </c>
      <c r="FB26" s="7">
        <v>0</v>
      </c>
      <c r="FC26" s="7">
        <v>0</v>
      </c>
      <c r="FD26" s="7">
        <v>0</v>
      </c>
      <c r="FE26" s="7">
        <v>0</v>
      </c>
      <c r="FF26" s="7">
        <v>0</v>
      </c>
      <c r="FG26" s="7">
        <v>0</v>
      </c>
      <c r="FH26" s="7">
        <v>0</v>
      </c>
      <c r="FI26" s="7">
        <v>0</v>
      </c>
      <c r="FJ26" s="7">
        <v>0</v>
      </c>
    </row>
    <row r="27" spans="1:166" x14ac:dyDescent="0.4">
      <c r="A27" s="34" t="s">
        <v>5</v>
      </c>
      <c r="B27" s="7">
        <v>1045141</v>
      </c>
      <c r="C27" s="7">
        <v>1048031</v>
      </c>
      <c r="D27" s="7">
        <v>1084698</v>
      </c>
      <c r="E27" s="7">
        <v>1137851</v>
      </c>
      <c r="F27" s="7">
        <v>1150222</v>
      </c>
      <c r="G27" s="7">
        <v>1154307</v>
      </c>
      <c r="H27" s="7">
        <v>1174287</v>
      </c>
      <c r="I27" s="7">
        <v>1188062</v>
      </c>
      <c r="J27" s="7">
        <v>1223262</v>
      </c>
      <c r="K27" s="7">
        <v>1264231</v>
      </c>
      <c r="L27" s="7">
        <v>1304152</v>
      </c>
      <c r="M27" s="7">
        <v>1311834</v>
      </c>
      <c r="N27" s="7">
        <v>1318061</v>
      </c>
      <c r="O27" s="7">
        <v>1437227</v>
      </c>
      <c r="P27" s="7">
        <v>1492861</v>
      </c>
      <c r="Q27" s="7">
        <v>1477360</v>
      </c>
      <c r="R27" s="7">
        <v>1517869</v>
      </c>
      <c r="S27" s="7">
        <v>1518876</v>
      </c>
      <c r="T27" s="7">
        <v>1504747</v>
      </c>
      <c r="U27" s="7">
        <v>1710733</v>
      </c>
      <c r="V27" s="7">
        <v>1694934</v>
      </c>
      <c r="W27" s="7">
        <v>1696463</v>
      </c>
      <c r="X27" s="7">
        <v>1702071</v>
      </c>
      <c r="Y27" s="7">
        <v>1722373</v>
      </c>
      <c r="Z27" s="7">
        <v>1860427</v>
      </c>
      <c r="AA27" s="7">
        <v>1910796</v>
      </c>
      <c r="AB27" s="7">
        <v>1873719</v>
      </c>
      <c r="AC27" s="7">
        <v>1879853</v>
      </c>
      <c r="AD27" s="7">
        <v>1879308</v>
      </c>
      <c r="AE27" s="7">
        <v>1907720</v>
      </c>
      <c r="AF27" s="7">
        <v>1914413</v>
      </c>
      <c r="AG27" s="7">
        <v>1973587</v>
      </c>
      <c r="AH27" s="7">
        <v>2024802</v>
      </c>
      <c r="AI27" s="7">
        <v>2042641</v>
      </c>
      <c r="AJ27" s="7">
        <v>2071063</v>
      </c>
      <c r="AK27" s="7">
        <v>2109209</v>
      </c>
      <c r="AL27" s="7">
        <v>2144131</v>
      </c>
      <c r="AM27" s="7">
        <v>2172355</v>
      </c>
      <c r="AN27" s="7">
        <v>2162509</v>
      </c>
      <c r="AO27" s="7">
        <v>2161609</v>
      </c>
      <c r="AP27" s="7">
        <v>2274904</v>
      </c>
      <c r="AQ27" s="7">
        <v>2293530</v>
      </c>
      <c r="AR27" s="7">
        <v>2279290</v>
      </c>
      <c r="AS27" s="7">
        <v>2327815</v>
      </c>
      <c r="AT27" s="7">
        <v>2322071</v>
      </c>
      <c r="AU27" s="7">
        <v>2323136</v>
      </c>
      <c r="AV27" s="7">
        <v>2372141</v>
      </c>
      <c r="AW27" s="7">
        <v>2377824</v>
      </c>
      <c r="AX27" s="7">
        <v>2389775</v>
      </c>
      <c r="AY27" s="7">
        <v>2397945</v>
      </c>
      <c r="AZ27" s="7">
        <v>2436104</v>
      </c>
      <c r="BA27" s="7">
        <v>2442657</v>
      </c>
      <c r="BB27" s="7">
        <v>2464020</v>
      </c>
      <c r="BC27" s="7">
        <v>2458878</v>
      </c>
      <c r="BD27" s="7">
        <v>2618180</v>
      </c>
      <c r="BE27" s="7">
        <v>2613871</v>
      </c>
      <c r="BF27" s="7">
        <v>2698513</v>
      </c>
      <c r="BG27" s="7">
        <v>2706812</v>
      </c>
      <c r="BH27" s="7">
        <v>2690245</v>
      </c>
      <c r="BI27" s="7">
        <v>2690232</v>
      </c>
      <c r="BJ27" s="7">
        <v>2702325</v>
      </c>
      <c r="BK27" s="7">
        <v>2716606</v>
      </c>
      <c r="BL27" s="7">
        <v>2783783</v>
      </c>
      <c r="BM27" s="7">
        <v>2780284</v>
      </c>
      <c r="BN27" s="7">
        <v>2802642</v>
      </c>
      <c r="BO27" s="7">
        <v>2850255</v>
      </c>
      <c r="BP27" s="7">
        <v>2778325</v>
      </c>
      <c r="BQ27" s="7">
        <v>2775866</v>
      </c>
      <c r="BR27" s="7">
        <v>2777475</v>
      </c>
      <c r="BS27" s="7">
        <v>2693537</v>
      </c>
      <c r="BT27" s="7">
        <v>2710805</v>
      </c>
      <c r="BU27" s="7">
        <v>2674744</v>
      </c>
      <c r="BV27" s="7">
        <v>2695018</v>
      </c>
      <c r="BW27" s="7">
        <v>2753254</v>
      </c>
      <c r="BX27" s="7">
        <v>2796816</v>
      </c>
      <c r="BY27" s="7">
        <v>2776390</v>
      </c>
      <c r="BZ27" s="7">
        <v>2787757</v>
      </c>
      <c r="CA27" s="7">
        <v>2854512</v>
      </c>
      <c r="CB27" s="7">
        <v>2886916</v>
      </c>
      <c r="CC27" s="7">
        <v>2872628</v>
      </c>
      <c r="CD27" s="7">
        <v>2845373</v>
      </c>
      <c r="CE27" s="7">
        <v>2858992</v>
      </c>
      <c r="CF27" s="7">
        <v>2964658</v>
      </c>
      <c r="CG27" s="7">
        <v>2943931</v>
      </c>
      <c r="CH27" s="7">
        <v>3105320</v>
      </c>
      <c r="CI27" s="7">
        <v>3087764</v>
      </c>
      <c r="CJ27" s="7">
        <v>3286482</v>
      </c>
      <c r="CK27" s="13">
        <v>3267800</v>
      </c>
      <c r="CL27" s="13">
        <v>3235165</v>
      </c>
      <c r="CM27" s="13">
        <v>3181376</v>
      </c>
      <c r="CN27" s="13">
        <v>3234397</v>
      </c>
      <c r="CO27" s="13">
        <v>3293563</v>
      </c>
      <c r="CP27" s="13">
        <v>3318829</v>
      </c>
      <c r="CQ27" s="13">
        <v>3351864</v>
      </c>
      <c r="CR27" s="13">
        <v>3301596</v>
      </c>
      <c r="CS27" s="13">
        <v>3417729</v>
      </c>
      <c r="CT27" s="13">
        <v>3784229</v>
      </c>
      <c r="CU27" s="13">
        <v>3751105</v>
      </c>
      <c r="CV27" s="13">
        <v>3739365</v>
      </c>
      <c r="CW27" s="13">
        <v>3700135</v>
      </c>
      <c r="CX27" s="13">
        <v>3695601</v>
      </c>
      <c r="CY27" s="13">
        <v>3794084</v>
      </c>
      <c r="CZ27" s="13">
        <v>3566143</v>
      </c>
      <c r="DA27" s="13">
        <v>3569129</v>
      </c>
      <c r="DB27" s="13">
        <v>3605574</v>
      </c>
      <c r="DC27" s="13">
        <v>3696683</v>
      </c>
      <c r="DD27" s="13">
        <v>3755268</v>
      </c>
      <c r="DE27" s="13">
        <v>3923507</v>
      </c>
      <c r="DF27" s="13">
        <v>4171144</v>
      </c>
      <c r="DG27" s="13">
        <v>4172073</v>
      </c>
      <c r="DH27" s="13">
        <v>4182278</v>
      </c>
      <c r="DI27" s="13">
        <v>4111166</v>
      </c>
      <c r="DJ27" s="7">
        <v>4013143</v>
      </c>
      <c r="DK27" s="7">
        <v>4133338</v>
      </c>
      <c r="DL27" s="7">
        <v>4062242</v>
      </c>
      <c r="DM27" s="7">
        <v>4194709</v>
      </c>
      <c r="DN27" s="7">
        <v>4435765</v>
      </c>
      <c r="DO27" s="7">
        <v>4533378</v>
      </c>
      <c r="DP27" s="7">
        <v>4956972</v>
      </c>
      <c r="DQ27" s="7">
        <v>5359775</v>
      </c>
      <c r="DR27" s="7">
        <v>6094704</v>
      </c>
      <c r="DS27" s="7">
        <v>6284587</v>
      </c>
      <c r="DT27" s="7">
        <v>6537413</v>
      </c>
      <c r="DU27" s="7">
        <v>6787469</v>
      </c>
      <c r="DV27" s="7">
        <v>7144334</v>
      </c>
      <c r="DW27" s="7">
        <v>7139992</v>
      </c>
      <c r="DX27" s="7">
        <v>7420943</v>
      </c>
      <c r="DY27" s="7">
        <v>7935337</v>
      </c>
      <c r="DZ27" s="7">
        <v>8530542</v>
      </c>
      <c r="EA27" s="7">
        <v>8754756</v>
      </c>
      <c r="EB27" s="7">
        <v>8695360</v>
      </c>
      <c r="EC27" s="7">
        <v>8665857</v>
      </c>
      <c r="ED27" s="7">
        <v>10005320</v>
      </c>
      <c r="EE27" s="7">
        <v>9987509</v>
      </c>
      <c r="EF27" s="7">
        <v>10115604</v>
      </c>
      <c r="EG27" s="7">
        <v>10336511</v>
      </c>
      <c r="EH27" s="7">
        <v>10405833</v>
      </c>
      <c r="EI27" s="7">
        <v>10630290</v>
      </c>
      <c r="EJ27" s="25">
        <f t="shared" si="0"/>
        <v>-107355</v>
      </c>
      <c r="EK27" s="7">
        <v>10522935</v>
      </c>
      <c r="EL27" s="25">
        <f t="shared" si="1"/>
        <v>291399</v>
      </c>
      <c r="EM27" s="7">
        <v>10814334</v>
      </c>
      <c r="EN27" s="25">
        <f t="shared" si="2"/>
        <v>229056</v>
      </c>
      <c r="EO27" s="7">
        <v>11043390</v>
      </c>
      <c r="EP27" s="25">
        <f t="shared" si="3"/>
        <v>476749</v>
      </c>
      <c r="EQ27" s="7">
        <v>11520139</v>
      </c>
      <c r="ER27" s="25">
        <f t="shared" si="4"/>
        <v>341133</v>
      </c>
      <c r="ES27" s="7">
        <v>11861272</v>
      </c>
      <c r="ET27" s="25">
        <f t="shared" si="5"/>
        <v>121867</v>
      </c>
      <c r="EU27" s="7">
        <v>11983139</v>
      </c>
      <c r="EV27" s="25">
        <f t="shared" si="6"/>
        <v>1230234</v>
      </c>
      <c r="EW27" s="7">
        <v>13213373</v>
      </c>
      <c r="EX27" s="7">
        <v>13261877</v>
      </c>
      <c r="EY27" s="7">
        <v>13052531</v>
      </c>
      <c r="EZ27" s="7">
        <v>13065965</v>
      </c>
      <c r="FA27" s="7">
        <v>13389951</v>
      </c>
      <c r="FB27" s="7">
        <v>13421606</v>
      </c>
      <c r="FC27" s="7">
        <v>13282786</v>
      </c>
      <c r="FD27" s="7">
        <v>13828725</v>
      </c>
      <c r="FE27" s="7">
        <v>13992974</v>
      </c>
      <c r="FF27" s="7">
        <v>14232954</v>
      </c>
      <c r="FG27" s="7">
        <v>14335176</v>
      </c>
      <c r="FH27" s="7">
        <v>14402466</v>
      </c>
      <c r="FI27" s="7">
        <v>15063823</v>
      </c>
      <c r="FJ27" s="7">
        <v>14942819</v>
      </c>
    </row>
    <row r="28" spans="1:166" x14ac:dyDescent="0.4">
      <c r="A28" s="35" t="s">
        <v>13</v>
      </c>
      <c r="B28" s="7">
        <v>0</v>
      </c>
      <c r="C28" s="7">
        <v>0</v>
      </c>
      <c r="D28" s="7">
        <v>0</v>
      </c>
      <c r="E28" s="7">
        <v>0</v>
      </c>
      <c r="F28" s="7">
        <v>0</v>
      </c>
      <c r="G28" s="7">
        <v>0</v>
      </c>
      <c r="H28" s="7">
        <v>0</v>
      </c>
      <c r="I28" s="7">
        <v>0</v>
      </c>
      <c r="J28" s="7">
        <v>0</v>
      </c>
      <c r="K28" s="7">
        <v>0</v>
      </c>
      <c r="L28" s="7">
        <v>0</v>
      </c>
      <c r="M28" s="7">
        <v>0</v>
      </c>
      <c r="N28" s="7">
        <v>0</v>
      </c>
      <c r="O28" s="7">
        <v>0</v>
      </c>
      <c r="P28" s="7">
        <v>0</v>
      </c>
      <c r="Q28" s="7">
        <v>873</v>
      </c>
      <c r="R28" s="7">
        <v>873</v>
      </c>
      <c r="S28" s="7">
        <v>873</v>
      </c>
      <c r="T28" s="7">
        <v>873</v>
      </c>
      <c r="U28" s="7">
        <v>873</v>
      </c>
      <c r="V28" s="7">
        <v>873</v>
      </c>
      <c r="W28" s="7">
        <v>873</v>
      </c>
      <c r="X28" s="7">
        <v>873</v>
      </c>
      <c r="Y28" s="7">
        <v>873</v>
      </c>
      <c r="Z28" s="7">
        <v>0</v>
      </c>
      <c r="AA28" s="7">
        <v>0</v>
      </c>
      <c r="AB28" s="7">
        <v>0</v>
      </c>
      <c r="AC28" s="7">
        <v>0</v>
      </c>
      <c r="AD28" s="7">
        <v>0</v>
      </c>
      <c r="AE28" s="7">
        <v>0</v>
      </c>
      <c r="AF28" s="7">
        <v>0</v>
      </c>
      <c r="AG28" s="7">
        <v>0</v>
      </c>
      <c r="AH28" s="7">
        <v>0</v>
      </c>
      <c r="AI28" s="7">
        <v>0</v>
      </c>
      <c r="AJ28" s="7">
        <v>0</v>
      </c>
      <c r="AK28" s="7">
        <v>0</v>
      </c>
      <c r="AL28" s="7">
        <v>0</v>
      </c>
      <c r="AM28" s="7">
        <v>0</v>
      </c>
      <c r="AN28" s="7">
        <v>0</v>
      </c>
      <c r="AO28" s="7">
        <v>0</v>
      </c>
      <c r="AP28" s="7">
        <v>0</v>
      </c>
      <c r="AQ28" s="7">
        <v>0</v>
      </c>
      <c r="AR28" s="7">
        <v>0</v>
      </c>
      <c r="AS28" s="7">
        <v>0</v>
      </c>
      <c r="AT28" s="7">
        <v>0</v>
      </c>
      <c r="AU28" s="7">
        <v>0</v>
      </c>
      <c r="AV28" s="7">
        <v>0</v>
      </c>
      <c r="AW28" s="7">
        <v>30</v>
      </c>
      <c r="AX28" s="7">
        <v>30</v>
      </c>
      <c r="AY28" s="7">
        <v>30</v>
      </c>
      <c r="AZ28" s="7">
        <v>30</v>
      </c>
      <c r="BA28" s="7">
        <v>80</v>
      </c>
      <c r="BB28" s="7">
        <v>80</v>
      </c>
      <c r="BC28" s="7">
        <v>80</v>
      </c>
      <c r="BD28" s="7">
        <v>108</v>
      </c>
      <c r="BE28" s="7">
        <v>108</v>
      </c>
      <c r="BF28" s="7">
        <v>138</v>
      </c>
      <c r="BG28" s="7">
        <v>138</v>
      </c>
      <c r="BH28" s="7">
        <v>138</v>
      </c>
      <c r="BI28" s="7">
        <v>108</v>
      </c>
      <c r="BJ28" s="7">
        <v>148</v>
      </c>
      <c r="BK28" s="7">
        <v>28148</v>
      </c>
      <c r="BL28" s="7">
        <v>47018</v>
      </c>
      <c r="BM28" s="7">
        <v>50759</v>
      </c>
      <c r="BN28" s="7">
        <v>56009</v>
      </c>
      <c r="BO28" s="7">
        <v>91438</v>
      </c>
      <c r="BP28" s="7">
        <v>40430</v>
      </c>
      <c r="BQ28" s="7">
        <v>51679</v>
      </c>
      <c r="BR28" s="7">
        <v>47714</v>
      </c>
      <c r="BS28" s="7">
        <v>14062</v>
      </c>
      <c r="BT28" s="7">
        <v>40463</v>
      </c>
      <c r="BU28" s="7">
        <v>20350</v>
      </c>
      <c r="BV28" s="7">
        <v>8490</v>
      </c>
      <c r="BW28" s="7">
        <v>15843</v>
      </c>
      <c r="BX28" s="7">
        <v>41848</v>
      </c>
      <c r="BY28" s="7">
        <v>20926</v>
      </c>
      <c r="BZ28" s="7">
        <v>19810</v>
      </c>
      <c r="CA28" s="7">
        <v>24243</v>
      </c>
      <c r="CB28" s="7">
        <v>41838</v>
      </c>
      <c r="CC28" s="7">
        <v>24530</v>
      </c>
      <c r="CD28" s="7">
        <v>22111</v>
      </c>
      <c r="CE28" s="7">
        <v>25272</v>
      </c>
      <c r="CF28" s="7">
        <v>4785</v>
      </c>
      <c r="CG28" s="7">
        <v>3127</v>
      </c>
      <c r="CH28" s="7">
        <v>8142</v>
      </c>
      <c r="CI28" s="7">
        <v>3356</v>
      </c>
      <c r="CJ28" s="7">
        <v>42218</v>
      </c>
      <c r="CK28" s="13">
        <v>1632</v>
      </c>
      <c r="CL28" s="13">
        <v>167</v>
      </c>
      <c r="CM28" s="13">
        <v>1832</v>
      </c>
      <c r="CN28" s="13">
        <v>2454</v>
      </c>
      <c r="CO28" s="13">
        <v>5231</v>
      </c>
      <c r="CP28" s="13">
        <v>2929</v>
      </c>
      <c r="CQ28" s="13">
        <v>6399</v>
      </c>
      <c r="CR28" s="13">
        <v>7253</v>
      </c>
      <c r="CS28" s="13">
        <v>8156</v>
      </c>
      <c r="CT28" s="13">
        <v>8332</v>
      </c>
      <c r="CU28" s="13">
        <v>8998</v>
      </c>
      <c r="CV28" s="13">
        <v>15990</v>
      </c>
      <c r="CW28" s="13">
        <v>14784</v>
      </c>
      <c r="CX28" s="13">
        <v>19243</v>
      </c>
      <c r="CY28" s="13">
        <v>22528</v>
      </c>
      <c r="CZ28" s="13">
        <v>29394</v>
      </c>
      <c r="DA28" s="13">
        <v>26265</v>
      </c>
      <c r="DB28" s="13">
        <v>31406</v>
      </c>
      <c r="DC28" s="13">
        <v>21063</v>
      </c>
      <c r="DD28" s="13">
        <v>28952</v>
      </c>
      <c r="DE28" s="13">
        <v>57868</v>
      </c>
      <c r="DF28" s="13">
        <v>56867</v>
      </c>
      <c r="DG28" s="13">
        <v>62296</v>
      </c>
      <c r="DH28" s="13">
        <v>69451</v>
      </c>
      <c r="DI28" s="13">
        <v>62344</v>
      </c>
      <c r="DJ28" s="7">
        <v>62788</v>
      </c>
      <c r="DK28" s="7">
        <v>62604</v>
      </c>
      <c r="DL28" s="7">
        <v>63029</v>
      </c>
      <c r="DM28" s="7">
        <v>82530</v>
      </c>
      <c r="DN28" s="7">
        <v>83132</v>
      </c>
      <c r="DO28" s="7">
        <v>113361</v>
      </c>
      <c r="DP28" s="7">
        <v>67147</v>
      </c>
      <c r="DQ28" s="7">
        <v>57675</v>
      </c>
      <c r="DR28" s="7">
        <v>89672</v>
      </c>
      <c r="DS28" s="7">
        <v>98480</v>
      </c>
      <c r="DT28" s="7">
        <v>82230</v>
      </c>
      <c r="DU28" s="7">
        <v>83953</v>
      </c>
      <c r="DV28" s="7">
        <v>55986</v>
      </c>
      <c r="DW28" s="7">
        <v>59054</v>
      </c>
      <c r="DX28" s="7">
        <v>78293</v>
      </c>
      <c r="DY28" s="7">
        <v>64421</v>
      </c>
      <c r="DZ28" s="7">
        <v>78890</v>
      </c>
      <c r="EA28" s="7">
        <v>109835</v>
      </c>
      <c r="EB28" s="7">
        <v>93762</v>
      </c>
      <c r="EC28" s="7">
        <v>124683</v>
      </c>
      <c r="ED28" s="7">
        <v>126842</v>
      </c>
      <c r="EE28" s="7">
        <v>126947</v>
      </c>
      <c r="EF28" s="7">
        <v>53703</v>
      </c>
      <c r="EG28" s="7">
        <v>139768</v>
      </c>
      <c r="EH28" s="7">
        <v>194451</v>
      </c>
      <c r="EI28" s="7">
        <v>234506</v>
      </c>
      <c r="EJ28" s="25">
        <f t="shared" si="0"/>
        <v>-17045</v>
      </c>
      <c r="EK28" s="7">
        <v>217461</v>
      </c>
      <c r="EL28" s="25">
        <f t="shared" si="1"/>
        <v>-46740</v>
      </c>
      <c r="EM28" s="7">
        <v>170721</v>
      </c>
      <c r="EN28" s="25">
        <f t="shared" si="2"/>
        <v>-52763</v>
      </c>
      <c r="EO28" s="7">
        <v>117958</v>
      </c>
      <c r="EP28" s="25">
        <f t="shared" si="3"/>
        <v>45688</v>
      </c>
      <c r="EQ28" s="7">
        <v>163646</v>
      </c>
      <c r="ER28" s="25">
        <f t="shared" si="4"/>
        <v>-54506</v>
      </c>
      <c r="ES28" s="7">
        <v>109140</v>
      </c>
      <c r="ET28" s="25">
        <f t="shared" si="5"/>
        <v>-15242</v>
      </c>
      <c r="EU28" s="7">
        <v>93898</v>
      </c>
      <c r="EV28" s="25">
        <f t="shared" si="6"/>
        <v>183831</v>
      </c>
      <c r="EW28" s="7">
        <v>277729</v>
      </c>
      <c r="EX28" s="7">
        <v>277546</v>
      </c>
      <c r="EY28" s="7">
        <v>306087</v>
      </c>
      <c r="EZ28" s="7">
        <v>331171</v>
      </c>
      <c r="FA28" s="7">
        <v>323854</v>
      </c>
      <c r="FB28" s="7">
        <v>366664</v>
      </c>
      <c r="FC28" s="7">
        <v>351154</v>
      </c>
      <c r="FD28" s="7">
        <v>418273</v>
      </c>
      <c r="FE28" s="7">
        <v>463025</v>
      </c>
      <c r="FF28" s="7">
        <v>400632</v>
      </c>
      <c r="FG28" s="7">
        <v>421892</v>
      </c>
      <c r="FH28" s="7">
        <v>346354</v>
      </c>
      <c r="FI28" s="7">
        <v>330915</v>
      </c>
      <c r="FJ28" s="7">
        <v>343326</v>
      </c>
    </row>
    <row r="29" spans="1:166" x14ac:dyDescent="0.4">
      <c r="A29" s="35" t="s">
        <v>14</v>
      </c>
      <c r="B29" s="7">
        <v>1045141</v>
      </c>
      <c r="C29" s="7">
        <v>1048031</v>
      </c>
      <c r="D29" s="7">
        <v>1084698</v>
      </c>
      <c r="E29" s="7">
        <v>1137851</v>
      </c>
      <c r="F29" s="7">
        <v>1150222</v>
      </c>
      <c r="G29" s="7">
        <v>1154307</v>
      </c>
      <c r="H29" s="7">
        <v>1174287</v>
      </c>
      <c r="I29" s="7">
        <v>1188062</v>
      </c>
      <c r="J29" s="7">
        <v>1223262</v>
      </c>
      <c r="K29" s="7">
        <v>1264231</v>
      </c>
      <c r="L29" s="7">
        <v>1304152</v>
      </c>
      <c r="M29" s="7">
        <v>1311834</v>
      </c>
      <c r="N29" s="7">
        <v>1318061</v>
      </c>
      <c r="O29" s="7">
        <v>1437227</v>
      </c>
      <c r="P29" s="7">
        <v>1492861</v>
      </c>
      <c r="Q29" s="7">
        <v>1476487</v>
      </c>
      <c r="R29" s="7">
        <v>1516996</v>
      </c>
      <c r="S29" s="7">
        <v>1518003</v>
      </c>
      <c r="T29" s="7">
        <v>1503874</v>
      </c>
      <c r="U29" s="7">
        <v>1709860</v>
      </c>
      <c r="V29" s="7">
        <v>1694061</v>
      </c>
      <c r="W29" s="7">
        <v>1695590</v>
      </c>
      <c r="X29" s="7">
        <v>1701198</v>
      </c>
      <c r="Y29" s="7">
        <v>1721500</v>
      </c>
      <c r="Z29" s="7">
        <v>1860427</v>
      </c>
      <c r="AA29" s="7">
        <v>1910796</v>
      </c>
      <c r="AB29" s="7">
        <v>1873719</v>
      </c>
      <c r="AC29" s="7">
        <v>1879853</v>
      </c>
      <c r="AD29" s="7">
        <v>1879308</v>
      </c>
      <c r="AE29" s="7">
        <v>1907720</v>
      </c>
      <c r="AF29" s="7">
        <v>1914413</v>
      </c>
      <c r="AG29" s="7">
        <v>1973587</v>
      </c>
      <c r="AH29" s="7">
        <v>2024802</v>
      </c>
      <c r="AI29" s="7">
        <v>2042641</v>
      </c>
      <c r="AJ29" s="7">
        <v>2071063</v>
      </c>
      <c r="AK29" s="7">
        <v>2109209</v>
      </c>
      <c r="AL29" s="7">
        <v>2144131</v>
      </c>
      <c r="AM29" s="7">
        <v>2172355</v>
      </c>
      <c r="AN29" s="7">
        <v>2162509</v>
      </c>
      <c r="AO29" s="7">
        <v>2161609</v>
      </c>
      <c r="AP29" s="7">
        <v>2274904</v>
      </c>
      <c r="AQ29" s="7">
        <v>2293530</v>
      </c>
      <c r="AR29" s="7">
        <v>2279290</v>
      </c>
      <c r="AS29" s="7">
        <v>2327815</v>
      </c>
      <c r="AT29" s="7">
        <v>2322071</v>
      </c>
      <c r="AU29" s="7">
        <v>2323136</v>
      </c>
      <c r="AV29" s="7">
        <v>2372141</v>
      </c>
      <c r="AW29" s="7">
        <v>2377794</v>
      </c>
      <c r="AX29" s="7">
        <v>2389745</v>
      </c>
      <c r="AY29" s="7">
        <v>2397915</v>
      </c>
      <c r="AZ29" s="7">
        <v>2436074</v>
      </c>
      <c r="BA29" s="7">
        <v>2442577</v>
      </c>
      <c r="BB29" s="7">
        <v>2463940</v>
      </c>
      <c r="BC29" s="7">
        <v>2458798</v>
      </c>
      <c r="BD29" s="7">
        <v>2618071</v>
      </c>
      <c r="BE29" s="7">
        <v>2613762</v>
      </c>
      <c r="BF29" s="7">
        <v>2698375</v>
      </c>
      <c r="BG29" s="7">
        <v>2706673</v>
      </c>
      <c r="BH29" s="7">
        <v>2690107</v>
      </c>
      <c r="BI29" s="7">
        <v>2690124</v>
      </c>
      <c r="BJ29" s="7">
        <v>2702176</v>
      </c>
      <c r="BK29" s="7">
        <v>2688458</v>
      </c>
      <c r="BL29" s="7">
        <v>2736765</v>
      </c>
      <c r="BM29" s="7">
        <v>2729525</v>
      </c>
      <c r="BN29" s="7">
        <v>2746633</v>
      </c>
      <c r="BO29" s="7">
        <v>2758817</v>
      </c>
      <c r="BP29" s="7">
        <v>2737895</v>
      </c>
      <c r="BQ29" s="7">
        <v>2724187</v>
      </c>
      <c r="BR29" s="7">
        <v>2729762</v>
      </c>
      <c r="BS29" s="7">
        <v>2679475</v>
      </c>
      <c r="BT29" s="7">
        <v>2670342</v>
      </c>
      <c r="BU29" s="7">
        <v>2654394</v>
      </c>
      <c r="BV29" s="7">
        <v>2686528</v>
      </c>
      <c r="BW29" s="7">
        <v>2737411</v>
      </c>
      <c r="BX29" s="7">
        <v>2754968</v>
      </c>
      <c r="BY29" s="7">
        <v>2755464</v>
      </c>
      <c r="BZ29" s="7">
        <v>2767947</v>
      </c>
      <c r="CA29" s="7">
        <v>2830269</v>
      </c>
      <c r="CB29" s="7">
        <v>2845078</v>
      </c>
      <c r="CC29" s="7">
        <v>2848098</v>
      </c>
      <c r="CD29" s="7">
        <v>2823262</v>
      </c>
      <c r="CE29" s="7">
        <v>2833720</v>
      </c>
      <c r="CF29" s="7">
        <v>2959873</v>
      </c>
      <c r="CG29" s="7">
        <v>2940805</v>
      </c>
      <c r="CH29" s="7">
        <v>3097178</v>
      </c>
      <c r="CI29" s="7">
        <v>3084407</v>
      </c>
      <c r="CJ29" s="7">
        <v>3244264</v>
      </c>
      <c r="CK29" s="13">
        <v>3266168</v>
      </c>
      <c r="CL29" s="13">
        <v>3234999</v>
      </c>
      <c r="CM29" s="13">
        <v>3179545</v>
      </c>
      <c r="CN29" s="13">
        <v>3231942</v>
      </c>
      <c r="CO29" s="13">
        <v>3288332</v>
      </c>
      <c r="CP29" s="13">
        <v>3315899</v>
      </c>
      <c r="CQ29" s="13">
        <v>3345465</v>
      </c>
      <c r="CR29" s="13">
        <v>3294343</v>
      </c>
      <c r="CS29" s="13">
        <v>3409573</v>
      </c>
      <c r="CT29" s="13">
        <v>3775897</v>
      </c>
      <c r="CU29" s="13">
        <v>3742107</v>
      </c>
      <c r="CV29" s="13">
        <v>3723375</v>
      </c>
      <c r="CW29" s="13">
        <v>3685351</v>
      </c>
      <c r="CX29" s="13">
        <v>3676359</v>
      </c>
      <c r="CY29" s="13">
        <v>3771556</v>
      </c>
      <c r="CZ29" s="13">
        <v>3536750</v>
      </c>
      <c r="DA29" s="13">
        <v>3542863</v>
      </c>
      <c r="DB29" s="13">
        <v>3574167</v>
      </c>
      <c r="DC29" s="13">
        <v>3675620</v>
      </c>
      <c r="DD29" s="13">
        <v>3726316</v>
      </c>
      <c r="DE29" s="13">
        <v>3865639</v>
      </c>
      <c r="DF29" s="13">
        <v>4114277</v>
      </c>
      <c r="DG29" s="13">
        <v>4109777</v>
      </c>
      <c r="DH29" s="13">
        <v>4112827</v>
      </c>
      <c r="DI29" s="13">
        <v>4048822</v>
      </c>
      <c r="DJ29" s="7">
        <v>3950355</v>
      </c>
      <c r="DK29" s="7">
        <v>4070733</v>
      </c>
      <c r="DL29" s="7">
        <v>3999213</v>
      </c>
      <c r="DM29" s="7">
        <v>4112179</v>
      </c>
      <c r="DN29" s="7">
        <v>4352634</v>
      </c>
      <c r="DO29" s="7">
        <v>4420016</v>
      </c>
      <c r="DP29" s="7">
        <v>4889825</v>
      </c>
      <c r="DQ29" s="7">
        <v>5302101</v>
      </c>
      <c r="DR29" s="7">
        <v>6005032</v>
      </c>
      <c r="DS29" s="7">
        <v>6186107</v>
      </c>
      <c r="DT29" s="7">
        <v>6455183</v>
      </c>
      <c r="DU29" s="7">
        <v>6703517</v>
      </c>
      <c r="DV29" s="7">
        <v>7088349</v>
      </c>
      <c r="DW29" s="7">
        <v>7080937</v>
      </c>
      <c r="DX29" s="7">
        <v>7342650</v>
      </c>
      <c r="DY29" s="7">
        <v>7870916</v>
      </c>
      <c r="DZ29" s="7">
        <v>8451652</v>
      </c>
      <c r="EA29" s="7">
        <v>8644921</v>
      </c>
      <c r="EB29" s="7">
        <v>8601598</v>
      </c>
      <c r="EC29" s="7">
        <v>8541174</v>
      </c>
      <c r="ED29" s="7">
        <v>9878479</v>
      </c>
      <c r="EE29" s="7">
        <v>9860562</v>
      </c>
      <c r="EF29" s="7">
        <v>10061900</v>
      </c>
      <c r="EG29" s="7">
        <v>10196743</v>
      </c>
      <c r="EH29" s="7">
        <v>10211382</v>
      </c>
      <c r="EI29" s="7">
        <v>10395785</v>
      </c>
      <c r="EJ29" s="25">
        <f t="shared" si="0"/>
        <v>-90310</v>
      </c>
      <c r="EK29" s="7">
        <v>10305475</v>
      </c>
      <c r="EL29" s="25">
        <f t="shared" si="1"/>
        <v>338139</v>
      </c>
      <c r="EM29" s="7">
        <v>10643614</v>
      </c>
      <c r="EN29" s="25">
        <f t="shared" si="2"/>
        <v>281817</v>
      </c>
      <c r="EO29" s="7">
        <v>10925431</v>
      </c>
      <c r="EP29" s="25">
        <f t="shared" si="3"/>
        <v>431062</v>
      </c>
      <c r="EQ29" s="7">
        <v>11356493</v>
      </c>
      <c r="ER29" s="25">
        <f t="shared" si="4"/>
        <v>395639</v>
      </c>
      <c r="ES29" s="7">
        <v>11752132</v>
      </c>
      <c r="ET29" s="25">
        <f t="shared" si="5"/>
        <v>137109</v>
      </c>
      <c r="EU29" s="7">
        <v>11889241</v>
      </c>
      <c r="EV29" s="25">
        <f t="shared" si="6"/>
        <v>1046403</v>
      </c>
      <c r="EW29" s="7">
        <v>12935644</v>
      </c>
      <c r="EX29" s="7">
        <v>12984331</v>
      </c>
      <c r="EY29" s="7">
        <v>12746444</v>
      </c>
      <c r="EZ29" s="7">
        <v>12734795</v>
      </c>
      <c r="FA29" s="7">
        <v>13066096</v>
      </c>
      <c r="FB29" s="7">
        <v>13054943</v>
      </c>
      <c r="FC29" s="7">
        <v>12931632</v>
      </c>
      <c r="FD29" s="7">
        <v>13410451</v>
      </c>
      <c r="FE29" s="7">
        <v>13529949</v>
      </c>
      <c r="FF29" s="7">
        <v>13832322</v>
      </c>
      <c r="FG29" s="7">
        <v>13913284</v>
      </c>
      <c r="FH29" s="7">
        <v>14056112</v>
      </c>
      <c r="FI29" s="7">
        <v>14732908</v>
      </c>
      <c r="FJ29" s="7">
        <v>14599492</v>
      </c>
    </row>
    <row r="30" spans="1:166" x14ac:dyDescent="0.4">
      <c r="A30" s="35" t="s">
        <v>27</v>
      </c>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v>113608</v>
      </c>
      <c r="BW30" s="7">
        <v>107496</v>
      </c>
      <c r="BX30" s="7">
        <v>111187</v>
      </c>
      <c r="BY30" s="7">
        <v>109746</v>
      </c>
      <c r="BZ30" s="7">
        <v>108094</v>
      </c>
      <c r="CA30" s="7">
        <v>126507</v>
      </c>
      <c r="CB30" s="7">
        <v>153350</v>
      </c>
      <c r="CC30" s="7">
        <v>149007</v>
      </c>
      <c r="CD30" s="7">
        <v>143703</v>
      </c>
      <c r="CE30" s="7">
        <v>146871</v>
      </c>
      <c r="CF30" s="7">
        <v>190776</v>
      </c>
      <c r="CG30" s="7">
        <v>164477</v>
      </c>
      <c r="CH30" s="7">
        <v>173871</v>
      </c>
      <c r="CI30" s="7">
        <v>189277</v>
      </c>
      <c r="CJ30" s="7">
        <v>198225</v>
      </c>
      <c r="CK30" s="13">
        <v>243887</v>
      </c>
      <c r="CL30" s="13">
        <v>334419</v>
      </c>
      <c r="CM30" s="13">
        <v>307665</v>
      </c>
      <c r="CN30" s="13">
        <v>539083</v>
      </c>
      <c r="CO30" s="13">
        <v>591153</v>
      </c>
      <c r="CP30" s="13">
        <v>608578</v>
      </c>
      <c r="CQ30" s="13">
        <v>612969</v>
      </c>
      <c r="CR30" s="13">
        <v>572459</v>
      </c>
      <c r="CS30" s="13">
        <v>561423</v>
      </c>
      <c r="CT30" s="13">
        <v>566943</v>
      </c>
      <c r="CU30" s="13">
        <v>554106</v>
      </c>
      <c r="CV30" s="13">
        <v>550754</v>
      </c>
      <c r="CW30" s="13">
        <v>536633</v>
      </c>
      <c r="CX30" s="13">
        <v>467082</v>
      </c>
      <c r="CY30" s="13">
        <v>457359</v>
      </c>
      <c r="CZ30" s="13">
        <v>230278</v>
      </c>
      <c r="DA30" s="13">
        <v>181566</v>
      </c>
      <c r="DB30" s="13">
        <v>163050</v>
      </c>
      <c r="DC30" s="13">
        <v>152532</v>
      </c>
      <c r="DD30" s="13">
        <v>147279</v>
      </c>
      <c r="DE30" s="13">
        <v>144464</v>
      </c>
      <c r="DF30" s="13">
        <v>194369</v>
      </c>
      <c r="DG30" s="13">
        <v>208521</v>
      </c>
      <c r="DH30" s="13">
        <v>207021</v>
      </c>
      <c r="DI30" s="13">
        <v>192058</v>
      </c>
      <c r="DJ30" s="7">
        <v>161205</v>
      </c>
      <c r="DK30" s="7">
        <v>164878</v>
      </c>
      <c r="DL30" s="7">
        <v>164135</v>
      </c>
      <c r="DM30" s="7">
        <v>203929</v>
      </c>
      <c r="DN30" s="7">
        <v>203902</v>
      </c>
      <c r="DO30" s="7">
        <v>198101</v>
      </c>
      <c r="DP30" s="7">
        <v>200716</v>
      </c>
      <c r="DQ30" s="7">
        <v>248177</v>
      </c>
      <c r="DR30" s="7">
        <v>206753</v>
      </c>
      <c r="DS30" s="7">
        <v>236893</v>
      </c>
      <c r="DT30" s="7">
        <v>249980</v>
      </c>
      <c r="DU30" s="7">
        <v>254680</v>
      </c>
      <c r="DV30" s="7">
        <v>316269</v>
      </c>
      <c r="DW30" s="7">
        <v>325625</v>
      </c>
      <c r="DX30" s="7">
        <v>296754</v>
      </c>
      <c r="DY30" s="7">
        <v>343947</v>
      </c>
      <c r="DZ30" s="7">
        <v>397928</v>
      </c>
      <c r="EA30" s="7">
        <v>424006</v>
      </c>
      <c r="EB30" s="7">
        <v>433335</v>
      </c>
      <c r="EC30" s="7">
        <v>405846</v>
      </c>
      <c r="ED30" s="7">
        <v>441890</v>
      </c>
      <c r="EE30" s="7">
        <v>364423</v>
      </c>
      <c r="EF30" s="7">
        <v>389872</v>
      </c>
      <c r="EG30" s="7">
        <v>536991</v>
      </c>
      <c r="EH30" s="7">
        <v>658441</v>
      </c>
      <c r="EI30" s="7">
        <v>683998</v>
      </c>
      <c r="EJ30" s="25">
        <f t="shared" si="0"/>
        <v>6656</v>
      </c>
      <c r="EK30" s="7">
        <v>690654</v>
      </c>
      <c r="EL30" s="25">
        <f t="shared" si="1"/>
        <v>-25521</v>
      </c>
      <c r="EM30" s="7">
        <v>665133</v>
      </c>
      <c r="EN30" s="25">
        <f t="shared" si="2"/>
        <v>125711</v>
      </c>
      <c r="EO30" s="7">
        <v>790844</v>
      </c>
      <c r="EP30" s="25">
        <f t="shared" si="3"/>
        <v>31219</v>
      </c>
      <c r="EQ30" s="7">
        <v>822063</v>
      </c>
      <c r="ER30" s="25">
        <f t="shared" si="4"/>
        <v>33745</v>
      </c>
      <c r="ES30" s="7">
        <v>855808</v>
      </c>
      <c r="ET30" s="25">
        <f t="shared" si="5"/>
        <v>523983</v>
      </c>
      <c r="EU30" s="7">
        <v>1379791</v>
      </c>
      <c r="EV30" s="25">
        <f t="shared" si="6"/>
        <v>33446</v>
      </c>
      <c r="EW30" s="7">
        <v>1413237</v>
      </c>
      <c r="EX30" s="7">
        <v>1419898</v>
      </c>
      <c r="EY30" s="7">
        <v>1428014</v>
      </c>
      <c r="EZ30" s="7">
        <v>1324575</v>
      </c>
      <c r="FA30" s="7">
        <v>1261891</v>
      </c>
      <c r="FB30" s="7">
        <v>1211792</v>
      </c>
      <c r="FC30" s="7">
        <v>1213840</v>
      </c>
      <c r="FD30" s="7">
        <v>1428268</v>
      </c>
      <c r="FE30" s="7">
        <v>1532330</v>
      </c>
      <c r="FF30" s="7">
        <v>1601036</v>
      </c>
      <c r="FG30" s="7">
        <v>1700592</v>
      </c>
      <c r="FH30" s="7">
        <v>1290771</v>
      </c>
      <c r="FI30" s="7">
        <v>1142072</v>
      </c>
      <c r="FJ30" s="7">
        <v>1086238</v>
      </c>
    </row>
    <row r="31" spans="1:166" x14ac:dyDescent="0.4">
      <c r="A31" s="35" t="s">
        <v>30</v>
      </c>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v>2572921</v>
      </c>
      <c r="BW31" s="7">
        <v>2629915</v>
      </c>
      <c r="BX31" s="7">
        <v>2643781</v>
      </c>
      <c r="BY31" s="7">
        <v>2645718</v>
      </c>
      <c r="BZ31" s="7">
        <v>2659853</v>
      </c>
      <c r="CA31" s="7">
        <v>2703762</v>
      </c>
      <c r="CB31" s="7">
        <v>2691728</v>
      </c>
      <c r="CC31" s="7">
        <v>2699091</v>
      </c>
      <c r="CD31" s="7">
        <v>2679559</v>
      </c>
      <c r="CE31" s="7">
        <v>2686850</v>
      </c>
      <c r="CF31" s="7">
        <v>2769098</v>
      </c>
      <c r="CG31" s="7">
        <v>2776327</v>
      </c>
      <c r="CH31" s="7">
        <v>2923308</v>
      </c>
      <c r="CI31" s="7">
        <v>2895130</v>
      </c>
      <c r="CJ31" s="7">
        <v>3046039</v>
      </c>
      <c r="CK31" s="13">
        <v>3022282</v>
      </c>
      <c r="CL31" s="13">
        <v>2900580</v>
      </c>
      <c r="CM31" s="13">
        <v>2871880</v>
      </c>
      <c r="CN31" s="13">
        <v>2692860</v>
      </c>
      <c r="CO31" s="13">
        <v>2697179</v>
      </c>
      <c r="CP31" s="13">
        <v>2707321</v>
      </c>
      <c r="CQ31" s="13">
        <v>2732497</v>
      </c>
      <c r="CR31" s="13">
        <v>2721884</v>
      </c>
      <c r="CS31" s="13">
        <v>2848150</v>
      </c>
      <c r="CT31" s="13">
        <v>3208954</v>
      </c>
      <c r="CU31" s="13">
        <v>3188001</v>
      </c>
      <c r="CV31" s="13">
        <v>3172621</v>
      </c>
      <c r="CW31" s="13">
        <v>3148718</v>
      </c>
      <c r="CX31" s="13">
        <v>3209277</v>
      </c>
      <c r="CY31" s="13">
        <v>3314197</v>
      </c>
      <c r="CZ31" s="13">
        <v>3306472</v>
      </c>
      <c r="DA31" s="13">
        <v>3361297</v>
      </c>
      <c r="DB31" s="13">
        <v>3411117</v>
      </c>
      <c r="DC31" s="13">
        <v>3523088</v>
      </c>
      <c r="DD31" s="13">
        <v>3579037</v>
      </c>
      <c r="DE31" s="13">
        <v>3721175</v>
      </c>
      <c r="DF31" s="13">
        <v>3919907</v>
      </c>
      <c r="DG31" s="13">
        <v>3901256</v>
      </c>
      <c r="DH31" s="13">
        <v>3905806</v>
      </c>
      <c r="DI31" s="13">
        <v>3856764</v>
      </c>
      <c r="DJ31" s="7">
        <v>3789150</v>
      </c>
      <c r="DK31" s="7">
        <v>3905855</v>
      </c>
      <c r="DL31" s="7">
        <v>3835078</v>
      </c>
      <c r="DM31" s="7">
        <v>3908250</v>
      </c>
      <c r="DN31" s="7">
        <v>4148732</v>
      </c>
      <c r="DO31" s="7">
        <v>4221915</v>
      </c>
      <c r="DP31" s="7">
        <v>4689109</v>
      </c>
      <c r="DQ31" s="7">
        <v>5053924</v>
      </c>
      <c r="DR31" s="7">
        <v>5798279</v>
      </c>
      <c r="DS31" s="7">
        <v>5949214</v>
      </c>
      <c r="DT31" s="7">
        <v>6205203</v>
      </c>
      <c r="DU31" s="7">
        <v>6448837</v>
      </c>
      <c r="DV31" s="7">
        <v>6772079</v>
      </c>
      <c r="DW31" s="7">
        <v>6755313</v>
      </c>
      <c r="DX31" s="7">
        <v>7045896</v>
      </c>
      <c r="DY31" s="7">
        <v>7526969</v>
      </c>
      <c r="DZ31" s="7">
        <v>8053725</v>
      </c>
      <c r="EA31" s="7">
        <v>8220915</v>
      </c>
      <c r="EB31" s="7">
        <v>8168263</v>
      </c>
      <c r="EC31" s="7">
        <v>8135328</v>
      </c>
      <c r="ED31" s="7">
        <v>9436589</v>
      </c>
      <c r="EE31" s="7">
        <v>9496139</v>
      </c>
      <c r="EF31" s="7">
        <v>9672029</v>
      </c>
      <c r="EG31" s="7">
        <v>9659753</v>
      </c>
      <c r="EH31" s="7">
        <v>9552942</v>
      </c>
      <c r="EI31" s="7">
        <v>9711786</v>
      </c>
      <c r="EJ31" s="25">
        <f t="shared" si="0"/>
        <v>-96966</v>
      </c>
      <c r="EK31" s="7">
        <v>9614820</v>
      </c>
      <c r="EL31" s="25">
        <f t="shared" si="1"/>
        <v>363661</v>
      </c>
      <c r="EM31" s="7">
        <v>9978481</v>
      </c>
      <c r="EN31" s="25">
        <f t="shared" si="2"/>
        <v>156106</v>
      </c>
      <c r="EO31" s="7">
        <v>10134587</v>
      </c>
      <c r="EP31" s="25">
        <f t="shared" si="3"/>
        <v>399843</v>
      </c>
      <c r="EQ31" s="7">
        <v>10534430</v>
      </c>
      <c r="ER31" s="25">
        <f t="shared" si="4"/>
        <v>361895</v>
      </c>
      <c r="ES31" s="7">
        <v>10896325</v>
      </c>
      <c r="ET31" s="25">
        <f t="shared" si="5"/>
        <v>-386875</v>
      </c>
      <c r="EU31" s="7">
        <v>10509450</v>
      </c>
      <c r="EV31" s="25">
        <f t="shared" si="6"/>
        <v>1012957</v>
      </c>
      <c r="EW31" s="7">
        <v>11522407</v>
      </c>
      <c r="EX31" s="7">
        <v>11564433</v>
      </c>
      <c r="EY31" s="7">
        <v>11318431</v>
      </c>
      <c r="EZ31" s="7">
        <v>11410219</v>
      </c>
      <c r="FA31" s="7">
        <v>11804205</v>
      </c>
      <c r="FB31" s="7">
        <v>11843150</v>
      </c>
      <c r="FC31" s="7">
        <v>11717792</v>
      </c>
      <c r="FD31" s="7">
        <v>11982183</v>
      </c>
      <c r="FE31" s="7">
        <v>11997619</v>
      </c>
      <c r="FF31" s="7">
        <v>12231287</v>
      </c>
      <c r="FG31" s="7">
        <v>12212692</v>
      </c>
      <c r="FH31" s="7">
        <v>12765342</v>
      </c>
      <c r="FI31" s="7">
        <v>13590835</v>
      </c>
      <c r="FJ31" s="7">
        <v>13513255</v>
      </c>
    </row>
    <row r="32" spans="1:166" x14ac:dyDescent="0.4">
      <c r="A32" s="34" t="s">
        <v>6</v>
      </c>
      <c r="B32" s="7">
        <v>4414257</v>
      </c>
      <c r="C32" s="7">
        <v>4335634</v>
      </c>
      <c r="D32" s="7">
        <v>4282403</v>
      </c>
      <c r="E32" s="7">
        <v>4233274</v>
      </c>
      <c r="F32" s="7">
        <v>4369000</v>
      </c>
      <c r="G32" s="7">
        <v>4407631</v>
      </c>
      <c r="H32" s="7">
        <v>4415712</v>
      </c>
      <c r="I32" s="7">
        <v>4450124</v>
      </c>
      <c r="J32" s="7">
        <v>4510771</v>
      </c>
      <c r="K32" s="7">
        <v>4569162</v>
      </c>
      <c r="L32" s="7">
        <v>4695398</v>
      </c>
      <c r="M32" s="7">
        <v>4794914</v>
      </c>
      <c r="N32" s="7">
        <v>4859751</v>
      </c>
      <c r="O32" s="7">
        <v>4871518</v>
      </c>
      <c r="P32" s="7">
        <v>4897365</v>
      </c>
      <c r="Q32" s="7">
        <v>4857140</v>
      </c>
      <c r="R32" s="7">
        <v>4845399</v>
      </c>
      <c r="S32" s="7">
        <v>4872632</v>
      </c>
      <c r="T32" s="7">
        <v>4896539</v>
      </c>
      <c r="U32" s="7">
        <v>4940402</v>
      </c>
      <c r="V32" s="7">
        <v>4891647</v>
      </c>
      <c r="W32" s="7">
        <v>4892619</v>
      </c>
      <c r="X32" s="7">
        <v>4941666</v>
      </c>
      <c r="Y32" s="7">
        <v>4850684</v>
      </c>
      <c r="Z32" s="7">
        <v>5892743</v>
      </c>
      <c r="AA32" s="7">
        <v>5896090</v>
      </c>
      <c r="AB32" s="7">
        <v>5945218</v>
      </c>
      <c r="AC32" s="7">
        <v>5791168</v>
      </c>
      <c r="AD32" s="7">
        <v>5922546</v>
      </c>
      <c r="AE32" s="7">
        <v>6002123</v>
      </c>
      <c r="AF32" s="7">
        <v>5864372</v>
      </c>
      <c r="AG32" s="7">
        <v>6001942</v>
      </c>
      <c r="AH32" s="7">
        <v>5797610</v>
      </c>
      <c r="AI32" s="7">
        <v>5829353</v>
      </c>
      <c r="AJ32" s="7">
        <v>5928899</v>
      </c>
      <c r="AK32" s="7">
        <v>5962523</v>
      </c>
      <c r="AL32" s="7">
        <v>6012760</v>
      </c>
      <c r="AM32" s="7">
        <v>5987965</v>
      </c>
      <c r="AN32" s="7">
        <v>6014974</v>
      </c>
      <c r="AO32" s="7">
        <v>6117163</v>
      </c>
      <c r="AP32" s="7">
        <v>6213669</v>
      </c>
      <c r="AQ32" s="7">
        <v>6185050</v>
      </c>
      <c r="AR32" s="7">
        <v>6258021</v>
      </c>
      <c r="AS32" s="7">
        <v>6327842</v>
      </c>
      <c r="AT32" s="7">
        <v>6234177</v>
      </c>
      <c r="AU32" s="7">
        <v>6272802</v>
      </c>
      <c r="AV32" s="7">
        <v>6304948</v>
      </c>
      <c r="AW32" s="7">
        <v>6452684</v>
      </c>
      <c r="AX32" s="7">
        <v>6586035</v>
      </c>
      <c r="AY32" s="7">
        <v>6705803</v>
      </c>
      <c r="AZ32" s="7">
        <v>6798908</v>
      </c>
      <c r="BA32" s="7">
        <v>6947083</v>
      </c>
      <c r="BB32" s="7">
        <v>6955356</v>
      </c>
      <c r="BC32" s="7">
        <v>7120151</v>
      </c>
      <c r="BD32" s="7">
        <v>7116831</v>
      </c>
      <c r="BE32" s="7">
        <v>7247298</v>
      </c>
      <c r="BF32" s="7">
        <v>7400303</v>
      </c>
      <c r="BG32" s="7">
        <v>7572861</v>
      </c>
      <c r="BH32" s="7">
        <v>7703990</v>
      </c>
      <c r="BI32" s="7">
        <v>7841254</v>
      </c>
      <c r="BJ32" s="7">
        <v>7820146</v>
      </c>
      <c r="BK32" s="7">
        <v>7803508</v>
      </c>
      <c r="BL32" s="7">
        <v>7931789</v>
      </c>
      <c r="BM32" s="7">
        <v>7879971</v>
      </c>
      <c r="BN32" s="7">
        <v>7940867</v>
      </c>
      <c r="BO32" s="7">
        <v>8029824</v>
      </c>
      <c r="BP32" s="7">
        <v>8135309</v>
      </c>
      <c r="BQ32" s="7">
        <v>8263828</v>
      </c>
      <c r="BR32" s="7">
        <v>8261190</v>
      </c>
      <c r="BS32" s="7">
        <v>8261275</v>
      </c>
      <c r="BT32" s="7">
        <v>8332030</v>
      </c>
      <c r="BU32" s="7">
        <v>8386079</v>
      </c>
      <c r="BV32" s="7">
        <v>8462574</v>
      </c>
      <c r="BW32" s="7">
        <v>8526295</v>
      </c>
      <c r="BX32" s="7">
        <v>8535611</v>
      </c>
      <c r="BY32" s="7">
        <v>8804502</v>
      </c>
      <c r="BZ32" s="7">
        <v>9216443</v>
      </c>
      <c r="CA32" s="7">
        <v>9347918</v>
      </c>
      <c r="CB32" s="7">
        <v>9456789</v>
      </c>
      <c r="CC32" s="7">
        <v>9761157</v>
      </c>
      <c r="CD32" s="7">
        <v>9838512</v>
      </c>
      <c r="CE32" s="7">
        <v>9945470</v>
      </c>
      <c r="CF32" s="7">
        <v>10055393</v>
      </c>
      <c r="CG32" s="7">
        <v>10172539</v>
      </c>
      <c r="CH32" s="7">
        <v>10146562</v>
      </c>
      <c r="CI32" s="7">
        <v>10080651</v>
      </c>
      <c r="CJ32" s="7">
        <v>10546866</v>
      </c>
      <c r="CK32" s="13">
        <v>10571931</v>
      </c>
      <c r="CL32" s="13">
        <v>10890323</v>
      </c>
      <c r="CM32" s="13">
        <v>11057824</v>
      </c>
      <c r="CN32" s="13">
        <v>11480294</v>
      </c>
      <c r="CO32" s="13">
        <v>11761318</v>
      </c>
      <c r="CP32" s="13">
        <v>11943343</v>
      </c>
      <c r="CQ32" s="13">
        <v>12796005</v>
      </c>
      <c r="CR32" s="13">
        <v>14292454</v>
      </c>
      <c r="CS32" s="13">
        <v>15161436</v>
      </c>
      <c r="CT32" s="13">
        <v>15325835</v>
      </c>
      <c r="CU32" s="13">
        <v>15362638</v>
      </c>
      <c r="CV32" s="13">
        <v>15450620</v>
      </c>
      <c r="CW32" s="13">
        <v>16012522</v>
      </c>
      <c r="CX32" s="13">
        <v>16398078</v>
      </c>
      <c r="CY32" s="13">
        <v>16634732</v>
      </c>
      <c r="CZ32" s="13">
        <v>16847854</v>
      </c>
      <c r="DA32" s="13">
        <v>17016983</v>
      </c>
      <c r="DB32" s="13">
        <v>17161723</v>
      </c>
      <c r="DC32" s="13">
        <v>17352866</v>
      </c>
      <c r="DD32" s="13">
        <v>17355733</v>
      </c>
      <c r="DE32" s="13">
        <v>17391259</v>
      </c>
      <c r="DF32" s="13">
        <v>17081503</v>
      </c>
      <c r="DG32" s="13">
        <v>17094014</v>
      </c>
      <c r="DH32" s="13">
        <v>17207907</v>
      </c>
      <c r="DI32" s="13">
        <v>17205947</v>
      </c>
      <c r="DJ32" s="7">
        <v>17188490</v>
      </c>
      <c r="DK32" s="7">
        <v>17239628</v>
      </c>
      <c r="DL32" s="7">
        <v>17255435</v>
      </c>
      <c r="DM32" s="7">
        <v>16846975</v>
      </c>
      <c r="DN32" s="7">
        <v>16837031</v>
      </c>
      <c r="DO32" s="7">
        <v>16828191</v>
      </c>
      <c r="DP32" s="7">
        <v>16981939</v>
      </c>
      <c r="DQ32" s="7">
        <v>18001707</v>
      </c>
      <c r="DR32" s="7">
        <v>19559128</v>
      </c>
      <c r="DS32" s="7">
        <v>19643066</v>
      </c>
      <c r="DT32" s="7">
        <v>19920345</v>
      </c>
      <c r="DU32" s="7">
        <v>20118883</v>
      </c>
      <c r="DV32" s="7">
        <v>20356187</v>
      </c>
      <c r="DW32" s="7">
        <v>20568001</v>
      </c>
      <c r="DX32" s="7">
        <v>21002129</v>
      </c>
      <c r="DY32" s="7">
        <v>21156861</v>
      </c>
      <c r="DZ32" s="7">
        <v>21205518</v>
      </c>
      <c r="EA32" s="7">
        <v>21322717</v>
      </c>
      <c r="EB32" s="7">
        <v>21352758</v>
      </c>
      <c r="EC32" s="7">
        <v>21712808</v>
      </c>
      <c r="ED32" s="7">
        <v>21852925</v>
      </c>
      <c r="EE32" s="7">
        <v>22037778</v>
      </c>
      <c r="EF32" s="7">
        <v>22175359</v>
      </c>
      <c r="EG32" s="7">
        <v>22333044</v>
      </c>
      <c r="EH32" s="7">
        <v>22236397</v>
      </c>
      <c r="EI32" s="7">
        <v>22401262</v>
      </c>
      <c r="EJ32" s="25">
        <f t="shared" si="0"/>
        <v>35700</v>
      </c>
      <c r="EK32" s="7">
        <v>22436962</v>
      </c>
      <c r="EL32" s="25">
        <f t="shared" si="1"/>
        <v>-255543</v>
      </c>
      <c r="EM32" s="7">
        <v>22181419</v>
      </c>
      <c r="EN32" s="25">
        <f t="shared" si="2"/>
        <v>410443</v>
      </c>
      <c r="EO32" s="7">
        <v>22591862</v>
      </c>
      <c r="EP32" s="25">
        <f t="shared" si="3"/>
        <v>166860</v>
      </c>
      <c r="EQ32" s="7">
        <v>22758722</v>
      </c>
      <c r="ER32" s="25">
        <f t="shared" si="4"/>
        <v>-237343</v>
      </c>
      <c r="ES32" s="7">
        <v>22521379</v>
      </c>
      <c r="ET32" s="25">
        <f t="shared" si="5"/>
        <v>161828</v>
      </c>
      <c r="EU32" s="7">
        <v>22683207</v>
      </c>
      <c r="EV32" s="25">
        <f t="shared" si="6"/>
        <v>4263311</v>
      </c>
      <c r="EW32" s="7">
        <v>26946518</v>
      </c>
      <c r="EX32" s="7">
        <v>26616425</v>
      </c>
      <c r="EY32" s="7">
        <v>27258442</v>
      </c>
      <c r="EZ32" s="7">
        <v>27605549</v>
      </c>
      <c r="FA32" s="7">
        <v>27883787</v>
      </c>
      <c r="FB32" s="7">
        <v>28419785</v>
      </c>
      <c r="FC32" s="7">
        <v>28982557</v>
      </c>
      <c r="FD32" s="7">
        <v>29436010</v>
      </c>
      <c r="FE32" s="7">
        <v>29956636</v>
      </c>
      <c r="FF32" s="7">
        <v>30200873</v>
      </c>
      <c r="FG32" s="7">
        <v>31084169</v>
      </c>
      <c r="FH32" s="7">
        <v>32838131</v>
      </c>
      <c r="FI32" s="7">
        <v>33429770</v>
      </c>
      <c r="FJ32" s="7">
        <v>33604918</v>
      </c>
    </row>
    <row r="33" spans="1:166" x14ac:dyDescent="0.4">
      <c r="A33" s="35" t="s">
        <v>13</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c r="AF33" s="7">
        <v>0</v>
      </c>
      <c r="AG33" s="7">
        <v>0</v>
      </c>
      <c r="AH33" s="7">
        <v>0</v>
      </c>
      <c r="AI33" s="7">
        <v>0</v>
      </c>
      <c r="AJ33" s="7">
        <v>0</v>
      </c>
      <c r="AK33" s="7">
        <v>0</v>
      </c>
      <c r="AL33" s="7">
        <v>0</v>
      </c>
      <c r="AM33" s="7">
        <v>0</v>
      </c>
      <c r="AN33" s="7">
        <v>0</v>
      </c>
      <c r="AO33" s="7">
        <v>0</v>
      </c>
      <c r="AP33" s="7">
        <v>0</v>
      </c>
      <c r="AQ33" s="7">
        <v>0</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0</v>
      </c>
      <c r="BI33" s="7">
        <v>0</v>
      </c>
      <c r="BJ33" s="7">
        <v>0</v>
      </c>
      <c r="BK33" s="7">
        <v>0</v>
      </c>
      <c r="BL33" s="7">
        <v>0</v>
      </c>
      <c r="BM33" s="7">
        <v>0</v>
      </c>
      <c r="BN33" s="7">
        <v>0</v>
      </c>
      <c r="BO33" s="7">
        <v>0</v>
      </c>
      <c r="BP33" s="7">
        <v>0</v>
      </c>
      <c r="BQ33" s="7">
        <v>0</v>
      </c>
      <c r="BR33" s="7">
        <v>0</v>
      </c>
      <c r="BS33" s="7">
        <v>0</v>
      </c>
      <c r="BT33" s="7">
        <v>3000</v>
      </c>
      <c r="BU33" s="7">
        <v>3000</v>
      </c>
      <c r="BV33" s="7">
        <v>3000</v>
      </c>
      <c r="BW33" s="7">
        <v>3000</v>
      </c>
      <c r="BX33" s="7">
        <v>3000</v>
      </c>
      <c r="BY33" s="7">
        <v>3000</v>
      </c>
      <c r="BZ33" s="7">
        <v>3000</v>
      </c>
      <c r="CA33" s="7">
        <v>3000</v>
      </c>
      <c r="CB33" s="7">
        <v>3000</v>
      </c>
      <c r="CC33" s="7">
        <v>3000</v>
      </c>
      <c r="CD33" s="7">
        <v>3000</v>
      </c>
      <c r="CE33" s="7">
        <v>3000</v>
      </c>
      <c r="CF33" s="7">
        <v>0</v>
      </c>
      <c r="CG33" s="7">
        <v>0</v>
      </c>
      <c r="CH33" s="7">
        <v>0</v>
      </c>
      <c r="CI33" s="7">
        <v>0</v>
      </c>
      <c r="CJ33" s="7">
        <v>0</v>
      </c>
      <c r="CK33" s="7">
        <v>0</v>
      </c>
      <c r="CL33" s="7">
        <v>0</v>
      </c>
      <c r="CM33" s="7">
        <v>0</v>
      </c>
      <c r="CN33" s="7">
        <v>0</v>
      </c>
      <c r="CO33" s="7">
        <v>0</v>
      </c>
      <c r="CP33" s="7">
        <v>0</v>
      </c>
      <c r="CQ33" s="7">
        <v>0</v>
      </c>
      <c r="CR33" s="7">
        <v>0</v>
      </c>
      <c r="CS33" s="7">
        <v>0</v>
      </c>
      <c r="CT33" s="7">
        <v>0</v>
      </c>
      <c r="CU33" s="7">
        <v>0</v>
      </c>
      <c r="CV33" s="7">
        <v>0</v>
      </c>
      <c r="CW33" s="7">
        <v>0</v>
      </c>
      <c r="CX33" s="7">
        <v>0</v>
      </c>
      <c r="CY33" s="7">
        <v>0</v>
      </c>
      <c r="CZ33" s="7">
        <v>0</v>
      </c>
      <c r="DA33" s="7">
        <v>0</v>
      </c>
      <c r="DB33" s="7">
        <v>0</v>
      </c>
      <c r="DC33" s="7">
        <v>0</v>
      </c>
      <c r="DD33" s="7">
        <v>0</v>
      </c>
      <c r="DE33" s="7">
        <v>0</v>
      </c>
      <c r="DF33" s="7">
        <v>0</v>
      </c>
      <c r="DG33" s="7">
        <v>0</v>
      </c>
      <c r="DH33" s="7">
        <v>5363</v>
      </c>
      <c r="DI33" s="7">
        <v>5416</v>
      </c>
      <c r="DJ33" s="7">
        <v>5467</v>
      </c>
      <c r="DK33" s="7">
        <v>5519</v>
      </c>
      <c r="DL33" s="7">
        <v>5570</v>
      </c>
      <c r="DM33" s="7">
        <v>5623</v>
      </c>
      <c r="DN33" s="7">
        <v>5366</v>
      </c>
      <c r="DO33" s="7">
        <v>5417</v>
      </c>
      <c r="DP33" s="7">
        <v>5470</v>
      </c>
      <c r="DQ33" s="7">
        <v>5521</v>
      </c>
      <c r="DR33" s="7">
        <v>5574</v>
      </c>
      <c r="DS33" s="7">
        <v>5626</v>
      </c>
      <c r="DT33" s="7">
        <v>0</v>
      </c>
      <c r="DU33" s="7">
        <v>0</v>
      </c>
      <c r="DV33" s="7">
        <v>0</v>
      </c>
      <c r="DW33" s="7">
        <v>0</v>
      </c>
      <c r="DX33" s="7">
        <v>0</v>
      </c>
      <c r="DY33" s="7">
        <v>0</v>
      </c>
      <c r="DZ33" s="7">
        <v>0</v>
      </c>
      <c r="EA33" s="7">
        <v>15052</v>
      </c>
      <c r="EB33" s="7">
        <v>32994</v>
      </c>
      <c r="EC33" s="7">
        <v>59478</v>
      </c>
      <c r="ED33" s="7">
        <v>60200</v>
      </c>
      <c r="EE33" s="7">
        <v>59454</v>
      </c>
      <c r="EF33" s="7">
        <v>59206</v>
      </c>
      <c r="EG33" s="7">
        <v>59928</v>
      </c>
      <c r="EH33" s="7">
        <v>5413</v>
      </c>
      <c r="EI33" s="7">
        <v>9388</v>
      </c>
      <c r="EJ33" s="25">
        <f t="shared" si="0"/>
        <v>-3025</v>
      </c>
      <c r="EK33" s="7">
        <v>6363</v>
      </c>
      <c r="EL33" s="25">
        <f t="shared" si="1"/>
        <v>-2969</v>
      </c>
      <c r="EM33" s="7">
        <v>3394</v>
      </c>
      <c r="EN33" s="25">
        <f t="shared" si="2"/>
        <v>-80</v>
      </c>
      <c r="EO33" s="7">
        <v>3314</v>
      </c>
      <c r="EP33" s="25">
        <f t="shared" si="3"/>
        <v>1049</v>
      </c>
      <c r="EQ33" s="7">
        <v>4363</v>
      </c>
      <c r="ER33" s="25">
        <f t="shared" si="4"/>
        <v>-970</v>
      </c>
      <c r="ES33" s="7">
        <v>3393</v>
      </c>
      <c r="ET33" s="25">
        <f t="shared" si="5"/>
        <v>-3393</v>
      </c>
      <c r="EU33" s="7">
        <v>0</v>
      </c>
      <c r="EV33" s="25">
        <f t="shared" si="6"/>
        <v>0</v>
      </c>
      <c r="EW33" s="7">
        <v>0</v>
      </c>
      <c r="EX33" s="7">
        <v>0</v>
      </c>
      <c r="EY33" s="7">
        <v>2532</v>
      </c>
      <c r="EZ33" s="7">
        <v>0</v>
      </c>
      <c r="FA33" s="7">
        <v>0</v>
      </c>
      <c r="FB33" s="7">
        <v>2013</v>
      </c>
      <c r="FC33" s="7">
        <v>0</v>
      </c>
      <c r="FD33" s="7">
        <v>0</v>
      </c>
      <c r="FE33" s="7">
        <v>0</v>
      </c>
      <c r="FF33" s="7">
        <v>0</v>
      </c>
      <c r="FG33" s="7">
        <v>0</v>
      </c>
      <c r="FH33" s="7">
        <v>0</v>
      </c>
      <c r="FI33" s="7">
        <v>0</v>
      </c>
      <c r="FJ33" s="7">
        <v>0</v>
      </c>
    </row>
    <row r="34" spans="1:166" x14ac:dyDescent="0.4">
      <c r="A34" s="35" t="s">
        <v>14</v>
      </c>
      <c r="B34" s="7">
        <v>4414257</v>
      </c>
      <c r="C34" s="7">
        <v>4335634</v>
      </c>
      <c r="D34" s="7">
        <v>4282403</v>
      </c>
      <c r="E34" s="7">
        <v>4233274</v>
      </c>
      <c r="F34" s="7">
        <v>4369000</v>
      </c>
      <c r="G34" s="7">
        <v>4407631</v>
      </c>
      <c r="H34" s="7">
        <v>4415712</v>
      </c>
      <c r="I34" s="7">
        <v>4450124</v>
      </c>
      <c r="J34" s="7">
        <v>4510771</v>
      </c>
      <c r="K34" s="7">
        <v>4569162</v>
      </c>
      <c r="L34" s="7">
        <v>4695398</v>
      </c>
      <c r="M34" s="7">
        <v>4794914</v>
      </c>
      <c r="N34" s="7">
        <v>4859751</v>
      </c>
      <c r="O34" s="7">
        <v>4871518</v>
      </c>
      <c r="P34" s="7">
        <v>4897365</v>
      </c>
      <c r="Q34" s="7">
        <v>4857140</v>
      </c>
      <c r="R34" s="7">
        <v>4845399</v>
      </c>
      <c r="S34" s="7">
        <v>4872632</v>
      </c>
      <c r="T34" s="7">
        <v>4896539</v>
      </c>
      <c r="U34" s="7">
        <v>4940402</v>
      </c>
      <c r="V34" s="7">
        <v>4891647</v>
      </c>
      <c r="W34" s="7">
        <v>4892619</v>
      </c>
      <c r="X34" s="7">
        <v>4941666</v>
      </c>
      <c r="Y34" s="7">
        <v>4850684</v>
      </c>
      <c r="Z34" s="7">
        <v>5892743</v>
      </c>
      <c r="AA34" s="7">
        <v>5896090</v>
      </c>
      <c r="AB34" s="7">
        <v>5945218</v>
      </c>
      <c r="AC34" s="7">
        <v>5791168</v>
      </c>
      <c r="AD34" s="7">
        <v>5922546</v>
      </c>
      <c r="AE34" s="7">
        <v>6002123</v>
      </c>
      <c r="AF34" s="7">
        <v>5864372</v>
      </c>
      <c r="AG34" s="7">
        <v>6001942</v>
      </c>
      <c r="AH34" s="7">
        <v>5797610</v>
      </c>
      <c r="AI34" s="7">
        <v>5829353</v>
      </c>
      <c r="AJ34" s="7">
        <v>5928899</v>
      </c>
      <c r="AK34" s="7">
        <v>5962523</v>
      </c>
      <c r="AL34" s="7">
        <v>6012760</v>
      </c>
      <c r="AM34" s="7">
        <v>5987965</v>
      </c>
      <c r="AN34" s="7">
        <v>6014974</v>
      </c>
      <c r="AO34" s="7">
        <v>6117163</v>
      </c>
      <c r="AP34" s="7">
        <v>6213669</v>
      </c>
      <c r="AQ34" s="7">
        <v>6185050</v>
      </c>
      <c r="AR34" s="7">
        <v>6258021</v>
      </c>
      <c r="AS34" s="7">
        <v>6327842</v>
      </c>
      <c r="AT34" s="7">
        <v>6234177</v>
      </c>
      <c r="AU34" s="7">
        <v>6272802</v>
      </c>
      <c r="AV34" s="7">
        <v>6304948</v>
      </c>
      <c r="AW34" s="7">
        <v>6452684</v>
      </c>
      <c r="AX34" s="7">
        <v>6586035</v>
      </c>
      <c r="AY34" s="7">
        <v>6705803</v>
      </c>
      <c r="AZ34" s="7">
        <v>6798908</v>
      </c>
      <c r="BA34" s="7">
        <v>6947083</v>
      </c>
      <c r="BB34" s="7">
        <v>6955356</v>
      </c>
      <c r="BC34" s="7">
        <v>7120151</v>
      </c>
      <c r="BD34" s="7">
        <v>7116831</v>
      </c>
      <c r="BE34" s="7">
        <v>7247298</v>
      </c>
      <c r="BF34" s="7">
        <v>7400303</v>
      </c>
      <c r="BG34" s="7">
        <v>7572861</v>
      </c>
      <c r="BH34" s="7">
        <v>7703990</v>
      </c>
      <c r="BI34" s="7">
        <v>7841254</v>
      </c>
      <c r="BJ34" s="7">
        <v>7820146</v>
      </c>
      <c r="BK34" s="7">
        <v>7803508</v>
      </c>
      <c r="BL34" s="7">
        <v>7931789</v>
      </c>
      <c r="BM34" s="7">
        <v>7879971</v>
      </c>
      <c r="BN34" s="7">
        <v>7940867</v>
      </c>
      <c r="BO34" s="7">
        <v>8029824</v>
      </c>
      <c r="BP34" s="7">
        <v>8135309</v>
      </c>
      <c r="BQ34" s="7">
        <v>8263828</v>
      </c>
      <c r="BR34" s="7">
        <v>8261190</v>
      </c>
      <c r="BS34" s="7">
        <v>8261275</v>
      </c>
      <c r="BT34" s="7">
        <v>8329030</v>
      </c>
      <c r="BU34" s="7">
        <v>8383079</v>
      </c>
      <c r="BV34" s="7">
        <v>8459574</v>
      </c>
      <c r="BW34" s="7">
        <v>8523295</v>
      </c>
      <c r="BX34" s="7">
        <v>8532611</v>
      </c>
      <c r="BY34" s="7">
        <v>8801502</v>
      </c>
      <c r="BZ34" s="7">
        <v>9213443</v>
      </c>
      <c r="CA34" s="7">
        <v>9344918</v>
      </c>
      <c r="CB34" s="7">
        <v>9453789</v>
      </c>
      <c r="CC34" s="7">
        <v>9758157</v>
      </c>
      <c r="CD34" s="7">
        <v>9835512</v>
      </c>
      <c r="CE34" s="7">
        <v>9942470</v>
      </c>
      <c r="CF34" s="7">
        <v>10055393</v>
      </c>
      <c r="CG34" s="7">
        <v>10172539</v>
      </c>
      <c r="CH34" s="7">
        <v>10146562</v>
      </c>
      <c r="CI34" s="7">
        <v>10080651</v>
      </c>
      <c r="CJ34" s="7">
        <v>10546866</v>
      </c>
      <c r="CK34" s="13">
        <v>10571931</v>
      </c>
      <c r="CL34" s="13">
        <v>10890323</v>
      </c>
      <c r="CM34" s="13">
        <v>11057824</v>
      </c>
      <c r="CN34" s="13">
        <v>11480294</v>
      </c>
      <c r="CO34" s="13">
        <v>11761318</v>
      </c>
      <c r="CP34" s="13">
        <v>11943343</v>
      </c>
      <c r="CQ34" s="13">
        <v>12796005</v>
      </c>
      <c r="CR34" s="13">
        <v>14292454</v>
      </c>
      <c r="CS34" s="13">
        <v>15161436</v>
      </c>
      <c r="CT34" s="13">
        <v>15325835</v>
      </c>
      <c r="CU34" s="13">
        <v>15362638</v>
      </c>
      <c r="CV34" s="13">
        <v>15450620</v>
      </c>
      <c r="CW34" s="13">
        <v>16012522</v>
      </c>
      <c r="CX34" s="13">
        <v>16398078</v>
      </c>
      <c r="CY34" s="13">
        <v>16634732</v>
      </c>
      <c r="CZ34" s="13">
        <v>16847854</v>
      </c>
      <c r="DA34" s="13">
        <v>17016983</v>
      </c>
      <c r="DB34" s="13">
        <v>17161723</v>
      </c>
      <c r="DC34" s="13">
        <v>17352866</v>
      </c>
      <c r="DD34" s="13">
        <v>17355733</v>
      </c>
      <c r="DE34" s="13">
        <v>17391259</v>
      </c>
      <c r="DF34" s="13">
        <v>17081503</v>
      </c>
      <c r="DG34" s="13">
        <v>17094014</v>
      </c>
      <c r="DH34" s="13">
        <v>17202544</v>
      </c>
      <c r="DI34" s="13">
        <v>17200532</v>
      </c>
      <c r="DJ34" s="7">
        <v>17183023</v>
      </c>
      <c r="DK34" s="7">
        <v>17234109</v>
      </c>
      <c r="DL34" s="7">
        <v>17249865</v>
      </c>
      <c r="DM34" s="7">
        <v>16841352</v>
      </c>
      <c r="DN34" s="7">
        <v>16831664</v>
      </c>
      <c r="DO34" s="7">
        <v>16822774</v>
      </c>
      <c r="DP34" s="7">
        <v>16976469</v>
      </c>
      <c r="DQ34" s="7">
        <v>17996186</v>
      </c>
      <c r="DR34" s="7">
        <v>19553554</v>
      </c>
      <c r="DS34" s="7">
        <v>19637439</v>
      </c>
      <c r="DT34" s="7">
        <v>19920345</v>
      </c>
      <c r="DU34" s="7">
        <v>20118883</v>
      </c>
      <c r="DV34" s="7">
        <v>20356187</v>
      </c>
      <c r="DW34" s="7">
        <v>20568001</v>
      </c>
      <c r="DX34" s="7">
        <v>21002129</v>
      </c>
      <c r="DY34" s="7">
        <v>21156861</v>
      </c>
      <c r="DZ34" s="7">
        <v>21205518</v>
      </c>
      <c r="EA34" s="7">
        <v>21307665</v>
      </c>
      <c r="EB34" s="7">
        <v>21319764</v>
      </c>
      <c r="EC34" s="7">
        <v>21653330</v>
      </c>
      <c r="ED34" s="7">
        <v>21792726</v>
      </c>
      <c r="EE34" s="7">
        <v>21978324</v>
      </c>
      <c r="EF34" s="7">
        <v>22116152</v>
      </c>
      <c r="EG34" s="7">
        <v>22273116</v>
      </c>
      <c r="EH34" s="7">
        <v>22230985</v>
      </c>
      <c r="EI34" s="7">
        <v>22391875</v>
      </c>
      <c r="EJ34" s="25">
        <f t="shared" si="0"/>
        <v>38724</v>
      </c>
      <c r="EK34" s="7">
        <v>22430599</v>
      </c>
      <c r="EL34" s="25">
        <f t="shared" si="1"/>
        <v>-252574</v>
      </c>
      <c r="EM34" s="7">
        <v>22178025</v>
      </c>
      <c r="EN34" s="25">
        <f t="shared" si="2"/>
        <v>410523</v>
      </c>
      <c r="EO34" s="7">
        <v>22588548</v>
      </c>
      <c r="EP34" s="25">
        <f t="shared" si="3"/>
        <v>165811</v>
      </c>
      <c r="EQ34" s="7">
        <v>22754359</v>
      </c>
      <c r="ER34" s="25">
        <f t="shared" si="4"/>
        <v>-236373</v>
      </c>
      <c r="ES34" s="7">
        <v>22517986</v>
      </c>
      <c r="ET34" s="25">
        <f t="shared" si="5"/>
        <v>165221</v>
      </c>
      <c r="EU34" s="7">
        <v>22683207</v>
      </c>
      <c r="EV34" s="25">
        <f t="shared" si="6"/>
        <v>4263311</v>
      </c>
      <c r="EW34" s="7">
        <v>26946518</v>
      </c>
      <c r="EX34" s="7">
        <v>26616425</v>
      </c>
      <c r="EY34" s="7">
        <v>27255910</v>
      </c>
      <c r="EZ34" s="7">
        <v>27605549</v>
      </c>
      <c r="FA34" s="7">
        <v>27883787</v>
      </c>
      <c r="FB34" s="7">
        <v>28417772</v>
      </c>
      <c r="FC34" s="7">
        <v>28982557</v>
      </c>
      <c r="FD34" s="7">
        <v>29436010</v>
      </c>
      <c r="FE34" s="7">
        <v>29956636</v>
      </c>
      <c r="FF34" s="7">
        <v>30200873</v>
      </c>
      <c r="FG34" s="7">
        <v>31084169</v>
      </c>
      <c r="FH34" s="7">
        <v>32838131</v>
      </c>
      <c r="FI34" s="7">
        <v>33429770</v>
      </c>
      <c r="FJ34" s="7">
        <v>33604918</v>
      </c>
    </row>
    <row r="35" spans="1:166" x14ac:dyDescent="0.4">
      <c r="A35" s="35" t="s">
        <v>27</v>
      </c>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v>728232</v>
      </c>
      <c r="BW35" s="7">
        <v>971271</v>
      </c>
      <c r="BX35" s="7">
        <v>821267</v>
      </c>
      <c r="BY35" s="7">
        <v>818588</v>
      </c>
      <c r="BZ35" s="7">
        <v>825948</v>
      </c>
      <c r="CA35" s="7">
        <v>809482</v>
      </c>
      <c r="CB35" s="7">
        <v>807334</v>
      </c>
      <c r="CC35" s="7">
        <v>809741</v>
      </c>
      <c r="CD35" s="7">
        <v>816015</v>
      </c>
      <c r="CE35" s="7">
        <v>824086</v>
      </c>
      <c r="CF35" s="7">
        <v>708528</v>
      </c>
      <c r="CG35" s="7">
        <v>713564</v>
      </c>
      <c r="CH35" s="7">
        <v>565997</v>
      </c>
      <c r="CI35" s="7">
        <v>315994</v>
      </c>
      <c r="CJ35" s="7">
        <v>394526</v>
      </c>
      <c r="CK35" s="13">
        <v>413026</v>
      </c>
      <c r="CL35" s="13">
        <v>537026</v>
      </c>
      <c r="CM35" s="13">
        <v>301248</v>
      </c>
      <c r="CN35" s="13">
        <v>310002</v>
      </c>
      <c r="CO35" s="13">
        <v>309218</v>
      </c>
      <c r="CP35" s="13">
        <v>596083</v>
      </c>
      <c r="CQ35" s="13">
        <v>583059</v>
      </c>
      <c r="CR35" s="13">
        <v>587781</v>
      </c>
      <c r="CS35" s="13">
        <v>627815</v>
      </c>
      <c r="CT35" s="13">
        <v>1037677</v>
      </c>
      <c r="CU35" s="13">
        <v>1043104</v>
      </c>
      <c r="CV35" s="13">
        <v>961285</v>
      </c>
      <c r="CW35" s="13">
        <v>948081</v>
      </c>
      <c r="CX35" s="13">
        <v>790535</v>
      </c>
      <c r="CY35" s="13">
        <v>792489</v>
      </c>
      <c r="CZ35" s="13">
        <v>809296</v>
      </c>
      <c r="DA35" s="13">
        <v>1259298</v>
      </c>
      <c r="DB35" s="13">
        <v>970760</v>
      </c>
      <c r="DC35" s="13">
        <v>977403</v>
      </c>
      <c r="DD35" s="13">
        <v>1001853</v>
      </c>
      <c r="DE35" s="13">
        <v>1177707</v>
      </c>
      <c r="DF35" s="13">
        <v>1111038</v>
      </c>
      <c r="DG35" s="13">
        <v>1258775</v>
      </c>
      <c r="DH35" s="13">
        <v>1264273</v>
      </c>
      <c r="DI35" s="13">
        <v>1270470</v>
      </c>
      <c r="DJ35" s="7">
        <v>1270266</v>
      </c>
      <c r="DK35" s="7">
        <v>1311769</v>
      </c>
      <c r="DL35" s="7">
        <v>1282520</v>
      </c>
      <c r="DM35" s="7">
        <v>838743</v>
      </c>
      <c r="DN35" s="7">
        <v>1326772</v>
      </c>
      <c r="DO35" s="7">
        <v>1331627</v>
      </c>
      <c r="DP35" s="7">
        <v>1470601</v>
      </c>
      <c r="DQ35" s="7">
        <v>1258869</v>
      </c>
      <c r="DR35" s="7">
        <v>901307</v>
      </c>
      <c r="DS35" s="7">
        <v>746340</v>
      </c>
      <c r="DT35" s="7">
        <v>1116333</v>
      </c>
      <c r="DU35" s="7">
        <v>1129081</v>
      </c>
      <c r="DV35" s="7">
        <v>1473449</v>
      </c>
      <c r="DW35" s="7">
        <v>1449121</v>
      </c>
      <c r="DX35" s="7">
        <v>1471083</v>
      </c>
      <c r="DY35" s="7">
        <v>1862535</v>
      </c>
      <c r="DZ35" s="7">
        <v>1367181</v>
      </c>
      <c r="EA35" s="7">
        <v>1374332</v>
      </c>
      <c r="EB35" s="7">
        <v>1574288</v>
      </c>
      <c r="EC35" s="7">
        <v>1584283</v>
      </c>
      <c r="ED35" s="7">
        <v>1584551</v>
      </c>
      <c r="EE35" s="7">
        <v>1959524</v>
      </c>
      <c r="EF35" s="7">
        <v>1586947</v>
      </c>
      <c r="EG35" s="7">
        <v>1624414</v>
      </c>
      <c r="EH35" s="7">
        <v>1266256</v>
      </c>
      <c r="EI35" s="7">
        <v>1294852</v>
      </c>
      <c r="EJ35" s="25">
        <f t="shared" si="0"/>
        <v>14383</v>
      </c>
      <c r="EK35" s="7">
        <v>1309235</v>
      </c>
      <c r="EL35" s="25">
        <f t="shared" si="1"/>
        <v>69532</v>
      </c>
      <c r="EM35" s="7">
        <v>1378767</v>
      </c>
      <c r="EN35" s="25">
        <f t="shared" si="2"/>
        <v>-5971</v>
      </c>
      <c r="EO35" s="7">
        <v>1372796</v>
      </c>
      <c r="EP35" s="25">
        <f t="shared" si="3"/>
        <v>52377</v>
      </c>
      <c r="EQ35" s="7">
        <v>1425173</v>
      </c>
      <c r="ER35" s="25">
        <f t="shared" si="4"/>
        <v>-361813</v>
      </c>
      <c r="ES35" s="7">
        <v>1063360</v>
      </c>
      <c r="ET35" s="25">
        <f t="shared" si="5"/>
        <v>440744</v>
      </c>
      <c r="EU35" s="7">
        <v>1504104</v>
      </c>
      <c r="EV35" s="25">
        <f t="shared" si="6"/>
        <v>10170</v>
      </c>
      <c r="EW35" s="7">
        <v>1514274</v>
      </c>
      <c r="EX35" s="7">
        <v>1089744</v>
      </c>
      <c r="EY35" s="7">
        <v>1220706</v>
      </c>
      <c r="EZ35" s="7">
        <v>1643947</v>
      </c>
      <c r="FA35" s="7">
        <v>1670538</v>
      </c>
      <c r="FB35" s="7">
        <v>1842544</v>
      </c>
      <c r="FC35" s="7">
        <v>1848192</v>
      </c>
      <c r="FD35" s="7">
        <v>1412222</v>
      </c>
      <c r="FE35" s="7">
        <v>1440813</v>
      </c>
      <c r="FF35" s="7">
        <v>1793077</v>
      </c>
      <c r="FG35" s="7">
        <v>2135033</v>
      </c>
      <c r="FH35" s="7">
        <v>1680062</v>
      </c>
      <c r="FI35" s="7">
        <v>1697711</v>
      </c>
      <c r="FJ35" s="7">
        <v>1700863</v>
      </c>
    </row>
    <row r="36" spans="1:166" x14ac:dyDescent="0.4">
      <c r="A36" s="35" t="s">
        <v>30</v>
      </c>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v>7731342</v>
      </c>
      <c r="BW36" s="7">
        <v>7552024</v>
      </c>
      <c r="BX36" s="7">
        <v>7711344</v>
      </c>
      <c r="BY36" s="7">
        <v>7982915</v>
      </c>
      <c r="BZ36" s="7">
        <v>8387495</v>
      </c>
      <c r="CA36" s="7">
        <v>8535435</v>
      </c>
      <c r="CB36" s="7">
        <v>8646455</v>
      </c>
      <c r="CC36" s="7">
        <v>8948416</v>
      </c>
      <c r="CD36" s="7">
        <v>9019497</v>
      </c>
      <c r="CE36" s="7">
        <v>9118384</v>
      </c>
      <c r="CF36" s="7">
        <v>9346865</v>
      </c>
      <c r="CG36" s="7">
        <v>9458975</v>
      </c>
      <c r="CH36" s="7">
        <v>9580565</v>
      </c>
      <c r="CI36" s="7">
        <v>9764657</v>
      </c>
      <c r="CJ36" s="7">
        <v>10152340</v>
      </c>
      <c r="CK36" s="13">
        <v>10158905</v>
      </c>
      <c r="CL36" s="13">
        <v>10353297</v>
      </c>
      <c r="CM36" s="13">
        <v>10756576</v>
      </c>
      <c r="CN36" s="13">
        <v>11170292</v>
      </c>
      <c r="CO36" s="13">
        <v>11452100</v>
      </c>
      <c r="CP36" s="13">
        <v>11347260</v>
      </c>
      <c r="CQ36" s="13">
        <v>12212945</v>
      </c>
      <c r="CR36" s="13">
        <v>13704673</v>
      </c>
      <c r="CS36" s="13">
        <v>14533621</v>
      </c>
      <c r="CT36" s="13">
        <v>14288158</v>
      </c>
      <c r="CU36" s="13">
        <v>14319533</v>
      </c>
      <c r="CV36" s="13">
        <v>14489334</v>
      </c>
      <c r="CW36" s="13">
        <v>15064441</v>
      </c>
      <c r="CX36" s="13">
        <v>15607543</v>
      </c>
      <c r="CY36" s="13">
        <v>15842243</v>
      </c>
      <c r="CZ36" s="13">
        <v>16038558</v>
      </c>
      <c r="DA36" s="13">
        <v>15757685</v>
      </c>
      <c r="DB36" s="13">
        <v>16190963</v>
      </c>
      <c r="DC36" s="13">
        <v>16375463</v>
      </c>
      <c r="DD36" s="13">
        <v>16353880</v>
      </c>
      <c r="DE36" s="13">
        <v>16213552</v>
      </c>
      <c r="DF36" s="13">
        <v>15970465</v>
      </c>
      <c r="DG36" s="13">
        <v>15835239</v>
      </c>
      <c r="DH36" s="13">
        <v>15938271</v>
      </c>
      <c r="DI36" s="13">
        <v>15930062</v>
      </c>
      <c r="DJ36" s="7">
        <v>15912758</v>
      </c>
      <c r="DK36" s="7">
        <v>15922341</v>
      </c>
      <c r="DL36" s="7">
        <v>15967345</v>
      </c>
      <c r="DM36" s="7">
        <v>16002608</v>
      </c>
      <c r="DN36" s="7">
        <v>15504892</v>
      </c>
      <c r="DO36" s="7">
        <v>15491147</v>
      </c>
      <c r="DP36" s="7">
        <v>15505868</v>
      </c>
      <c r="DQ36" s="7">
        <v>16737317</v>
      </c>
      <c r="DR36" s="7">
        <v>18652247</v>
      </c>
      <c r="DS36" s="7">
        <v>18891099</v>
      </c>
      <c r="DT36" s="7">
        <v>18804012</v>
      </c>
      <c r="DU36" s="7">
        <v>18989802</v>
      </c>
      <c r="DV36" s="7">
        <v>18882738</v>
      </c>
      <c r="DW36" s="7">
        <v>19118881</v>
      </c>
      <c r="DX36" s="7">
        <v>19531046</v>
      </c>
      <c r="DY36" s="7">
        <v>19294326</v>
      </c>
      <c r="DZ36" s="7">
        <v>19838337</v>
      </c>
      <c r="EA36" s="7">
        <v>19933333</v>
      </c>
      <c r="EB36" s="7">
        <v>19745476</v>
      </c>
      <c r="EC36" s="7">
        <v>20069046</v>
      </c>
      <c r="ED36" s="7">
        <v>20208174</v>
      </c>
      <c r="EE36" s="7">
        <v>20018800</v>
      </c>
      <c r="EF36" s="7">
        <v>20529206</v>
      </c>
      <c r="EG36" s="7">
        <v>20648702</v>
      </c>
      <c r="EH36" s="7">
        <v>20964729</v>
      </c>
      <c r="EI36" s="7">
        <v>21097023</v>
      </c>
      <c r="EJ36" s="25">
        <f t="shared" si="0"/>
        <v>24341</v>
      </c>
      <c r="EK36" s="7">
        <v>21121364</v>
      </c>
      <c r="EL36" s="25">
        <f t="shared" si="1"/>
        <v>-322105</v>
      </c>
      <c r="EM36" s="7">
        <v>20799259</v>
      </c>
      <c r="EN36" s="25">
        <f t="shared" si="2"/>
        <v>416494</v>
      </c>
      <c r="EO36" s="7">
        <v>21215753</v>
      </c>
      <c r="EP36" s="25">
        <f t="shared" si="3"/>
        <v>113434</v>
      </c>
      <c r="EQ36" s="7">
        <v>21329187</v>
      </c>
      <c r="ER36" s="25">
        <f t="shared" si="4"/>
        <v>125439</v>
      </c>
      <c r="ES36" s="7">
        <v>21454626</v>
      </c>
      <c r="ET36" s="25">
        <f t="shared" si="5"/>
        <v>-275523</v>
      </c>
      <c r="EU36" s="7">
        <v>21179103</v>
      </c>
      <c r="EV36" s="25">
        <f t="shared" si="6"/>
        <v>4253141</v>
      </c>
      <c r="EW36" s="7">
        <v>25432244</v>
      </c>
      <c r="EX36" s="7">
        <v>25526682</v>
      </c>
      <c r="EY36" s="7">
        <v>26035204</v>
      </c>
      <c r="EZ36" s="7">
        <v>25961602</v>
      </c>
      <c r="FA36" s="7">
        <v>26213249</v>
      </c>
      <c r="FB36" s="7">
        <v>26575228</v>
      </c>
      <c r="FC36" s="7">
        <v>27134365</v>
      </c>
      <c r="FD36" s="7">
        <v>28023788</v>
      </c>
      <c r="FE36" s="7">
        <v>28515823</v>
      </c>
      <c r="FF36" s="7">
        <v>28407796</v>
      </c>
      <c r="FG36" s="7">
        <v>28949136</v>
      </c>
      <c r="FH36" s="7">
        <v>31158068</v>
      </c>
      <c r="FI36" s="7">
        <v>31732059</v>
      </c>
      <c r="FJ36" s="7">
        <v>31904055</v>
      </c>
    </row>
    <row r="37" spans="1:166" x14ac:dyDescent="0.4">
      <c r="A37" s="34" t="s">
        <v>7</v>
      </c>
      <c r="B37" s="7">
        <v>1835416</v>
      </c>
      <c r="C37" s="7">
        <v>1808209</v>
      </c>
      <c r="D37" s="7">
        <v>1867989</v>
      </c>
      <c r="E37" s="7">
        <v>1937148</v>
      </c>
      <c r="F37" s="7">
        <v>1922846</v>
      </c>
      <c r="G37" s="7">
        <v>1918246</v>
      </c>
      <c r="H37" s="7">
        <v>2001546</v>
      </c>
      <c r="I37" s="7">
        <v>2018627</v>
      </c>
      <c r="J37" s="7">
        <v>2007857</v>
      </c>
      <c r="K37" s="7">
        <v>2041163</v>
      </c>
      <c r="L37" s="7">
        <v>2036763</v>
      </c>
      <c r="M37" s="7">
        <v>2126878</v>
      </c>
      <c r="N37" s="7">
        <v>2126927</v>
      </c>
      <c r="O37" s="7">
        <v>2189639</v>
      </c>
      <c r="P37" s="7">
        <v>2213027</v>
      </c>
      <c r="Q37" s="7">
        <v>2162627</v>
      </c>
      <c r="R37" s="7">
        <v>2142382</v>
      </c>
      <c r="S37" s="7">
        <v>2140382</v>
      </c>
      <c r="T37" s="7">
        <v>2159302</v>
      </c>
      <c r="U37" s="7">
        <v>2143650</v>
      </c>
      <c r="V37" s="7">
        <v>2136069</v>
      </c>
      <c r="W37" s="7">
        <v>2167025</v>
      </c>
      <c r="X37" s="7">
        <v>2240374</v>
      </c>
      <c r="Y37" s="7">
        <v>2225239</v>
      </c>
      <c r="Z37" s="7">
        <v>2847022</v>
      </c>
      <c r="AA37" s="7">
        <v>3247666</v>
      </c>
      <c r="AB37" s="7">
        <v>3237166</v>
      </c>
      <c r="AC37" s="7">
        <v>3248706</v>
      </c>
      <c r="AD37" s="7">
        <v>3256030</v>
      </c>
      <c r="AE37" s="7">
        <v>3351807</v>
      </c>
      <c r="AF37" s="7">
        <v>3412307</v>
      </c>
      <c r="AG37" s="7">
        <v>3501407</v>
      </c>
      <c r="AH37" s="7">
        <v>3529371</v>
      </c>
      <c r="AI37" s="7">
        <v>3525571</v>
      </c>
      <c r="AJ37" s="7">
        <v>3570659</v>
      </c>
      <c r="AK37" s="7">
        <v>3617859</v>
      </c>
      <c r="AL37" s="7">
        <v>3731458</v>
      </c>
      <c r="AM37" s="7">
        <v>3757109</v>
      </c>
      <c r="AN37" s="7">
        <v>3696676</v>
      </c>
      <c r="AO37" s="7">
        <v>3772805</v>
      </c>
      <c r="AP37" s="7">
        <v>3946814</v>
      </c>
      <c r="AQ37" s="7">
        <v>4009035</v>
      </c>
      <c r="AR37" s="7">
        <v>4072985</v>
      </c>
      <c r="AS37" s="7">
        <v>4085295</v>
      </c>
      <c r="AT37" s="7">
        <v>4138107</v>
      </c>
      <c r="AU37" s="7">
        <v>4287576</v>
      </c>
      <c r="AV37" s="7">
        <v>4336550</v>
      </c>
      <c r="AW37" s="7">
        <v>4384678</v>
      </c>
      <c r="AX37" s="7">
        <v>5053436</v>
      </c>
      <c r="AY37" s="7">
        <v>5052958</v>
      </c>
      <c r="AZ37" s="7">
        <v>5093711</v>
      </c>
      <c r="BA37" s="7">
        <v>5151570</v>
      </c>
      <c r="BB37" s="7">
        <v>5244836</v>
      </c>
      <c r="BC37" s="7">
        <v>5391316</v>
      </c>
      <c r="BD37" s="7">
        <v>5405886</v>
      </c>
      <c r="BE37" s="7">
        <v>5693643</v>
      </c>
      <c r="BF37" s="7">
        <v>5717432</v>
      </c>
      <c r="BG37" s="7">
        <v>5709501</v>
      </c>
      <c r="BH37" s="7">
        <v>5804835</v>
      </c>
      <c r="BI37" s="7">
        <v>5808945</v>
      </c>
      <c r="BJ37" s="7">
        <v>6486115</v>
      </c>
      <c r="BK37" s="7">
        <v>6456931</v>
      </c>
      <c r="BL37" s="7">
        <v>6537499</v>
      </c>
      <c r="BM37" s="7">
        <v>6598917</v>
      </c>
      <c r="BN37" s="7">
        <v>6649891</v>
      </c>
      <c r="BO37" s="7">
        <v>6610548</v>
      </c>
      <c r="BP37" s="7">
        <v>6641897</v>
      </c>
      <c r="BQ37" s="7">
        <v>6633660</v>
      </c>
      <c r="BR37" s="7">
        <v>6657250</v>
      </c>
      <c r="BS37" s="7">
        <v>6630854</v>
      </c>
      <c r="BT37" s="7">
        <v>6616414</v>
      </c>
      <c r="BU37" s="7">
        <v>6712492</v>
      </c>
      <c r="BV37" s="7">
        <v>6719667</v>
      </c>
      <c r="BW37" s="7">
        <v>6713798</v>
      </c>
      <c r="BX37" s="7">
        <v>6774959</v>
      </c>
      <c r="BY37" s="7">
        <v>6774317</v>
      </c>
      <c r="BZ37" s="7">
        <v>6924156</v>
      </c>
      <c r="CA37" s="7">
        <v>6901276</v>
      </c>
      <c r="CB37" s="7">
        <v>6936857</v>
      </c>
      <c r="CC37" s="7">
        <v>7049104</v>
      </c>
      <c r="CD37" s="7">
        <v>7060769</v>
      </c>
      <c r="CE37" s="7">
        <v>6995819</v>
      </c>
      <c r="CF37" s="7">
        <v>7109564</v>
      </c>
      <c r="CG37" s="7">
        <v>7228204</v>
      </c>
      <c r="CH37" s="7">
        <v>7345798</v>
      </c>
      <c r="CI37" s="7">
        <v>7357741</v>
      </c>
      <c r="CJ37" s="7">
        <v>7554577</v>
      </c>
      <c r="CK37" s="13">
        <v>7639022</v>
      </c>
      <c r="CL37" s="13">
        <v>7663563</v>
      </c>
      <c r="CM37" s="13">
        <v>7714925</v>
      </c>
      <c r="CN37" s="13">
        <v>7698515</v>
      </c>
      <c r="CO37" s="13">
        <v>7768391</v>
      </c>
      <c r="CP37" s="13">
        <v>7840466</v>
      </c>
      <c r="CQ37" s="13">
        <v>7824063</v>
      </c>
      <c r="CR37" s="13">
        <v>7915838</v>
      </c>
      <c r="CS37" s="13">
        <v>8816934</v>
      </c>
      <c r="CT37" s="13">
        <v>8988494</v>
      </c>
      <c r="CU37" s="13">
        <v>8577264</v>
      </c>
      <c r="CV37" s="13">
        <v>8666918</v>
      </c>
      <c r="CW37" s="13">
        <v>8721208</v>
      </c>
      <c r="CX37" s="13">
        <v>8680734</v>
      </c>
      <c r="CY37" s="13">
        <v>8670778</v>
      </c>
      <c r="CZ37" s="13">
        <v>8652817</v>
      </c>
      <c r="DA37" s="13">
        <v>8895142</v>
      </c>
      <c r="DB37" s="13">
        <v>9028164</v>
      </c>
      <c r="DC37" s="13">
        <v>9048586</v>
      </c>
      <c r="DD37" s="13">
        <v>9250763</v>
      </c>
      <c r="DE37" s="13">
        <v>9306358</v>
      </c>
      <c r="DF37" s="13">
        <v>9301861</v>
      </c>
      <c r="DG37" s="13">
        <v>9305209</v>
      </c>
      <c r="DH37" s="13">
        <v>9284968</v>
      </c>
      <c r="DI37" s="13">
        <v>9165760</v>
      </c>
      <c r="DJ37" s="7">
        <v>8995945</v>
      </c>
      <c r="DK37" s="7">
        <v>8920450</v>
      </c>
      <c r="DL37" s="7">
        <v>8843816</v>
      </c>
      <c r="DM37" s="7">
        <v>8931904</v>
      </c>
      <c r="DN37" s="7">
        <v>9050079</v>
      </c>
      <c r="DO37" s="7">
        <v>9227874</v>
      </c>
      <c r="DP37" s="7">
        <v>9310525</v>
      </c>
      <c r="DQ37" s="7">
        <v>9227626</v>
      </c>
      <c r="DR37" s="7">
        <v>9427671</v>
      </c>
      <c r="DS37" s="7">
        <v>9372792</v>
      </c>
      <c r="DT37" s="7">
        <v>9412352</v>
      </c>
      <c r="DU37" s="7">
        <v>9603681</v>
      </c>
      <c r="DV37" s="7">
        <v>9758866</v>
      </c>
      <c r="DW37" s="7">
        <v>9827633</v>
      </c>
      <c r="DX37" s="7">
        <v>9863796</v>
      </c>
      <c r="DY37" s="7">
        <v>10076354</v>
      </c>
      <c r="DZ37" s="7">
        <v>9926287</v>
      </c>
      <c r="EA37" s="7">
        <v>9948864</v>
      </c>
      <c r="EB37" s="7">
        <v>9910378</v>
      </c>
      <c r="EC37" s="7">
        <v>9893838</v>
      </c>
      <c r="ED37" s="7">
        <v>10220704</v>
      </c>
      <c r="EE37" s="7">
        <v>10232998</v>
      </c>
      <c r="EF37" s="7">
        <v>10417667</v>
      </c>
      <c r="EG37" s="7">
        <v>10778411</v>
      </c>
      <c r="EH37" s="7">
        <v>10814712</v>
      </c>
      <c r="EI37" s="7">
        <v>10843531</v>
      </c>
      <c r="EJ37" s="25">
        <f t="shared" si="0"/>
        <v>148790</v>
      </c>
      <c r="EK37" s="7">
        <v>10992321</v>
      </c>
      <c r="EL37" s="25">
        <f t="shared" si="1"/>
        <v>153395</v>
      </c>
      <c r="EM37" s="7">
        <v>11145716</v>
      </c>
      <c r="EN37" s="25">
        <f t="shared" si="2"/>
        <v>298072</v>
      </c>
      <c r="EO37" s="7">
        <v>11443788</v>
      </c>
      <c r="EP37" s="25">
        <f t="shared" si="3"/>
        <v>412551</v>
      </c>
      <c r="EQ37" s="7">
        <v>11856339</v>
      </c>
      <c r="ER37" s="25">
        <f t="shared" si="4"/>
        <v>238438</v>
      </c>
      <c r="ES37" s="7">
        <v>12094777</v>
      </c>
      <c r="ET37" s="25">
        <f t="shared" si="5"/>
        <v>869868</v>
      </c>
      <c r="EU37" s="7">
        <v>12964645</v>
      </c>
      <c r="EV37" s="25">
        <f t="shared" si="6"/>
        <v>189618</v>
      </c>
      <c r="EW37" s="7">
        <v>13154263</v>
      </c>
      <c r="EX37" s="7">
        <v>13481104</v>
      </c>
      <c r="EY37" s="7">
        <v>13441731</v>
      </c>
      <c r="EZ37" s="7">
        <v>13833531</v>
      </c>
      <c r="FA37" s="7">
        <v>14345463</v>
      </c>
      <c r="FB37" s="7">
        <v>14390213</v>
      </c>
      <c r="FC37" s="7">
        <v>14837198</v>
      </c>
      <c r="FD37" s="7">
        <v>15129157</v>
      </c>
      <c r="FE37" s="7">
        <v>15528835</v>
      </c>
      <c r="FF37" s="7">
        <v>15886839</v>
      </c>
      <c r="FG37" s="7">
        <v>16004745</v>
      </c>
      <c r="FH37" s="7">
        <v>15892949</v>
      </c>
      <c r="FI37" s="7">
        <v>16078641</v>
      </c>
      <c r="FJ37" s="7">
        <v>16008581</v>
      </c>
    </row>
    <row r="38" spans="1:166" x14ac:dyDescent="0.4">
      <c r="A38" s="35" t="s">
        <v>13</v>
      </c>
      <c r="B38" s="7">
        <v>0</v>
      </c>
      <c r="C38" s="7">
        <v>0</v>
      </c>
      <c r="D38" s="7">
        <v>2000</v>
      </c>
      <c r="E38" s="7">
        <v>2000</v>
      </c>
      <c r="F38" s="7">
        <v>2000</v>
      </c>
      <c r="G38" s="7">
        <v>2000</v>
      </c>
      <c r="H38" s="7">
        <v>2000</v>
      </c>
      <c r="I38" s="7">
        <v>2000</v>
      </c>
      <c r="J38" s="7">
        <v>2000</v>
      </c>
      <c r="K38" s="7">
        <v>2000</v>
      </c>
      <c r="L38" s="7">
        <v>2000</v>
      </c>
      <c r="M38" s="7">
        <v>2000</v>
      </c>
      <c r="N38" s="7">
        <v>2000</v>
      </c>
      <c r="O38" s="7">
        <v>0</v>
      </c>
      <c r="P38" s="7">
        <v>0</v>
      </c>
      <c r="Q38" s="7">
        <v>0</v>
      </c>
      <c r="R38" s="7">
        <v>0</v>
      </c>
      <c r="S38" s="7">
        <v>15000</v>
      </c>
      <c r="T38" s="7">
        <v>15000</v>
      </c>
      <c r="U38" s="7">
        <v>15000</v>
      </c>
      <c r="V38" s="7">
        <v>15000</v>
      </c>
      <c r="W38" s="7">
        <v>15000</v>
      </c>
      <c r="X38" s="7">
        <v>30000</v>
      </c>
      <c r="Y38" s="7">
        <v>30000</v>
      </c>
      <c r="Z38" s="7">
        <v>0</v>
      </c>
      <c r="AA38" s="7">
        <v>0</v>
      </c>
      <c r="AB38" s="7">
        <v>0</v>
      </c>
      <c r="AC38" s="7">
        <v>0</v>
      </c>
      <c r="AD38" s="7">
        <v>0</v>
      </c>
      <c r="AE38" s="7">
        <v>0</v>
      </c>
      <c r="AF38" s="7">
        <v>0</v>
      </c>
      <c r="AG38" s="7">
        <v>0</v>
      </c>
      <c r="AH38" s="7">
        <v>0</v>
      </c>
      <c r="AI38" s="7">
        <v>0</v>
      </c>
      <c r="AJ38" s="7">
        <v>0</v>
      </c>
      <c r="AK38" s="7">
        <v>0</v>
      </c>
      <c r="AL38" s="7">
        <v>0</v>
      </c>
      <c r="AM38" s="7">
        <v>0</v>
      </c>
      <c r="AN38" s="7">
        <v>0</v>
      </c>
      <c r="AO38" s="7">
        <v>0</v>
      </c>
      <c r="AP38" s="7">
        <v>0</v>
      </c>
      <c r="AQ38" s="7">
        <v>0</v>
      </c>
      <c r="AR38" s="7">
        <v>0</v>
      </c>
      <c r="AS38" s="7">
        <v>0</v>
      </c>
      <c r="AT38" s="7">
        <v>0</v>
      </c>
      <c r="AU38" s="7">
        <v>100</v>
      </c>
      <c r="AV38" s="7">
        <v>100</v>
      </c>
      <c r="AW38" s="7">
        <v>100</v>
      </c>
      <c r="AX38" s="7">
        <v>100</v>
      </c>
      <c r="AY38" s="7">
        <v>100</v>
      </c>
      <c r="AZ38" s="7">
        <v>100</v>
      </c>
      <c r="BA38" s="7">
        <v>100</v>
      </c>
      <c r="BB38" s="7">
        <v>130</v>
      </c>
      <c r="BC38" s="7">
        <v>130</v>
      </c>
      <c r="BD38" s="7">
        <v>130</v>
      </c>
      <c r="BE38" s="7">
        <v>130</v>
      </c>
      <c r="BF38" s="7">
        <v>130</v>
      </c>
      <c r="BG38" s="7">
        <v>60</v>
      </c>
      <c r="BH38" s="7">
        <v>560</v>
      </c>
      <c r="BI38" s="7">
        <v>560</v>
      </c>
      <c r="BJ38" s="7">
        <v>10060</v>
      </c>
      <c r="BK38" s="7">
        <v>15060</v>
      </c>
      <c r="BL38" s="7">
        <v>10060</v>
      </c>
      <c r="BM38" s="7">
        <v>11770</v>
      </c>
      <c r="BN38" s="7">
        <v>10040</v>
      </c>
      <c r="BO38" s="7">
        <v>10790</v>
      </c>
      <c r="BP38" s="7">
        <v>10990</v>
      </c>
      <c r="BQ38" s="7">
        <v>10990</v>
      </c>
      <c r="BR38" s="7">
        <v>10990</v>
      </c>
      <c r="BS38" s="7">
        <v>10960</v>
      </c>
      <c r="BT38" s="7">
        <v>10960</v>
      </c>
      <c r="BU38" s="7">
        <v>10210</v>
      </c>
      <c r="BV38" s="7">
        <v>210</v>
      </c>
      <c r="BW38" s="7">
        <v>210</v>
      </c>
      <c r="BX38" s="7">
        <v>210</v>
      </c>
      <c r="BY38" s="7">
        <v>200</v>
      </c>
      <c r="BZ38" s="7">
        <v>0</v>
      </c>
      <c r="CA38" s="7">
        <v>0</v>
      </c>
      <c r="CB38" s="7">
        <v>0</v>
      </c>
      <c r="CC38" s="7">
        <v>0</v>
      </c>
      <c r="CD38" s="7">
        <v>0</v>
      </c>
      <c r="CE38" s="7">
        <v>50</v>
      </c>
      <c r="CF38" s="7">
        <v>50</v>
      </c>
      <c r="CG38" s="7">
        <v>90</v>
      </c>
      <c r="CH38" s="7">
        <v>90</v>
      </c>
      <c r="CI38" s="7">
        <v>190</v>
      </c>
      <c r="CJ38" s="7">
        <v>195</v>
      </c>
      <c r="CK38" s="13">
        <v>192</v>
      </c>
      <c r="CL38" s="13">
        <v>194</v>
      </c>
      <c r="CM38" s="13">
        <v>195</v>
      </c>
      <c r="CN38" s="13">
        <v>191</v>
      </c>
      <c r="CO38" s="13">
        <v>295</v>
      </c>
      <c r="CP38" s="13">
        <v>296</v>
      </c>
      <c r="CQ38" s="13">
        <v>242</v>
      </c>
      <c r="CR38" s="13">
        <v>264</v>
      </c>
      <c r="CS38" s="13">
        <v>427</v>
      </c>
      <c r="CT38" s="13">
        <v>464</v>
      </c>
      <c r="CU38" s="13">
        <v>465</v>
      </c>
      <c r="CV38" s="13">
        <v>469</v>
      </c>
      <c r="CW38" s="13">
        <v>464</v>
      </c>
      <c r="CX38" s="13">
        <v>465</v>
      </c>
      <c r="CY38" s="13">
        <v>467</v>
      </c>
      <c r="CZ38" s="13">
        <v>404</v>
      </c>
      <c r="DA38" s="13">
        <v>385</v>
      </c>
      <c r="DB38" s="13">
        <v>385</v>
      </c>
      <c r="DC38" s="13">
        <v>214</v>
      </c>
      <c r="DD38" s="13">
        <v>6416</v>
      </c>
      <c r="DE38" s="13">
        <v>6783</v>
      </c>
      <c r="DF38" s="13">
        <v>6677</v>
      </c>
      <c r="DG38" s="13">
        <v>7001</v>
      </c>
      <c r="DH38" s="13">
        <v>7522</v>
      </c>
      <c r="DI38" s="13">
        <v>7539</v>
      </c>
      <c r="DJ38" s="7">
        <v>6375</v>
      </c>
      <c r="DK38" s="7">
        <v>5671</v>
      </c>
      <c r="DL38" s="7">
        <v>4604</v>
      </c>
      <c r="DM38" s="7">
        <v>5524</v>
      </c>
      <c r="DN38" s="7">
        <v>5446</v>
      </c>
      <c r="DO38" s="7">
        <v>5186</v>
      </c>
      <c r="DP38" s="7">
        <v>34656</v>
      </c>
      <c r="DQ38" s="7">
        <v>34528</v>
      </c>
      <c r="DR38" s="7">
        <v>39915</v>
      </c>
      <c r="DS38" s="7">
        <v>39641</v>
      </c>
      <c r="DT38" s="7">
        <v>43129</v>
      </c>
      <c r="DU38" s="7">
        <v>44240</v>
      </c>
      <c r="DV38" s="7">
        <v>0</v>
      </c>
      <c r="DW38" s="7">
        <v>2019</v>
      </c>
      <c r="DX38" s="7">
        <v>2188</v>
      </c>
      <c r="DY38" s="7">
        <v>2297</v>
      </c>
      <c r="DZ38" s="7">
        <v>2599</v>
      </c>
      <c r="EA38" s="7">
        <v>2653</v>
      </c>
      <c r="EB38" s="7">
        <v>2561</v>
      </c>
      <c r="EC38" s="7">
        <v>2465</v>
      </c>
      <c r="ED38" s="7">
        <v>34891</v>
      </c>
      <c r="EE38" s="7">
        <v>58584</v>
      </c>
      <c r="EF38" s="7">
        <v>60430</v>
      </c>
      <c r="EG38" s="7">
        <v>58031</v>
      </c>
      <c r="EH38" s="7">
        <v>57235</v>
      </c>
      <c r="EI38" s="7">
        <v>56224</v>
      </c>
      <c r="EJ38" s="25">
        <f t="shared" si="0"/>
        <v>9810</v>
      </c>
      <c r="EK38" s="7">
        <v>66034</v>
      </c>
      <c r="EL38" s="25">
        <f t="shared" si="1"/>
        <v>686</v>
      </c>
      <c r="EM38" s="7">
        <v>66720</v>
      </c>
      <c r="EN38" s="25">
        <f t="shared" si="2"/>
        <v>3847</v>
      </c>
      <c r="EO38" s="7">
        <v>70567</v>
      </c>
      <c r="EP38" s="25">
        <f t="shared" si="3"/>
        <v>-36570</v>
      </c>
      <c r="EQ38" s="7">
        <v>33997</v>
      </c>
      <c r="ER38" s="25">
        <f t="shared" si="4"/>
        <v>-31862</v>
      </c>
      <c r="ES38" s="7">
        <v>2135</v>
      </c>
      <c r="ET38" s="25">
        <f t="shared" si="5"/>
        <v>18096</v>
      </c>
      <c r="EU38" s="7">
        <v>20231</v>
      </c>
      <c r="EV38" s="25">
        <f t="shared" si="6"/>
        <v>242</v>
      </c>
      <c r="EW38" s="7">
        <v>20473</v>
      </c>
      <c r="EX38" s="7">
        <v>27558</v>
      </c>
      <c r="EY38" s="7">
        <v>28117</v>
      </c>
      <c r="EZ38" s="7">
        <v>28145</v>
      </c>
      <c r="FA38" s="7">
        <v>56739</v>
      </c>
      <c r="FB38" s="7">
        <v>55689</v>
      </c>
      <c r="FC38" s="7">
        <v>55597</v>
      </c>
      <c r="FD38" s="7">
        <v>56662</v>
      </c>
      <c r="FE38" s="7">
        <v>56184</v>
      </c>
      <c r="FF38" s="7">
        <v>57195</v>
      </c>
      <c r="FG38" s="7">
        <v>58766</v>
      </c>
      <c r="FH38" s="7">
        <v>37942</v>
      </c>
      <c r="FI38" s="7">
        <v>37909</v>
      </c>
      <c r="FJ38" s="7">
        <v>29842</v>
      </c>
    </row>
    <row r="39" spans="1:166" x14ac:dyDescent="0.4">
      <c r="A39" s="35" t="s">
        <v>14</v>
      </c>
      <c r="B39" s="7">
        <v>1835416</v>
      </c>
      <c r="C39" s="7">
        <v>1808209</v>
      </c>
      <c r="D39" s="7">
        <v>1865989</v>
      </c>
      <c r="E39" s="7">
        <v>1935148</v>
      </c>
      <c r="F39" s="7">
        <v>1920846</v>
      </c>
      <c r="G39" s="7">
        <v>1916246</v>
      </c>
      <c r="H39" s="7">
        <v>1999546</v>
      </c>
      <c r="I39" s="7">
        <v>2016627</v>
      </c>
      <c r="J39" s="7">
        <v>2005857</v>
      </c>
      <c r="K39" s="7">
        <v>2039163</v>
      </c>
      <c r="L39" s="7">
        <v>2034763</v>
      </c>
      <c r="M39" s="7">
        <v>2124878</v>
      </c>
      <c r="N39" s="7">
        <v>2124927</v>
      </c>
      <c r="O39" s="7">
        <v>2189639</v>
      </c>
      <c r="P39" s="7">
        <v>2213027</v>
      </c>
      <c r="Q39" s="7">
        <v>2162627</v>
      </c>
      <c r="R39" s="7">
        <v>2142382</v>
      </c>
      <c r="S39" s="7">
        <v>2125382</v>
      </c>
      <c r="T39" s="7">
        <v>2144302</v>
      </c>
      <c r="U39" s="7">
        <v>2128650</v>
      </c>
      <c r="V39" s="7">
        <v>2121069</v>
      </c>
      <c r="W39" s="7">
        <v>2152025</v>
      </c>
      <c r="X39" s="7">
        <v>2210374</v>
      </c>
      <c r="Y39" s="7">
        <v>2195239</v>
      </c>
      <c r="Z39" s="7">
        <v>2847022</v>
      </c>
      <c r="AA39" s="7">
        <v>3247666</v>
      </c>
      <c r="AB39" s="7">
        <v>3237166</v>
      </c>
      <c r="AC39" s="7">
        <v>3248706</v>
      </c>
      <c r="AD39" s="7">
        <v>3256030</v>
      </c>
      <c r="AE39" s="7">
        <v>3351807</v>
      </c>
      <c r="AF39" s="7">
        <v>3412307</v>
      </c>
      <c r="AG39" s="7">
        <v>3501407</v>
      </c>
      <c r="AH39" s="7">
        <v>3529371</v>
      </c>
      <c r="AI39" s="7">
        <v>3525571</v>
      </c>
      <c r="AJ39" s="7">
        <v>3570659</v>
      </c>
      <c r="AK39" s="7">
        <v>3617859</v>
      </c>
      <c r="AL39" s="7">
        <v>3731458</v>
      </c>
      <c r="AM39" s="7">
        <v>3757109</v>
      </c>
      <c r="AN39" s="7">
        <v>3696676</v>
      </c>
      <c r="AO39" s="7">
        <v>3772805</v>
      </c>
      <c r="AP39" s="7">
        <v>3946814</v>
      </c>
      <c r="AQ39" s="7">
        <v>4009035</v>
      </c>
      <c r="AR39" s="7">
        <v>4072985</v>
      </c>
      <c r="AS39" s="7">
        <v>4085295</v>
      </c>
      <c r="AT39" s="7">
        <v>4138107</v>
      </c>
      <c r="AU39" s="7">
        <v>4287476</v>
      </c>
      <c r="AV39" s="7">
        <v>4336450</v>
      </c>
      <c r="AW39" s="7">
        <v>4384578</v>
      </c>
      <c r="AX39" s="7">
        <v>5053336</v>
      </c>
      <c r="AY39" s="7">
        <v>5052858</v>
      </c>
      <c r="AZ39" s="7">
        <v>5093611</v>
      </c>
      <c r="BA39" s="7">
        <v>5151470</v>
      </c>
      <c r="BB39" s="7">
        <v>5244706</v>
      </c>
      <c r="BC39" s="7">
        <v>5391186</v>
      </c>
      <c r="BD39" s="7">
        <v>5405756</v>
      </c>
      <c r="BE39" s="7">
        <v>5693513</v>
      </c>
      <c r="BF39" s="7">
        <v>5717302</v>
      </c>
      <c r="BG39" s="7">
        <v>5709441</v>
      </c>
      <c r="BH39" s="7">
        <v>5804275</v>
      </c>
      <c r="BI39" s="7">
        <v>5808385</v>
      </c>
      <c r="BJ39" s="7">
        <v>6476055</v>
      </c>
      <c r="BK39" s="7">
        <v>6441871</v>
      </c>
      <c r="BL39" s="7">
        <v>6527439</v>
      </c>
      <c r="BM39" s="7">
        <v>6587147</v>
      </c>
      <c r="BN39" s="7">
        <v>6639851</v>
      </c>
      <c r="BO39" s="7">
        <v>6599758</v>
      </c>
      <c r="BP39" s="7">
        <v>6630907</v>
      </c>
      <c r="BQ39" s="7">
        <v>6622670</v>
      </c>
      <c r="BR39" s="7">
        <v>6646260</v>
      </c>
      <c r="BS39" s="7">
        <v>6619894</v>
      </c>
      <c r="BT39" s="7">
        <v>6605454</v>
      </c>
      <c r="BU39" s="7">
        <v>6702282</v>
      </c>
      <c r="BV39" s="7">
        <v>6719457</v>
      </c>
      <c r="BW39" s="7">
        <v>6713588</v>
      </c>
      <c r="BX39" s="7">
        <v>6774749</v>
      </c>
      <c r="BY39" s="7">
        <v>6774117</v>
      </c>
      <c r="BZ39" s="7">
        <v>6924156</v>
      </c>
      <c r="CA39" s="7">
        <v>6901276</v>
      </c>
      <c r="CB39" s="7">
        <v>6936857</v>
      </c>
      <c r="CC39" s="7">
        <v>7049104</v>
      </c>
      <c r="CD39" s="7">
        <v>7060769</v>
      </c>
      <c r="CE39" s="7">
        <v>6995769</v>
      </c>
      <c r="CF39" s="7">
        <v>7109514</v>
      </c>
      <c r="CG39" s="7">
        <v>7228114</v>
      </c>
      <c r="CH39" s="7">
        <v>7345708</v>
      </c>
      <c r="CI39" s="7">
        <v>7357551</v>
      </c>
      <c r="CJ39" s="7">
        <v>7554382</v>
      </c>
      <c r="CK39" s="13">
        <v>7638831</v>
      </c>
      <c r="CL39" s="13">
        <v>7663369</v>
      </c>
      <c r="CM39" s="13">
        <v>7714730</v>
      </c>
      <c r="CN39" s="13">
        <v>7698324</v>
      </c>
      <c r="CO39" s="13">
        <v>7768096</v>
      </c>
      <c r="CP39" s="13">
        <v>7840170</v>
      </c>
      <c r="CQ39" s="13">
        <v>7823821</v>
      </c>
      <c r="CR39" s="13">
        <v>7915574</v>
      </c>
      <c r="CS39" s="13">
        <v>8816507</v>
      </c>
      <c r="CT39" s="13">
        <v>8988030</v>
      </c>
      <c r="CU39" s="13">
        <v>8576798</v>
      </c>
      <c r="CV39" s="13">
        <v>8666449</v>
      </c>
      <c r="CW39" s="13">
        <v>8720744</v>
      </c>
      <c r="CX39" s="13">
        <v>8680269</v>
      </c>
      <c r="CY39" s="13">
        <v>8670311</v>
      </c>
      <c r="CZ39" s="13">
        <v>8652413</v>
      </c>
      <c r="DA39" s="13">
        <v>8894757</v>
      </c>
      <c r="DB39" s="13">
        <v>9027779</v>
      </c>
      <c r="DC39" s="13">
        <v>9048372</v>
      </c>
      <c r="DD39" s="13">
        <v>9244347</v>
      </c>
      <c r="DE39" s="13">
        <v>9299576</v>
      </c>
      <c r="DF39" s="13">
        <v>9295185</v>
      </c>
      <c r="DG39" s="13">
        <v>9298208</v>
      </c>
      <c r="DH39" s="13">
        <v>9277446</v>
      </c>
      <c r="DI39" s="13">
        <v>9158221</v>
      </c>
      <c r="DJ39" s="7">
        <v>8989569</v>
      </c>
      <c r="DK39" s="7">
        <v>8914779</v>
      </c>
      <c r="DL39" s="7">
        <v>8839212</v>
      </c>
      <c r="DM39" s="7">
        <v>8926380</v>
      </c>
      <c r="DN39" s="7">
        <v>9044633</v>
      </c>
      <c r="DO39" s="7">
        <v>9222688</v>
      </c>
      <c r="DP39" s="7">
        <v>9275869</v>
      </c>
      <c r="DQ39" s="7">
        <v>9193098</v>
      </c>
      <c r="DR39" s="7">
        <v>9387756</v>
      </c>
      <c r="DS39" s="7">
        <v>9333151</v>
      </c>
      <c r="DT39" s="7">
        <v>9369223</v>
      </c>
      <c r="DU39" s="7">
        <v>9559442</v>
      </c>
      <c r="DV39" s="7">
        <v>9758866</v>
      </c>
      <c r="DW39" s="7">
        <v>9825614</v>
      </c>
      <c r="DX39" s="7">
        <v>9861608</v>
      </c>
      <c r="DY39" s="7">
        <v>10074056</v>
      </c>
      <c r="DZ39" s="7">
        <v>9923688</v>
      </c>
      <c r="EA39" s="7">
        <v>9946211</v>
      </c>
      <c r="EB39" s="7">
        <v>9907817</v>
      </c>
      <c r="EC39" s="7">
        <v>9891373</v>
      </c>
      <c r="ED39" s="7">
        <v>10185814</v>
      </c>
      <c r="EE39" s="7">
        <v>10174414</v>
      </c>
      <c r="EF39" s="7">
        <v>10357237</v>
      </c>
      <c r="EG39" s="7">
        <v>10720380</v>
      </c>
      <c r="EH39" s="7">
        <v>10757477</v>
      </c>
      <c r="EI39" s="7">
        <v>10787307</v>
      </c>
      <c r="EJ39" s="25">
        <f t="shared" si="0"/>
        <v>138979</v>
      </c>
      <c r="EK39" s="7">
        <v>10926286</v>
      </c>
      <c r="EL39" s="25">
        <f t="shared" si="1"/>
        <v>152710</v>
      </c>
      <c r="EM39" s="7">
        <v>11078996</v>
      </c>
      <c r="EN39" s="25">
        <f t="shared" si="2"/>
        <v>294225</v>
      </c>
      <c r="EO39" s="7">
        <v>11373221</v>
      </c>
      <c r="EP39" s="25">
        <f t="shared" si="3"/>
        <v>449121</v>
      </c>
      <c r="EQ39" s="7">
        <v>11822342</v>
      </c>
      <c r="ER39" s="25">
        <f t="shared" si="4"/>
        <v>270300</v>
      </c>
      <c r="ES39" s="7">
        <v>12092642</v>
      </c>
      <c r="ET39" s="25">
        <f t="shared" si="5"/>
        <v>851772</v>
      </c>
      <c r="EU39" s="7">
        <v>12944414</v>
      </c>
      <c r="EV39" s="25">
        <f t="shared" si="6"/>
        <v>189375</v>
      </c>
      <c r="EW39" s="7">
        <v>13133789</v>
      </c>
      <c r="EX39" s="7">
        <v>13453546</v>
      </c>
      <c r="EY39" s="7">
        <v>13413614</v>
      </c>
      <c r="EZ39" s="7">
        <v>13805386</v>
      </c>
      <c r="FA39" s="7">
        <v>14288724</v>
      </c>
      <c r="FB39" s="7">
        <v>14334523</v>
      </c>
      <c r="FC39" s="7">
        <v>14781601</v>
      </c>
      <c r="FD39" s="7">
        <v>15072494</v>
      </c>
      <c r="FE39" s="7">
        <v>15472651</v>
      </c>
      <c r="FF39" s="7">
        <v>15829644</v>
      </c>
      <c r="FG39" s="7">
        <v>15945979</v>
      </c>
      <c r="FH39" s="7">
        <v>15855007</v>
      </c>
      <c r="FI39" s="7">
        <v>16040732</v>
      </c>
      <c r="FJ39" s="7">
        <v>15978740</v>
      </c>
    </row>
    <row r="40" spans="1:166" x14ac:dyDescent="0.4">
      <c r="A40" s="35" t="s">
        <v>27</v>
      </c>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v>219196</v>
      </c>
      <c r="BW40" s="7">
        <v>219146</v>
      </c>
      <c r="BX40" s="7">
        <v>282901</v>
      </c>
      <c r="BY40" s="7">
        <v>283075</v>
      </c>
      <c r="BZ40" s="7">
        <v>251331</v>
      </c>
      <c r="CA40" s="7">
        <v>267431</v>
      </c>
      <c r="CB40" s="7">
        <v>262721</v>
      </c>
      <c r="CC40" s="7">
        <v>255211</v>
      </c>
      <c r="CD40" s="7">
        <v>257949</v>
      </c>
      <c r="CE40" s="7">
        <v>202947</v>
      </c>
      <c r="CF40" s="7">
        <v>263497</v>
      </c>
      <c r="CG40" s="7">
        <v>306827</v>
      </c>
      <c r="CH40" s="7">
        <v>727370</v>
      </c>
      <c r="CI40" s="7">
        <v>1140371</v>
      </c>
      <c r="CJ40" s="7">
        <v>1184774</v>
      </c>
      <c r="CK40" s="13">
        <v>1159490</v>
      </c>
      <c r="CL40" s="13">
        <v>1176830</v>
      </c>
      <c r="CM40" s="13">
        <v>1158300</v>
      </c>
      <c r="CN40" s="13">
        <v>1187476</v>
      </c>
      <c r="CO40" s="13">
        <v>1175208</v>
      </c>
      <c r="CP40" s="13">
        <v>1194790</v>
      </c>
      <c r="CQ40" s="13">
        <v>1186910</v>
      </c>
      <c r="CR40" s="13">
        <v>1143776</v>
      </c>
      <c r="CS40" s="13">
        <v>1135733</v>
      </c>
      <c r="CT40" s="13">
        <v>710306</v>
      </c>
      <c r="CU40" s="13">
        <v>330935</v>
      </c>
      <c r="CV40" s="13">
        <v>351105</v>
      </c>
      <c r="CW40" s="13">
        <v>329491</v>
      </c>
      <c r="CX40" s="13">
        <v>362263</v>
      </c>
      <c r="CY40" s="13">
        <v>376754</v>
      </c>
      <c r="CZ40" s="13">
        <v>365457</v>
      </c>
      <c r="DA40" s="13">
        <v>418354</v>
      </c>
      <c r="DB40" s="13">
        <v>411034</v>
      </c>
      <c r="DC40" s="13">
        <v>404112</v>
      </c>
      <c r="DD40" s="13">
        <v>466091</v>
      </c>
      <c r="DE40" s="13">
        <v>458458</v>
      </c>
      <c r="DF40" s="13">
        <v>500862</v>
      </c>
      <c r="DG40" s="13">
        <v>536513</v>
      </c>
      <c r="DH40" s="13">
        <v>515126</v>
      </c>
      <c r="DI40" s="13">
        <v>604841</v>
      </c>
      <c r="DJ40" s="7">
        <v>553652</v>
      </c>
      <c r="DK40" s="7">
        <v>611439</v>
      </c>
      <c r="DL40" s="7">
        <v>656252</v>
      </c>
      <c r="DM40" s="7">
        <v>607123</v>
      </c>
      <c r="DN40" s="7">
        <v>651031</v>
      </c>
      <c r="DO40" s="7">
        <v>617243</v>
      </c>
      <c r="DP40" s="7">
        <v>578018</v>
      </c>
      <c r="DQ40" s="7">
        <v>583445</v>
      </c>
      <c r="DR40" s="7">
        <v>605380</v>
      </c>
      <c r="DS40" s="7">
        <v>590417</v>
      </c>
      <c r="DT40" s="7">
        <v>607227</v>
      </c>
      <c r="DU40" s="7">
        <v>593232</v>
      </c>
      <c r="DV40" s="7">
        <v>594303</v>
      </c>
      <c r="DW40" s="7">
        <v>559845</v>
      </c>
      <c r="DX40" s="7">
        <v>512410</v>
      </c>
      <c r="DY40" s="7">
        <v>528698</v>
      </c>
      <c r="DZ40" s="7">
        <v>535523</v>
      </c>
      <c r="EA40" s="7">
        <v>586007</v>
      </c>
      <c r="EB40" s="7">
        <v>557452</v>
      </c>
      <c r="EC40" s="7">
        <v>818287</v>
      </c>
      <c r="ED40" s="7">
        <v>837139</v>
      </c>
      <c r="EE40" s="7">
        <v>836515</v>
      </c>
      <c r="EF40" s="7">
        <v>851249</v>
      </c>
      <c r="EG40" s="7">
        <v>881557</v>
      </c>
      <c r="EH40" s="7">
        <v>947034</v>
      </c>
      <c r="EI40" s="7">
        <v>945787</v>
      </c>
      <c r="EJ40" s="25">
        <f t="shared" si="0"/>
        <v>33007</v>
      </c>
      <c r="EK40" s="7">
        <v>978794</v>
      </c>
      <c r="EL40" s="25">
        <f t="shared" si="1"/>
        <v>22705</v>
      </c>
      <c r="EM40" s="7">
        <v>1001499</v>
      </c>
      <c r="EN40" s="25">
        <f t="shared" si="2"/>
        <v>-29122</v>
      </c>
      <c r="EO40" s="7">
        <v>972377</v>
      </c>
      <c r="EP40" s="25">
        <f t="shared" si="3"/>
        <v>-187</v>
      </c>
      <c r="EQ40" s="7">
        <v>972190</v>
      </c>
      <c r="ER40" s="25">
        <f t="shared" si="4"/>
        <v>129827</v>
      </c>
      <c r="ES40" s="7">
        <v>1102017</v>
      </c>
      <c r="ET40" s="25">
        <f t="shared" si="5"/>
        <v>-198746</v>
      </c>
      <c r="EU40" s="7">
        <v>903271</v>
      </c>
      <c r="EV40" s="25">
        <f t="shared" si="6"/>
        <v>162287</v>
      </c>
      <c r="EW40" s="7">
        <v>1065558</v>
      </c>
      <c r="EX40" s="7">
        <v>1098758</v>
      </c>
      <c r="EY40" s="7">
        <v>1049709</v>
      </c>
      <c r="EZ40" s="7">
        <v>1064401</v>
      </c>
      <c r="FA40" s="7">
        <v>1149459</v>
      </c>
      <c r="FB40" s="7">
        <v>1263241</v>
      </c>
      <c r="FC40" s="7">
        <v>1415759</v>
      </c>
      <c r="FD40" s="7">
        <v>1483466</v>
      </c>
      <c r="FE40" s="7">
        <v>1599602</v>
      </c>
      <c r="FF40" s="7">
        <v>1777579</v>
      </c>
      <c r="FG40" s="7">
        <v>1745468</v>
      </c>
      <c r="FH40" s="7">
        <v>2406372</v>
      </c>
      <c r="FI40" s="7">
        <v>2428478</v>
      </c>
      <c r="FJ40" s="7">
        <v>2331892</v>
      </c>
    </row>
    <row r="41" spans="1:166" x14ac:dyDescent="0.4">
      <c r="A41" s="35" t="s">
        <v>30</v>
      </c>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v>6500261</v>
      </c>
      <c r="BW41" s="7">
        <v>6494442</v>
      </c>
      <c r="BX41" s="7">
        <v>6491848</v>
      </c>
      <c r="BY41" s="7">
        <v>6491042</v>
      </c>
      <c r="BZ41" s="7">
        <v>6672825</v>
      </c>
      <c r="CA41" s="7">
        <v>6633845</v>
      </c>
      <c r="CB41" s="7">
        <v>6674136</v>
      </c>
      <c r="CC41" s="7">
        <v>6793893</v>
      </c>
      <c r="CD41" s="7">
        <v>6802821</v>
      </c>
      <c r="CE41" s="7">
        <v>6792822</v>
      </c>
      <c r="CF41" s="7">
        <v>6846017</v>
      </c>
      <c r="CG41" s="7">
        <v>6921288</v>
      </c>
      <c r="CH41" s="7">
        <v>6618338</v>
      </c>
      <c r="CI41" s="7">
        <v>6217181</v>
      </c>
      <c r="CJ41" s="7">
        <v>6369608</v>
      </c>
      <c r="CK41" s="13">
        <v>6479340</v>
      </c>
      <c r="CL41" s="13">
        <v>6486539</v>
      </c>
      <c r="CM41" s="13">
        <v>6556430</v>
      </c>
      <c r="CN41" s="13">
        <v>6510848</v>
      </c>
      <c r="CO41" s="13">
        <v>6592888</v>
      </c>
      <c r="CP41" s="13">
        <v>6645380</v>
      </c>
      <c r="CQ41" s="13">
        <v>6636912</v>
      </c>
      <c r="CR41" s="13">
        <v>6771799</v>
      </c>
      <c r="CS41" s="13">
        <v>7680774</v>
      </c>
      <c r="CT41" s="13">
        <v>8277724</v>
      </c>
      <c r="CU41" s="13">
        <v>8245863</v>
      </c>
      <c r="CV41" s="13">
        <v>8315345</v>
      </c>
      <c r="CW41" s="13">
        <v>8391253</v>
      </c>
      <c r="CX41" s="13">
        <v>8318006</v>
      </c>
      <c r="CY41" s="13">
        <v>8293557</v>
      </c>
      <c r="CZ41" s="13">
        <v>8286956</v>
      </c>
      <c r="DA41" s="13">
        <v>8476403</v>
      </c>
      <c r="DB41" s="13">
        <v>8616746</v>
      </c>
      <c r="DC41" s="13">
        <v>8644259</v>
      </c>
      <c r="DD41" s="13">
        <v>8778256</v>
      </c>
      <c r="DE41" s="13">
        <v>8841118</v>
      </c>
      <c r="DF41" s="13">
        <v>8794323</v>
      </c>
      <c r="DG41" s="13">
        <v>8761696</v>
      </c>
      <c r="DH41" s="13">
        <v>8762320</v>
      </c>
      <c r="DI41" s="13">
        <v>8553380</v>
      </c>
      <c r="DJ41" s="7">
        <v>8435917</v>
      </c>
      <c r="DK41" s="7">
        <v>8303340</v>
      </c>
      <c r="DL41" s="7">
        <v>8182961</v>
      </c>
      <c r="DM41" s="7">
        <v>8319257</v>
      </c>
      <c r="DN41" s="7">
        <v>8393602</v>
      </c>
      <c r="DO41" s="7">
        <v>8605445</v>
      </c>
      <c r="DP41" s="7">
        <v>8697851</v>
      </c>
      <c r="DQ41" s="7">
        <v>8609653</v>
      </c>
      <c r="DR41" s="7">
        <v>8782376</v>
      </c>
      <c r="DS41" s="7">
        <v>8742734</v>
      </c>
      <c r="DT41" s="7">
        <v>8761996</v>
      </c>
      <c r="DU41" s="7">
        <v>8966209</v>
      </c>
      <c r="DV41" s="7">
        <v>9164563</v>
      </c>
      <c r="DW41" s="7">
        <v>9265769</v>
      </c>
      <c r="DX41" s="7">
        <v>9349198</v>
      </c>
      <c r="DY41" s="7">
        <v>9545358</v>
      </c>
      <c r="DZ41" s="7">
        <v>9388165</v>
      </c>
      <c r="EA41" s="7">
        <v>9360204</v>
      </c>
      <c r="EB41" s="7">
        <v>9350364</v>
      </c>
      <c r="EC41" s="7">
        <v>9073086</v>
      </c>
      <c r="ED41" s="7">
        <v>9348674</v>
      </c>
      <c r="EE41" s="7">
        <v>9337899</v>
      </c>
      <c r="EF41" s="7">
        <v>9505988</v>
      </c>
      <c r="EG41" s="7">
        <v>9838824</v>
      </c>
      <c r="EH41" s="7">
        <v>9810443</v>
      </c>
      <c r="EI41" s="7">
        <v>9841520</v>
      </c>
      <c r="EJ41" s="25">
        <f t="shared" si="0"/>
        <v>105972</v>
      </c>
      <c r="EK41" s="7">
        <v>9947492</v>
      </c>
      <c r="EL41" s="25">
        <f t="shared" si="1"/>
        <v>130005</v>
      </c>
      <c r="EM41" s="7">
        <v>10077497</v>
      </c>
      <c r="EN41" s="25">
        <f t="shared" si="2"/>
        <v>323347</v>
      </c>
      <c r="EO41" s="7">
        <v>10400844</v>
      </c>
      <c r="EP41" s="25">
        <f t="shared" si="3"/>
        <v>449308</v>
      </c>
      <c r="EQ41" s="7">
        <v>10850152</v>
      </c>
      <c r="ER41" s="25">
        <f t="shared" si="4"/>
        <v>140473</v>
      </c>
      <c r="ES41" s="7">
        <v>10990625</v>
      </c>
      <c r="ET41" s="25">
        <f t="shared" si="5"/>
        <v>1050518</v>
      </c>
      <c r="EU41" s="7">
        <v>12041143</v>
      </c>
      <c r="EV41" s="25">
        <f t="shared" si="6"/>
        <v>27089</v>
      </c>
      <c r="EW41" s="7">
        <v>12068232</v>
      </c>
      <c r="EX41" s="7">
        <v>12354787</v>
      </c>
      <c r="EY41" s="7">
        <v>12363905</v>
      </c>
      <c r="EZ41" s="7">
        <v>12740985</v>
      </c>
      <c r="FA41" s="7">
        <v>13139265</v>
      </c>
      <c r="FB41" s="7">
        <v>13071282</v>
      </c>
      <c r="FC41" s="7">
        <v>13365842</v>
      </c>
      <c r="FD41" s="7">
        <v>13589028</v>
      </c>
      <c r="FE41" s="7">
        <v>13873049</v>
      </c>
      <c r="FF41" s="7">
        <v>14052065</v>
      </c>
      <c r="FG41" s="7">
        <v>14200511</v>
      </c>
      <c r="FH41" s="7">
        <v>13448635</v>
      </c>
      <c r="FI41" s="7">
        <v>13612254</v>
      </c>
      <c r="FJ41" s="7">
        <v>13646848</v>
      </c>
    </row>
    <row r="42" spans="1:166" x14ac:dyDescent="0.4">
      <c r="A42" s="34" t="s">
        <v>8</v>
      </c>
      <c r="B42" s="7">
        <v>70300</v>
      </c>
      <c r="C42" s="7">
        <v>70300</v>
      </c>
      <c r="D42" s="7">
        <v>70300</v>
      </c>
      <c r="E42" s="7">
        <v>70300</v>
      </c>
      <c r="F42" s="7">
        <v>70300</v>
      </c>
      <c r="G42" s="7">
        <v>70300</v>
      </c>
      <c r="H42" s="7">
        <v>70300</v>
      </c>
      <c r="I42" s="7">
        <v>70300</v>
      </c>
      <c r="J42" s="7">
        <v>70300</v>
      </c>
      <c r="K42" s="7">
        <v>87800</v>
      </c>
      <c r="L42" s="7">
        <v>102800</v>
      </c>
      <c r="M42" s="7">
        <v>102800</v>
      </c>
      <c r="N42" s="7">
        <v>102800</v>
      </c>
      <c r="O42" s="7">
        <v>102800</v>
      </c>
      <c r="P42" s="7">
        <v>102800</v>
      </c>
      <c r="Q42" s="7">
        <v>102800</v>
      </c>
      <c r="R42" s="7">
        <v>99800</v>
      </c>
      <c r="S42" s="7">
        <v>99800</v>
      </c>
      <c r="T42" s="7">
        <v>101800</v>
      </c>
      <c r="U42" s="7">
        <v>101800</v>
      </c>
      <c r="V42" s="7">
        <v>101800</v>
      </c>
      <c r="W42" s="7">
        <v>101800</v>
      </c>
      <c r="X42" s="7">
        <v>101800</v>
      </c>
      <c r="Y42" s="7">
        <v>101800</v>
      </c>
      <c r="Z42" s="7">
        <v>105800</v>
      </c>
      <c r="AA42" s="7">
        <v>105800</v>
      </c>
      <c r="AB42" s="7">
        <v>105800</v>
      </c>
      <c r="AC42" s="7">
        <v>105800</v>
      </c>
      <c r="AD42" s="7">
        <v>108800</v>
      </c>
      <c r="AE42" s="7">
        <v>108800</v>
      </c>
      <c r="AF42" s="7">
        <v>108800</v>
      </c>
      <c r="AG42" s="7">
        <v>108800</v>
      </c>
      <c r="AH42" s="7">
        <v>108800</v>
      </c>
      <c r="AI42" s="7">
        <v>108800</v>
      </c>
      <c r="AJ42" s="7">
        <v>108800</v>
      </c>
      <c r="AK42" s="7">
        <v>113800</v>
      </c>
      <c r="AL42" s="7">
        <v>113800</v>
      </c>
      <c r="AM42" s="7">
        <v>113800</v>
      </c>
      <c r="AN42" s="7">
        <v>115800</v>
      </c>
      <c r="AO42" s="7">
        <v>115800</v>
      </c>
      <c r="AP42" s="7">
        <v>115800</v>
      </c>
      <c r="AQ42" s="7">
        <v>115800</v>
      </c>
      <c r="AR42" s="7">
        <v>114800</v>
      </c>
      <c r="AS42" s="7">
        <v>114800</v>
      </c>
      <c r="AT42" s="7">
        <v>114800</v>
      </c>
      <c r="AU42" s="7">
        <v>114800</v>
      </c>
      <c r="AV42" s="7">
        <v>109800</v>
      </c>
      <c r="AW42" s="7">
        <v>109800</v>
      </c>
      <c r="AX42" s="7">
        <v>109800</v>
      </c>
      <c r="AY42" s="7">
        <v>109800</v>
      </c>
      <c r="AZ42" s="7">
        <v>109800</v>
      </c>
      <c r="BA42" s="7">
        <v>109800</v>
      </c>
      <c r="BB42" s="7">
        <v>109800</v>
      </c>
      <c r="BC42" s="7">
        <v>109800</v>
      </c>
      <c r="BD42" s="7">
        <v>119800</v>
      </c>
      <c r="BE42" s="7">
        <v>119800</v>
      </c>
      <c r="BF42" s="7">
        <v>119800</v>
      </c>
      <c r="BG42" s="7">
        <v>119800</v>
      </c>
      <c r="BH42" s="7">
        <v>119800</v>
      </c>
      <c r="BI42" s="7">
        <v>106800</v>
      </c>
      <c r="BJ42" s="7">
        <v>106800</v>
      </c>
      <c r="BK42" s="7">
        <v>106800</v>
      </c>
      <c r="BL42" s="7">
        <v>106800</v>
      </c>
      <c r="BM42" s="7">
        <v>106800</v>
      </c>
      <c r="BN42" s="7">
        <v>106800</v>
      </c>
      <c r="BO42" s="7">
        <v>106800</v>
      </c>
      <c r="BP42" s="7">
        <v>106800</v>
      </c>
      <c r="BQ42" s="7">
        <v>116800</v>
      </c>
      <c r="BR42" s="7">
        <v>116800</v>
      </c>
      <c r="BS42" s="7">
        <v>109800</v>
      </c>
      <c r="BT42" s="7">
        <v>102800</v>
      </c>
      <c r="BU42" s="7">
        <v>107800</v>
      </c>
      <c r="BV42" s="7">
        <v>107800</v>
      </c>
      <c r="BW42" s="7">
        <v>102800</v>
      </c>
      <c r="BX42" s="7">
        <v>97800</v>
      </c>
      <c r="BY42" s="7">
        <v>102800</v>
      </c>
      <c r="BZ42" s="7">
        <v>102800</v>
      </c>
      <c r="CA42" s="7">
        <v>102800</v>
      </c>
      <c r="CB42" s="7">
        <v>102800</v>
      </c>
      <c r="CC42" s="7">
        <v>107800</v>
      </c>
      <c r="CD42" s="7">
        <v>107800</v>
      </c>
      <c r="CE42" s="7">
        <v>109800</v>
      </c>
      <c r="CF42" s="7">
        <v>116800</v>
      </c>
      <c r="CG42" s="7">
        <v>110800</v>
      </c>
      <c r="CH42" s="7">
        <v>121800</v>
      </c>
      <c r="CI42" s="7">
        <v>121800</v>
      </c>
      <c r="CJ42" s="7">
        <v>120929</v>
      </c>
      <c r="CK42" s="13">
        <v>120521</v>
      </c>
      <c r="CL42" s="13">
        <v>137659</v>
      </c>
      <c r="CM42" s="13">
        <v>154770</v>
      </c>
      <c r="CN42" s="13">
        <v>160310</v>
      </c>
      <c r="CO42" s="13">
        <v>155137</v>
      </c>
      <c r="CP42" s="13">
        <v>154988</v>
      </c>
      <c r="CQ42" s="13">
        <v>152064</v>
      </c>
      <c r="CR42" s="13">
        <v>146579</v>
      </c>
      <c r="CS42" s="13">
        <v>133767</v>
      </c>
      <c r="CT42" s="13">
        <v>133844</v>
      </c>
      <c r="CU42" s="13">
        <v>133639</v>
      </c>
      <c r="CV42" s="13">
        <v>133922</v>
      </c>
      <c r="CW42" s="13">
        <v>131637</v>
      </c>
      <c r="CX42" s="13">
        <v>131278</v>
      </c>
      <c r="CY42" s="13">
        <v>121118</v>
      </c>
      <c r="CZ42" s="13">
        <v>121085</v>
      </c>
      <c r="DA42" s="13">
        <v>120787</v>
      </c>
      <c r="DB42" s="13">
        <v>121034</v>
      </c>
      <c r="DC42" s="13">
        <v>121314</v>
      </c>
      <c r="DD42" s="13">
        <v>120896</v>
      </c>
      <c r="DE42" s="13">
        <v>106826</v>
      </c>
      <c r="DF42" s="13">
        <v>106808</v>
      </c>
      <c r="DG42" s="13">
        <v>106519</v>
      </c>
      <c r="DH42" s="13">
        <v>106716</v>
      </c>
      <c r="DI42" s="13">
        <v>107014</v>
      </c>
      <c r="DJ42" s="7">
        <v>106580</v>
      </c>
      <c r="DK42" s="7">
        <v>113827</v>
      </c>
      <c r="DL42" s="7">
        <v>113859</v>
      </c>
      <c r="DM42" s="7">
        <v>113637</v>
      </c>
      <c r="DN42" s="7">
        <v>166920</v>
      </c>
      <c r="DO42" s="7">
        <v>207885</v>
      </c>
      <c r="DP42" s="7">
        <v>210968</v>
      </c>
      <c r="DQ42" s="7">
        <v>227424</v>
      </c>
      <c r="DR42" s="7">
        <v>242339</v>
      </c>
      <c r="DS42" s="7">
        <v>235545</v>
      </c>
      <c r="DT42" s="7">
        <v>204359</v>
      </c>
      <c r="DU42" s="7">
        <v>199025</v>
      </c>
      <c r="DV42" s="7">
        <v>197062</v>
      </c>
      <c r="DW42" s="7">
        <v>204986</v>
      </c>
      <c r="DX42" s="7">
        <v>204654</v>
      </c>
      <c r="DY42" s="7">
        <v>214759</v>
      </c>
      <c r="DZ42" s="7">
        <v>219472</v>
      </c>
      <c r="EA42" s="7">
        <v>220662</v>
      </c>
      <c r="EB42" s="7">
        <v>215962</v>
      </c>
      <c r="EC42" s="7">
        <v>212843</v>
      </c>
      <c r="ED42" s="7">
        <v>230012</v>
      </c>
      <c r="EE42" s="7">
        <v>229264</v>
      </c>
      <c r="EF42" s="7">
        <v>232334</v>
      </c>
      <c r="EG42" s="7">
        <v>255805</v>
      </c>
      <c r="EH42" s="7">
        <v>252243</v>
      </c>
      <c r="EI42" s="7">
        <v>240601</v>
      </c>
      <c r="EJ42" s="25">
        <f t="shared" si="0"/>
        <v>-769</v>
      </c>
      <c r="EK42" s="7">
        <v>239832</v>
      </c>
      <c r="EL42" s="25">
        <f t="shared" si="1"/>
        <v>1082</v>
      </c>
      <c r="EM42" s="7">
        <v>240914</v>
      </c>
      <c r="EN42" s="25">
        <f t="shared" si="2"/>
        <v>5828</v>
      </c>
      <c r="EO42" s="7">
        <v>246742</v>
      </c>
      <c r="EP42" s="25">
        <f t="shared" si="3"/>
        <v>3132</v>
      </c>
      <c r="EQ42" s="7">
        <v>249874</v>
      </c>
      <c r="ER42" s="25">
        <f t="shared" si="4"/>
        <v>4206</v>
      </c>
      <c r="ES42" s="7">
        <v>254080</v>
      </c>
      <c r="ET42" s="25">
        <f t="shared" si="5"/>
        <v>13320</v>
      </c>
      <c r="EU42" s="7">
        <v>267400</v>
      </c>
      <c r="EV42" s="25">
        <f t="shared" si="6"/>
        <v>-9067</v>
      </c>
      <c r="EW42" s="7">
        <v>258333</v>
      </c>
      <c r="EX42" s="7">
        <v>249618</v>
      </c>
      <c r="EY42" s="7">
        <v>238027</v>
      </c>
      <c r="EZ42" s="7">
        <v>232670</v>
      </c>
      <c r="FA42" s="7">
        <v>214030</v>
      </c>
      <c r="FB42" s="7">
        <v>211744</v>
      </c>
      <c r="FC42" s="7">
        <v>210423</v>
      </c>
      <c r="FD42" s="7">
        <v>204406</v>
      </c>
      <c r="FE42" s="7">
        <v>203734</v>
      </c>
      <c r="FF42" s="7">
        <v>211680</v>
      </c>
      <c r="FG42" s="7">
        <v>208568</v>
      </c>
      <c r="FH42" s="7">
        <v>201384</v>
      </c>
      <c r="FI42" s="7">
        <v>200547</v>
      </c>
      <c r="FJ42" s="7">
        <v>197961</v>
      </c>
    </row>
    <row r="43" spans="1:166" x14ac:dyDescent="0.4">
      <c r="A43" s="35" t="s">
        <v>13</v>
      </c>
      <c r="B43" s="7">
        <v>13000</v>
      </c>
      <c r="C43" s="7">
        <v>13000</v>
      </c>
      <c r="D43" s="7">
        <v>13000</v>
      </c>
      <c r="E43" s="7">
        <v>13000</v>
      </c>
      <c r="F43" s="7">
        <v>13000</v>
      </c>
      <c r="G43" s="7">
        <v>13000</v>
      </c>
      <c r="H43" s="7">
        <v>13000</v>
      </c>
      <c r="I43" s="7">
        <v>13000</v>
      </c>
      <c r="J43" s="7">
        <v>13000</v>
      </c>
      <c r="K43" s="7">
        <v>13000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c r="AF43" s="7">
        <v>0</v>
      </c>
      <c r="AG43" s="7">
        <v>0</v>
      </c>
      <c r="AH43" s="7">
        <v>0</v>
      </c>
      <c r="AI43" s="7">
        <v>0</v>
      </c>
      <c r="AJ43" s="7">
        <v>0</v>
      </c>
      <c r="AK43" s="7">
        <v>0</v>
      </c>
      <c r="AL43" s="7">
        <v>0</v>
      </c>
      <c r="AM43" s="7">
        <v>3000</v>
      </c>
      <c r="AN43" s="7">
        <v>3000</v>
      </c>
      <c r="AO43" s="7">
        <v>3000</v>
      </c>
      <c r="AP43" s="7">
        <v>3000</v>
      </c>
      <c r="AQ43" s="7">
        <v>3000</v>
      </c>
      <c r="AR43" s="7">
        <v>3000</v>
      </c>
      <c r="AS43" s="7">
        <v>3000</v>
      </c>
      <c r="AT43" s="7">
        <v>3000</v>
      </c>
      <c r="AU43" s="7">
        <v>3000</v>
      </c>
      <c r="AV43" s="7">
        <v>3000</v>
      </c>
      <c r="AW43" s="7">
        <v>3000</v>
      </c>
      <c r="AX43" s="7">
        <v>3000</v>
      </c>
      <c r="AY43" s="7">
        <v>3000</v>
      </c>
      <c r="AZ43" s="7">
        <v>3000</v>
      </c>
      <c r="BA43" s="7">
        <v>13000</v>
      </c>
      <c r="BB43" s="7">
        <v>13000</v>
      </c>
      <c r="BC43" s="7">
        <v>13000</v>
      </c>
      <c r="BD43" s="7">
        <v>0</v>
      </c>
      <c r="BE43" s="7">
        <v>3000</v>
      </c>
      <c r="BF43" s="7">
        <v>3000</v>
      </c>
      <c r="BG43" s="7">
        <v>3000</v>
      </c>
      <c r="BH43" s="7">
        <v>0</v>
      </c>
      <c r="BI43" s="7">
        <v>0</v>
      </c>
      <c r="BJ43" s="7">
        <v>0</v>
      </c>
      <c r="BK43" s="7">
        <v>0</v>
      </c>
      <c r="BL43" s="7">
        <v>0</v>
      </c>
      <c r="BM43" s="7">
        <v>0</v>
      </c>
      <c r="BN43" s="7">
        <v>0</v>
      </c>
      <c r="BO43" s="7">
        <v>0</v>
      </c>
      <c r="BP43" s="7">
        <v>0</v>
      </c>
      <c r="BQ43" s="7">
        <v>0</v>
      </c>
      <c r="BR43" s="7">
        <v>0</v>
      </c>
      <c r="BS43" s="7">
        <v>0</v>
      </c>
      <c r="BT43" s="7">
        <v>0</v>
      </c>
      <c r="BU43" s="7">
        <v>0</v>
      </c>
      <c r="BV43" s="7">
        <v>0</v>
      </c>
      <c r="BW43" s="7">
        <v>0</v>
      </c>
      <c r="BX43" s="7">
        <v>0</v>
      </c>
      <c r="BY43" s="7">
        <v>0</v>
      </c>
      <c r="BZ43" s="7">
        <v>0</v>
      </c>
      <c r="CA43" s="7">
        <v>0</v>
      </c>
      <c r="CB43" s="7">
        <v>0</v>
      </c>
      <c r="CC43" s="7">
        <v>0</v>
      </c>
      <c r="CD43" s="7">
        <v>0</v>
      </c>
      <c r="CE43" s="7">
        <v>2000</v>
      </c>
      <c r="CF43" s="7">
        <v>2000</v>
      </c>
      <c r="CG43" s="7">
        <v>0</v>
      </c>
      <c r="CH43" s="7">
        <v>3000</v>
      </c>
      <c r="CI43" s="7">
        <v>3000</v>
      </c>
      <c r="CJ43" s="7">
        <v>0</v>
      </c>
      <c r="CK43" s="7">
        <v>0</v>
      </c>
      <c r="CL43" s="7">
        <v>0</v>
      </c>
      <c r="CM43" s="7">
        <v>0</v>
      </c>
      <c r="CN43" s="7">
        <v>0</v>
      </c>
      <c r="CO43" s="7">
        <v>0</v>
      </c>
      <c r="CP43" s="7">
        <v>0</v>
      </c>
      <c r="CQ43" s="7">
        <v>0</v>
      </c>
      <c r="CR43" s="7">
        <v>0</v>
      </c>
      <c r="CS43" s="7">
        <v>0</v>
      </c>
      <c r="CT43" s="7">
        <v>0</v>
      </c>
      <c r="CU43" s="7">
        <v>0</v>
      </c>
      <c r="CV43" s="7">
        <v>0</v>
      </c>
      <c r="CW43" s="7">
        <v>0</v>
      </c>
      <c r="CX43" s="7">
        <v>0</v>
      </c>
      <c r="CY43" s="7">
        <v>0</v>
      </c>
      <c r="CZ43" s="7">
        <v>0</v>
      </c>
      <c r="DA43" s="7">
        <v>0</v>
      </c>
      <c r="DB43" s="7">
        <v>0</v>
      </c>
      <c r="DC43" s="7">
        <v>0</v>
      </c>
      <c r="DD43" s="7">
        <v>0</v>
      </c>
      <c r="DE43" s="7">
        <v>0</v>
      </c>
      <c r="DF43" s="7">
        <v>0</v>
      </c>
      <c r="DG43" s="7">
        <v>0</v>
      </c>
      <c r="DH43" s="7">
        <v>0</v>
      </c>
      <c r="DI43" s="7">
        <v>0</v>
      </c>
      <c r="DJ43" s="7">
        <v>0</v>
      </c>
      <c r="DK43" s="7">
        <v>0</v>
      </c>
      <c r="DL43" s="7">
        <v>0</v>
      </c>
      <c r="DM43" s="7">
        <v>0</v>
      </c>
      <c r="DN43" s="7">
        <v>43091</v>
      </c>
      <c r="DO43" s="7">
        <v>43395</v>
      </c>
      <c r="DP43" s="7">
        <v>43709</v>
      </c>
      <c r="DQ43" s="7">
        <v>44013</v>
      </c>
      <c r="DR43" s="7">
        <v>44327</v>
      </c>
      <c r="DS43" s="7">
        <v>44641</v>
      </c>
      <c r="DT43" s="7">
        <v>0</v>
      </c>
      <c r="DU43" s="7">
        <v>0</v>
      </c>
      <c r="DV43" s="7">
        <v>0</v>
      </c>
      <c r="DW43" s="7">
        <v>0</v>
      </c>
      <c r="DX43" s="7">
        <v>0</v>
      </c>
      <c r="DY43" s="7">
        <v>0</v>
      </c>
      <c r="DZ43" s="7">
        <v>0</v>
      </c>
      <c r="EA43" s="7">
        <v>0</v>
      </c>
      <c r="EB43" s="7">
        <v>0</v>
      </c>
      <c r="EC43" s="7">
        <v>0</v>
      </c>
      <c r="ED43" s="7">
        <v>0</v>
      </c>
      <c r="EE43" s="7">
        <v>0</v>
      </c>
      <c r="EF43" s="7">
        <v>0</v>
      </c>
      <c r="EG43" s="7">
        <v>0</v>
      </c>
      <c r="EH43" s="7">
        <v>0</v>
      </c>
      <c r="EI43" s="7">
        <v>0</v>
      </c>
      <c r="EJ43" s="25">
        <f t="shared" si="0"/>
        <v>0</v>
      </c>
      <c r="EK43" s="7">
        <v>0</v>
      </c>
      <c r="EL43" s="25">
        <f t="shared" si="1"/>
        <v>0</v>
      </c>
      <c r="EM43" s="7">
        <v>0</v>
      </c>
      <c r="EN43" s="25">
        <f t="shared" si="2"/>
        <v>0</v>
      </c>
      <c r="EO43" s="7">
        <v>0</v>
      </c>
      <c r="EP43" s="25">
        <f t="shared" si="3"/>
        <v>0</v>
      </c>
      <c r="EQ43" s="7">
        <v>0</v>
      </c>
      <c r="ER43" s="25">
        <f t="shared" si="4"/>
        <v>0</v>
      </c>
      <c r="ES43" s="7">
        <v>0</v>
      </c>
      <c r="ET43" s="25">
        <f t="shared" si="5"/>
        <v>0</v>
      </c>
      <c r="EU43" s="7">
        <v>0</v>
      </c>
      <c r="EV43" s="25">
        <f t="shared" si="6"/>
        <v>0</v>
      </c>
      <c r="EW43" s="7">
        <v>0</v>
      </c>
      <c r="EX43" s="7">
        <v>0</v>
      </c>
      <c r="EY43" s="7">
        <v>0</v>
      </c>
      <c r="EZ43" s="7">
        <v>0</v>
      </c>
      <c r="FA43" s="7">
        <v>0</v>
      </c>
      <c r="FB43" s="7">
        <v>0</v>
      </c>
      <c r="FC43" s="7">
        <v>0</v>
      </c>
      <c r="FD43" s="7">
        <v>0</v>
      </c>
      <c r="FE43" s="7">
        <v>0</v>
      </c>
      <c r="FF43" s="7">
        <v>0</v>
      </c>
      <c r="FG43" s="7">
        <v>0</v>
      </c>
      <c r="FH43" s="7">
        <v>0</v>
      </c>
      <c r="FI43" s="7">
        <v>0</v>
      </c>
      <c r="FJ43" s="7">
        <v>0</v>
      </c>
    </row>
    <row r="44" spans="1:166" x14ac:dyDescent="0.4">
      <c r="A44" s="34" t="s">
        <v>19</v>
      </c>
      <c r="B44" s="7">
        <v>57300</v>
      </c>
      <c r="C44" s="7">
        <v>57300</v>
      </c>
      <c r="D44" s="7">
        <v>57300</v>
      </c>
      <c r="E44" s="7">
        <v>57300</v>
      </c>
      <c r="F44" s="7">
        <v>57300</v>
      </c>
      <c r="G44" s="7">
        <v>57300</v>
      </c>
      <c r="H44" s="7">
        <v>57300</v>
      </c>
      <c r="I44" s="7">
        <v>57300</v>
      </c>
      <c r="J44" s="7">
        <v>57300</v>
      </c>
      <c r="K44" s="7">
        <v>74800</v>
      </c>
      <c r="L44" s="7">
        <v>102800</v>
      </c>
      <c r="M44" s="7">
        <v>102800</v>
      </c>
      <c r="N44" s="7">
        <v>102800</v>
      </c>
      <c r="O44" s="7">
        <v>102800</v>
      </c>
      <c r="P44" s="7">
        <v>102800</v>
      </c>
      <c r="Q44" s="7">
        <v>102800</v>
      </c>
      <c r="R44" s="7">
        <v>99800</v>
      </c>
      <c r="S44" s="7">
        <v>99800</v>
      </c>
      <c r="T44" s="7">
        <v>101800</v>
      </c>
      <c r="U44" s="7">
        <v>101800</v>
      </c>
      <c r="V44" s="7">
        <v>101800</v>
      </c>
      <c r="W44" s="7">
        <v>101800</v>
      </c>
      <c r="X44" s="7">
        <v>101800</v>
      </c>
      <c r="Y44" s="7">
        <v>101800</v>
      </c>
      <c r="Z44" s="7">
        <v>105800</v>
      </c>
      <c r="AA44" s="7">
        <v>105800</v>
      </c>
      <c r="AB44" s="7">
        <v>105800</v>
      </c>
      <c r="AC44" s="7">
        <v>105800</v>
      </c>
      <c r="AD44" s="7">
        <v>108800</v>
      </c>
      <c r="AE44" s="7">
        <v>108800</v>
      </c>
      <c r="AF44" s="7">
        <v>108800</v>
      </c>
      <c r="AG44" s="7">
        <v>108800</v>
      </c>
      <c r="AH44" s="7">
        <v>108800</v>
      </c>
      <c r="AI44" s="7">
        <v>108800</v>
      </c>
      <c r="AJ44" s="7">
        <v>108800</v>
      </c>
      <c r="AK44" s="7">
        <v>113800</v>
      </c>
      <c r="AL44" s="7">
        <v>113800</v>
      </c>
      <c r="AM44" s="7">
        <v>110800</v>
      </c>
      <c r="AN44" s="7">
        <v>112800</v>
      </c>
      <c r="AO44" s="7">
        <v>112800</v>
      </c>
      <c r="AP44" s="7">
        <v>112800</v>
      </c>
      <c r="AQ44" s="7">
        <v>112800</v>
      </c>
      <c r="AR44" s="7">
        <v>111800</v>
      </c>
      <c r="AS44" s="7">
        <v>111800</v>
      </c>
      <c r="AT44" s="7">
        <v>111800</v>
      </c>
      <c r="AU44" s="7">
        <v>111800</v>
      </c>
      <c r="AV44" s="7">
        <v>106800</v>
      </c>
      <c r="AW44" s="7">
        <v>106800</v>
      </c>
      <c r="AX44" s="7">
        <v>106800</v>
      </c>
      <c r="AY44" s="7">
        <v>106800</v>
      </c>
      <c r="AZ44" s="7">
        <v>106800</v>
      </c>
      <c r="BA44" s="7">
        <v>96800</v>
      </c>
      <c r="BB44" s="7">
        <v>96800</v>
      </c>
      <c r="BC44" s="7">
        <v>96800</v>
      </c>
      <c r="BD44" s="7">
        <v>119800</v>
      </c>
      <c r="BE44" s="7">
        <v>116800</v>
      </c>
      <c r="BF44" s="7">
        <v>116800</v>
      </c>
      <c r="BG44" s="7">
        <v>116800</v>
      </c>
      <c r="BH44" s="7">
        <v>119800</v>
      </c>
      <c r="BI44" s="7">
        <v>106800</v>
      </c>
      <c r="BJ44" s="7">
        <v>106800</v>
      </c>
      <c r="BK44" s="7">
        <v>106800</v>
      </c>
      <c r="BL44" s="7">
        <v>106800</v>
      </c>
      <c r="BM44" s="7">
        <v>106800</v>
      </c>
      <c r="BN44" s="7">
        <v>106800</v>
      </c>
      <c r="BO44" s="7">
        <v>106800</v>
      </c>
      <c r="BP44" s="7">
        <v>106800</v>
      </c>
      <c r="BQ44" s="7">
        <v>116800</v>
      </c>
      <c r="BR44" s="7">
        <v>116800</v>
      </c>
      <c r="BS44" s="7">
        <v>109800</v>
      </c>
      <c r="BT44" s="7">
        <v>102800</v>
      </c>
      <c r="BU44" s="7">
        <v>107800</v>
      </c>
      <c r="BV44" s="7">
        <v>107800</v>
      </c>
      <c r="BW44" s="7">
        <v>102800</v>
      </c>
      <c r="BX44" s="7">
        <v>97800</v>
      </c>
      <c r="BY44" s="7">
        <v>102800</v>
      </c>
      <c r="BZ44" s="7">
        <v>102800</v>
      </c>
      <c r="CA44" s="7">
        <v>102800</v>
      </c>
      <c r="CB44" s="7">
        <v>102800</v>
      </c>
      <c r="CC44" s="7">
        <v>107800</v>
      </c>
      <c r="CD44" s="7">
        <v>107800</v>
      </c>
      <c r="CE44" s="7">
        <v>107800</v>
      </c>
      <c r="CF44" s="7">
        <v>114800</v>
      </c>
      <c r="CG44" s="7">
        <v>110800</v>
      </c>
      <c r="CH44" s="7">
        <v>118800</v>
      </c>
      <c r="CI44" s="7">
        <v>118800</v>
      </c>
      <c r="CJ44" s="7">
        <v>120929</v>
      </c>
      <c r="CK44" s="13">
        <v>120521</v>
      </c>
      <c r="CL44" s="13">
        <v>137659</v>
      </c>
      <c r="CM44" s="13">
        <v>154770</v>
      </c>
      <c r="CN44" s="13">
        <v>160310</v>
      </c>
      <c r="CO44" s="13">
        <v>155137</v>
      </c>
      <c r="CP44" s="13">
        <v>154988</v>
      </c>
      <c r="CQ44" s="13">
        <v>152064</v>
      </c>
      <c r="CR44" s="13">
        <v>146579</v>
      </c>
      <c r="CS44" s="13">
        <v>133767</v>
      </c>
      <c r="CT44" s="13">
        <v>133844</v>
      </c>
      <c r="CU44" s="13">
        <v>133639</v>
      </c>
      <c r="CV44" s="13">
        <v>133922</v>
      </c>
      <c r="CW44" s="13">
        <v>131637</v>
      </c>
      <c r="CX44" s="13">
        <v>131278</v>
      </c>
      <c r="CY44" s="13">
        <v>121118</v>
      </c>
      <c r="CZ44" s="13">
        <v>121085</v>
      </c>
      <c r="DA44" s="13">
        <v>120787</v>
      </c>
      <c r="DB44" s="13">
        <v>121034</v>
      </c>
      <c r="DC44" s="13">
        <v>121314</v>
      </c>
      <c r="DD44" s="13">
        <v>120896</v>
      </c>
      <c r="DE44" s="13">
        <v>106826</v>
      </c>
      <c r="DF44" s="13">
        <v>106808</v>
      </c>
      <c r="DG44" s="13">
        <v>106519</v>
      </c>
      <c r="DH44" s="13">
        <v>106716</v>
      </c>
      <c r="DI44" s="13">
        <v>107014</v>
      </c>
      <c r="DJ44" s="7">
        <v>106580</v>
      </c>
      <c r="DK44" s="7">
        <v>113827</v>
      </c>
      <c r="DL44" s="7">
        <v>113859</v>
      </c>
      <c r="DM44" s="7">
        <v>113637</v>
      </c>
      <c r="DN44" s="7">
        <v>123829</v>
      </c>
      <c r="DO44" s="7">
        <v>164490</v>
      </c>
      <c r="DP44" s="7">
        <v>167258</v>
      </c>
      <c r="DQ44" s="7">
        <v>183411</v>
      </c>
      <c r="DR44" s="7">
        <v>198012</v>
      </c>
      <c r="DS44" s="7">
        <v>190904</v>
      </c>
      <c r="DT44" s="7">
        <v>204359</v>
      </c>
      <c r="DU44" s="7">
        <v>199025</v>
      </c>
      <c r="DV44" s="7">
        <v>197062</v>
      </c>
      <c r="DW44" s="7">
        <v>204986</v>
      </c>
      <c r="DX44" s="7">
        <v>204654</v>
      </c>
      <c r="DY44" s="7">
        <v>214759</v>
      </c>
      <c r="DZ44" s="7">
        <v>219472</v>
      </c>
      <c r="EA44" s="7">
        <v>220662</v>
      </c>
      <c r="EB44" s="7">
        <v>215962</v>
      </c>
      <c r="EC44" s="7">
        <v>212843</v>
      </c>
      <c r="ED44" s="7">
        <v>230012</v>
      </c>
      <c r="EE44" s="7">
        <v>229264</v>
      </c>
      <c r="EF44" s="7">
        <v>232334</v>
      </c>
      <c r="EG44" s="7">
        <v>255805</v>
      </c>
      <c r="EH44" s="7">
        <v>252243</v>
      </c>
      <c r="EI44" s="7">
        <v>240601</v>
      </c>
      <c r="EJ44" s="25">
        <f t="shared" si="0"/>
        <v>-769</v>
      </c>
      <c r="EK44" s="7">
        <v>239832</v>
      </c>
      <c r="EL44" s="25">
        <f t="shared" si="1"/>
        <v>1082</v>
      </c>
      <c r="EM44" s="7">
        <v>240914</v>
      </c>
      <c r="EN44" s="25">
        <f t="shared" si="2"/>
        <v>5828</v>
      </c>
      <c r="EO44" s="7">
        <v>246742</v>
      </c>
      <c r="EP44" s="25">
        <f t="shared" si="3"/>
        <v>3132</v>
      </c>
      <c r="EQ44" s="7">
        <v>249874</v>
      </c>
      <c r="ER44" s="25">
        <f t="shared" si="4"/>
        <v>4206</v>
      </c>
      <c r="ES44" s="7">
        <v>254080</v>
      </c>
      <c r="ET44" s="25">
        <f t="shared" si="5"/>
        <v>13320</v>
      </c>
      <c r="EU44" s="7">
        <v>267400</v>
      </c>
      <c r="EV44" s="25">
        <f t="shared" si="6"/>
        <v>-9067</v>
      </c>
      <c r="EW44" s="7">
        <v>258333</v>
      </c>
      <c r="EX44" s="7">
        <v>249618</v>
      </c>
      <c r="EY44" s="7">
        <v>238027</v>
      </c>
      <c r="EZ44" s="7">
        <v>232670</v>
      </c>
      <c r="FA44" s="7">
        <v>214030</v>
      </c>
      <c r="FB44" s="7">
        <v>211744</v>
      </c>
      <c r="FC44" s="7">
        <v>210423</v>
      </c>
      <c r="FD44" s="7">
        <v>204406</v>
      </c>
      <c r="FE44" s="7">
        <v>203734</v>
      </c>
      <c r="FF44" s="7">
        <v>211680</v>
      </c>
      <c r="FG44" s="7">
        <v>208568</v>
      </c>
      <c r="FH44" s="7">
        <v>201384</v>
      </c>
      <c r="FI44" s="7">
        <v>200547</v>
      </c>
      <c r="FJ44" s="7">
        <v>197961</v>
      </c>
    </row>
    <row r="45" spans="1:166" x14ac:dyDescent="0.4">
      <c r="A45" s="35" t="s">
        <v>27</v>
      </c>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v>10000</v>
      </c>
      <c r="BW45" s="7">
        <v>5000</v>
      </c>
      <c r="BX45" s="7">
        <v>0</v>
      </c>
      <c r="BY45" s="7">
        <v>0</v>
      </c>
      <c r="BZ45" s="7">
        <v>0</v>
      </c>
      <c r="CA45" s="7">
        <v>0</v>
      </c>
      <c r="CB45" s="7">
        <v>0</v>
      </c>
      <c r="CC45" s="7">
        <v>5000</v>
      </c>
      <c r="CD45" s="7">
        <v>5000</v>
      </c>
      <c r="CE45" s="7">
        <v>15000</v>
      </c>
      <c r="CF45" s="7">
        <v>20000</v>
      </c>
      <c r="CG45" s="7">
        <v>20000</v>
      </c>
      <c r="CH45" s="7">
        <v>20000</v>
      </c>
      <c r="CI45" s="7">
        <v>20000</v>
      </c>
      <c r="CJ45" s="7">
        <v>20558</v>
      </c>
      <c r="CK45" s="13">
        <v>25320</v>
      </c>
      <c r="CL45" s="13">
        <v>25283</v>
      </c>
      <c r="CM45" s="13">
        <v>35493</v>
      </c>
      <c r="CN45" s="13">
        <v>35733</v>
      </c>
      <c r="CO45" s="13">
        <v>30769</v>
      </c>
      <c r="CP45" s="13">
        <v>30984</v>
      </c>
      <c r="CQ45" s="13">
        <v>20560</v>
      </c>
      <c r="CR45" s="13">
        <v>15474</v>
      </c>
      <c r="CS45" s="13">
        <v>29439</v>
      </c>
      <c r="CT45" s="13">
        <v>29551</v>
      </c>
      <c r="CU45" s="13">
        <v>29663</v>
      </c>
      <c r="CV45" s="13">
        <v>29765</v>
      </c>
      <c r="CW45" s="13">
        <v>24635</v>
      </c>
      <c r="CX45" s="13">
        <v>24708</v>
      </c>
      <c r="CY45" s="13">
        <v>14300</v>
      </c>
      <c r="CZ45" s="13">
        <v>14300</v>
      </c>
      <c r="DA45" s="13">
        <v>14300</v>
      </c>
      <c r="DB45" s="13">
        <v>14300</v>
      </c>
      <c r="DC45" s="13">
        <v>14300</v>
      </c>
      <c r="DD45" s="13">
        <v>14300</v>
      </c>
      <c r="DE45" s="13">
        <v>0</v>
      </c>
      <c r="DF45" s="13">
        <v>0</v>
      </c>
      <c r="DG45" s="13">
        <v>7037</v>
      </c>
      <c r="DH45" s="13">
        <v>7087</v>
      </c>
      <c r="DI45" s="13">
        <v>14165</v>
      </c>
      <c r="DJ45" s="7">
        <v>19265</v>
      </c>
      <c r="DK45" s="7">
        <v>26407</v>
      </c>
      <c r="DL45" s="7">
        <v>34492</v>
      </c>
      <c r="DM45" s="7">
        <v>34379</v>
      </c>
      <c r="DN45" s="7">
        <v>34470</v>
      </c>
      <c r="DO45" s="7">
        <v>34568</v>
      </c>
      <c r="DP45" s="7">
        <v>34587</v>
      </c>
      <c r="DQ45" s="7">
        <v>34671</v>
      </c>
      <c r="DR45" s="7">
        <v>34505</v>
      </c>
      <c r="DS45" s="7">
        <v>27353</v>
      </c>
      <c r="DT45" s="7">
        <v>27375</v>
      </c>
      <c r="DU45" s="7">
        <v>20400</v>
      </c>
      <c r="DV45" s="7">
        <v>17312</v>
      </c>
      <c r="DW45" s="7">
        <v>20271</v>
      </c>
      <c r="DX45" s="7">
        <v>12060</v>
      </c>
      <c r="DY45" s="7">
        <v>12110</v>
      </c>
      <c r="DZ45" s="7">
        <v>12013</v>
      </c>
      <c r="EA45" s="7">
        <v>12062</v>
      </c>
      <c r="EB45" s="7">
        <v>12110</v>
      </c>
      <c r="EC45" s="7">
        <v>19017</v>
      </c>
      <c r="ED45" s="7">
        <v>19136</v>
      </c>
      <c r="EE45" s="7">
        <v>24257</v>
      </c>
      <c r="EF45" s="7">
        <v>24063</v>
      </c>
      <c r="EG45" s="7">
        <v>24222</v>
      </c>
      <c r="EH45" s="7">
        <v>37393</v>
      </c>
      <c r="EI45" s="7">
        <v>27263</v>
      </c>
      <c r="EJ45" s="25">
        <f t="shared" si="0"/>
        <v>181</v>
      </c>
      <c r="EK45" s="7">
        <v>27444</v>
      </c>
      <c r="EL45" s="25">
        <f t="shared" si="1"/>
        <v>9980</v>
      </c>
      <c r="EM45" s="7">
        <v>37424</v>
      </c>
      <c r="EN45" s="25">
        <f t="shared" si="2"/>
        <v>40</v>
      </c>
      <c r="EO45" s="7">
        <v>37464</v>
      </c>
      <c r="EP45" s="25">
        <f t="shared" si="3"/>
        <v>259</v>
      </c>
      <c r="EQ45" s="7">
        <v>37723</v>
      </c>
      <c r="ER45" s="25">
        <f t="shared" si="4"/>
        <v>-7332</v>
      </c>
      <c r="ES45" s="7">
        <v>30391</v>
      </c>
      <c r="ET45" s="25">
        <f t="shared" si="5"/>
        <v>5186</v>
      </c>
      <c r="EU45" s="7">
        <v>35577</v>
      </c>
      <c r="EV45" s="25">
        <f t="shared" si="6"/>
        <v>205</v>
      </c>
      <c r="EW45" s="7">
        <v>35782</v>
      </c>
      <c r="EX45" s="7">
        <v>30268</v>
      </c>
      <c r="EY45" s="7">
        <v>38445</v>
      </c>
      <c r="EZ45" s="7">
        <v>39901</v>
      </c>
      <c r="FA45" s="7">
        <v>24647</v>
      </c>
      <c r="FB45" s="7">
        <v>24806</v>
      </c>
      <c r="FC45" s="7">
        <v>24960</v>
      </c>
      <c r="FD45" s="7">
        <v>14645</v>
      </c>
      <c r="FE45" s="7">
        <v>14312</v>
      </c>
      <c r="FF45" s="7">
        <v>13722</v>
      </c>
      <c r="FG45" s="7">
        <v>13795</v>
      </c>
      <c r="FH45" s="7">
        <v>8867</v>
      </c>
      <c r="FI45" s="7">
        <v>14491</v>
      </c>
      <c r="FJ45" s="7">
        <v>14652</v>
      </c>
    </row>
    <row r="46" spans="1:166" x14ac:dyDescent="0.4">
      <c r="A46" s="35" t="s">
        <v>30</v>
      </c>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v>97800</v>
      </c>
      <c r="BW46" s="7">
        <v>97800</v>
      </c>
      <c r="BX46" s="7">
        <v>97800</v>
      </c>
      <c r="BY46" s="7">
        <v>102800</v>
      </c>
      <c r="BZ46" s="7">
        <v>102800</v>
      </c>
      <c r="CA46" s="7">
        <v>102800</v>
      </c>
      <c r="CB46" s="7">
        <v>102800</v>
      </c>
      <c r="CC46" s="7">
        <v>102800</v>
      </c>
      <c r="CD46" s="7">
        <v>102800</v>
      </c>
      <c r="CE46" s="7">
        <v>92800</v>
      </c>
      <c r="CF46" s="7">
        <v>94800</v>
      </c>
      <c r="CG46" s="7">
        <v>90800</v>
      </c>
      <c r="CH46" s="7">
        <v>98800</v>
      </c>
      <c r="CI46" s="7">
        <v>98800</v>
      </c>
      <c r="CJ46" s="7">
        <v>100371</v>
      </c>
      <c r="CK46" s="13">
        <v>95201</v>
      </c>
      <c r="CL46" s="13">
        <v>112376</v>
      </c>
      <c r="CM46" s="13">
        <v>119277</v>
      </c>
      <c r="CN46" s="13">
        <v>124577</v>
      </c>
      <c r="CO46" s="13">
        <v>124368</v>
      </c>
      <c r="CP46" s="13">
        <v>124004</v>
      </c>
      <c r="CQ46" s="13">
        <v>131504</v>
      </c>
      <c r="CR46" s="13">
        <v>131104</v>
      </c>
      <c r="CS46" s="13">
        <v>104327</v>
      </c>
      <c r="CT46" s="13">
        <v>104292</v>
      </c>
      <c r="CU46" s="13">
        <v>103976</v>
      </c>
      <c r="CV46" s="13">
        <v>104158</v>
      </c>
      <c r="CW46" s="13">
        <v>107002</v>
      </c>
      <c r="CX46" s="13">
        <v>106569</v>
      </c>
      <c r="CY46" s="13">
        <v>106818</v>
      </c>
      <c r="CZ46" s="13">
        <v>106785</v>
      </c>
      <c r="DA46" s="13">
        <v>106487</v>
      </c>
      <c r="DB46" s="13">
        <v>106734</v>
      </c>
      <c r="DC46" s="13">
        <v>107014</v>
      </c>
      <c r="DD46" s="13">
        <v>106596</v>
      </c>
      <c r="DE46" s="13">
        <v>106826</v>
      </c>
      <c r="DF46" s="13">
        <v>106808</v>
      </c>
      <c r="DG46" s="13">
        <v>99482</v>
      </c>
      <c r="DH46" s="13">
        <v>99629</v>
      </c>
      <c r="DI46" s="13">
        <v>92849</v>
      </c>
      <c r="DJ46" s="7">
        <v>87315</v>
      </c>
      <c r="DK46" s="7">
        <v>87420</v>
      </c>
      <c r="DL46" s="7">
        <v>79367</v>
      </c>
      <c r="DM46" s="7">
        <v>79258</v>
      </c>
      <c r="DN46" s="7">
        <v>89359</v>
      </c>
      <c r="DO46" s="7">
        <v>129922</v>
      </c>
      <c r="DP46" s="7">
        <v>132671</v>
      </c>
      <c r="DQ46" s="7">
        <v>148739</v>
      </c>
      <c r="DR46" s="7">
        <v>163507</v>
      </c>
      <c r="DS46" s="7">
        <v>163550</v>
      </c>
      <c r="DT46" s="7">
        <v>176984</v>
      </c>
      <c r="DU46" s="7">
        <v>178626</v>
      </c>
      <c r="DV46" s="7">
        <v>179750</v>
      </c>
      <c r="DW46" s="7">
        <v>184715</v>
      </c>
      <c r="DX46" s="7">
        <v>192594</v>
      </c>
      <c r="DY46" s="7">
        <v>202649</v>
      </c>
      <c r="DZ46" s="7">
        <v>207459</v>
      </c>
      <c r="EA46" s="7">
        <v>208601</v>
      </c>
      <c r="EB46" s="7">
        <v>203852</v>
      </c>
      <c r="EC46" s="7">
        <v>193826</v>
      </c>
      <c r="ED46" s="7">
        <v>210876</v>
      </c>
      <c r="EE46" s="7">
        <v>205007</v>
      </c>
      <c r="EF46" s="7">
        <v>208271</v>
      </c>
      <c r="EG46" s="7">
        <v>231584</v>
      </c>
      <c r="EH46" s="7">
        <v>214849</v>
      </c>
      <c r="EI46" s="7">
        <v>213339</v>
      </c>
      <c r="EJ46" s="25">
        <f t="shared" si="0"/>
        <v>-952</v>
      </c>
      <c r="EK46" s="7">
        <v>212387</v>
      </c>
      <c r="EL46" s="25">
        <f t="shared" si="1"/>
        <v>-8897</v>
      </c>
      <c r="EM46" s="7">
        <v>203490</v>
      </c>
      <c r="EN46" s="25">
        <f t="shared" si="2"/>
        <v>5788</v>
      </c>
      <c r="EO46" s="7">
        <v>209278</v>
      </c>
      <c r="EP46" s="25">
        <f t="shared" si="3"/>
        <v>2873</v>
      </c>
      <c r="EQ46" s="7">
        <v>212151</v>
      </c>
      <c r="ER46" s="25">
        <f t="shared" si="4"/>
        <v>11538</v>
      </c>
      <c r="ES46" s="7">
        <v>223689</v>
      </c>
      <c r="ET46" s="25">
        <f t="shared" si="5"/>
        <v>8134</v>
      </c>
      <c r="EU46" s="7">
        <v>231823</v>
      </c>
      <c r="EV46" s="25">
        <f t="shared" si="6"/>
        <v>-9273</v>
      </c>
      <c r="EW46" s="7">
        <v>222550</v>
      </c>
      <c r="EX46" s="7">
        <v>219351</v>
      </c>
      <c r="EY46" s="7">
        <v>199582</v>
      </c>
      <c r="EZ46" s="7">
        <v>192769</v>
      </c>
      <c r="FA46" s="7">
        <v>189383</v>
      </c>
      <c r="FB46" s="7">
        <v>186938</v>
      </c>
      <c r="FC46" s="7">
        <v>185463</v>
      </c>
      <c r="FD46" s="7">
        <v>189761</v>
      </c>
      <c r="FE46" s="7">
        <v>189423</v>
      </c>
      <c r="FF46" s="7">
        <v>197957</v>
      </c>
      <c r="FG46" s="7">
        <v>194773</v>
      </c>
      <c r="FH46" s="7">
        <v>192517</v>
      </c>
      <c r="FI46" s="7">
        <v>186057</v>
      </c>
      <c r="FJ46" s="7">
        <v>183308</v>
      </c>
    </row>
    <row r="47" spans="1:166" x14ac:dyDescent="0.4">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EJ47" s="25">
        <f t="shared" si="0"/>
        <v>0</v>
      </c>
      <c r="EL47" s="25">
        <f t="shared" si="1"/>
        <v>0</v>
      </c>
      <c r="EN47" s="25">
        <f t="shared" si="2"/>
        <v>0</v>
      </c>
      <c r="EP47" s="25">
        <f t="shared" si="3"/>
        <v>0</v>
      </c>
      <c r="ER47" s="25">
        <f t="shared" si="4"/>
        <v>0</v>
      </c>
      <c r="ET47" s="25">
        <f t="shared" si="5"/>
        <v>0</v>
      </c>
      <c r="EV47" s="25">
        <f t="shared" si="6"/>
        <v>0</v>
      </c>
    </row>
    <row r="48" spans="1:166" x14ac:dyDescent="0.4">
      <c r="A48" s="31" t="s">
        <v>16</v>
      </c>
      <c r="EJ48" s="25">
        <f t="shared" si="0"/>
        <v>0</v>
      </c>
      <c r="EL48" s="25">
        <f t="shared" si="1"/>
        <v>0</v>
      </c>
      <c r="EN48" s="25">
        <f t="shared" si="2"/>
        <v>0</v>
      </c>
      <c r="EP48" s="25">
        <f t="shared" si="3"/>
        <v>0</v>
      </c>
      <c r="ER48" s="25">
        <f t="shared" si="4"/>
        <v>0</v>
      </c>
      <c r="ET48" s="25">
        <f t="shared" si="5"/>
        <v>0</v>
      </c>
      <c r="EV48" s="25">
        <f t="shared" si="6"/>
        <v>0</v>
      </c>
    </row>
    <row r="49" spans="1:166" x14ac:dyDescent="0.4">
      <c r="A49" s="32" t="s">
        <v>2</v>
      </c>
      <c r="B49" s="22">
        <v>8472170</v>
      </c>
      <c r="C49" s="22">
        <v>8350233</v>
      </c>
      <c r="D49" s="22">
        <v>8476067</v>
      </c>
      <c r="E49" s="22">
        <v>8568201</v>
      </c>
      <c r="F49" s="22">
        <v>8727117</v>
      </c>
      <c r="G49" s="22">
        <v>8762799</v>
      </c>
      <c r="H49" s="22">
        <v>8865711</v>
      </c>
      <c r="I49" s="22">
        <v>8937458</v>
      </c>
      <c r="J49" s="22">
        <v>9034483</v>
      </c>
      <c r="K49" s="22">
        <v>9226758</v>
      </c>
      <c r="L49" s="22">
        <v>9469624</v>
      </c>
      <c r="M49" s="22">
        <v>9648126</v>
      </c>
      <c r="N49" s="22">
        <v>9719081</v>
      </c>
      <c r="O49" s="22">
        <v>9914103</v>
      </c>
      <c r="P49" s="22">
        <v>9995852</v>
      </c>
      <c r="Q49" s="22">
        <v>9875231</v>
      </c>
      <c r="R49" s="22">
        <v>9865729</v>
      </c>
      <c r="S49" s="22">
        <v>9897578</v>
      </c>
      <c r="T49" s="22">
        <v>9967202</v>
      </c>
      <c r="U49" s="22">
        <v>10183842</v>
      </c>
      <c r="V49" s="22">
        <v>10120748</v>
      </c>
      <c r="W49" s="22">
        <v>10187920</v>
      </c>
      <c r="X49" s="22">
        <v>10342864</v>
      </c>
      <c r="Y49" s="22">
        <v>10220673</v>
      </c>
      <c r="Z49" s="22">
        <v>12082211</v>
      </c>
      <c r="AA49" s="22">
        <v>12531049</v>
      </c>
      <c r="AB49" s="22">
        <v>12572601</v>
      </c>
      <c r="AC49" s="22">
        <v>12423522</v>
      </c>
      <c r="AD49" s="22">
        <v>12580417</v>
      </c>
      <c r="AE49" s="22">
        <v>12777878</v>
      </c>
      <c r="AF49" s="22">
        <v>12755354</v>
      </c>
      <c r="AG49" s="22">
        <v>13067673</v>
      </c>
      <c r="AH49" s="22">
        <v>12865572</v>
      </c>
      <c r="AI49" s="22">
        <v>12901507</v>
      </c>
      <c r="AJ49" s="22">
        <v>13100650</v>
      </c>
      <c r="AK49" s="22">
        <v>13220117</v>
      </c>
      <c r="AL49" s="22">
        <v>13293487</v>
      </c>
      <c r="AM49" s="22">
        <v>13265886</v>
      </c>
      <c r="AN49" s="22">
        <v>13159667</v>
      </c>
      <c r="AO49" s="22">
        <v>13303747</v>
      </c>
      <c r="AP49" s="22">
        <v>13630164</v>
      </c>
      <c r="AQ49" s="22">
        <v>13702319</v>
      </c>
      <c r="AR49" s="22">
        <v>13840422</v>
      </c>
      <c r="AS49" s="22">
        <v>13903680</v>
      </c>
      <c r="AT49" s="22">
        <v>13859255</v>
      </c>
      <c r="AU49" s="22">
        <v>13974483</v>
      </c>
      <c r="AV49" s="22">
        <v>14084544</v>
      </c>
      <c r="AW49" s="22">
        <v>14282515</v>
      </c>
      <c r="AX49" s="22">
        <v>15122429</v>
      </c>
      <c r="AY49" s="22">
        <v>15301023</v>
      </c>
      <c r="AZ49" s="22">
        <v>15459605</v>
      </c>
      <c r="BA49" s="22">
        <v>15719232</v>
      </c>
      <c r="BB49" s="22">
        <v>15814920</v>
      </c>
      <c r="BC49" s="22">
        <v>16277911</v>
      </c>
      <c r="BD49" s="22">
        <v>16452322</v>
      </c>
      <c r="BE49" s="22">
        <v>16824536</v>
      </c>
      <c r="BF49" s="22">
        <v>17234000</v>
      </c>
      <c r="BG49" s="22">
        <v>17352674</v>
      </c>
      <c r="BH49" s="22">
        <v>17865815</v>
      </c>
      <c r="BI49" s="22">
        <v>17968788</v>
      </c>
      <c r="BJ49" s="22">
        <v>18666789</v>
      </c>
      <c r="BK49" s="22">
        <v>18866264</v>
      </c>
      <c r="BL49" s="22">
        <v>19358166</v>
      </c>
      <c r="BM49" s="22">
        <v>19745907</v>
      </c>
      <c r="BN49" s="22">
        <v>19722716</v>
      </c>
      <c r="BO49" s="22">
        <v>20034343</v>
      </c>
      <c r="BP49" s="22">
        <v>19930859</v>
      </c>
      <c r="BQ49" s="22">
        <v>20483361</v>
      </c>
      <c r="BR49" s="22">
        <v>20475425</v>
      </c>
      <c r="BS49" s="22">
        <v>20434930</v>
      </c>
      <c r="BT49" s="22">
        <v>20459663</v>
      </c>
      <c r="BU49" s="22">
        <v>20754021</v>
      </c>
      <c r="BV49" s="22">
        <v>20637139</v>
      </c>
      <c r="BW49" s="22">
        <v>20942975</v>
      </c>
      <c r="BX49" s="22">
        <v>21069743</v>
      </c>
      <c r="BY49" s="22">
        <v>21408087</v>
      </c>
      <c r="BZ49" s="22">
        <v>22083635</v>
      </c>
      <c r="CA49" s="22">
        <v>22408616</v>
      </c>
      <c r="CB49" s="22">
        <v>22695123</v>
      </c>
      <c r="CC49" s="22">
        <v>22997730</v>
      </c>
      <c r="CD49" s="22">
        <v>22725506</v>
      </c>
      <c r="CE49" s="22">
        <v>22481479</v>
      </c>
      <c r="CF49" s="22">
        <v>23176808</v>
      </c>
      <c r="CG49" s="22">
        <v>23788306</v>
      </c>
      <c r="CH49" s="22">
        <v>24581595</v>
      </c>
      <c r="CI49" s="22">
        <v>24640134</v>
      </c>
      <c r="CJ49" s="22">
        <v>25332334</v>
      </c>
      <c r="CK49" s="22">
        <v>25013468</v>
      </c>
      <c r="CL49" s="22">
        <v>25327398</v>
      </c>
      <c r="CM49" s="22">
        <v>25128893</v>
      </c>
      <c r="CN49" s="22">
        <v>25182492</v>
      </c>
      <c r="CO49" s="22">
        <v>25640593</v>
      </c>
      <c r="CP49" s="22">
        <v>26060406</v>
      </c>
      <c r="CQ49" s="22">
        <v>26848271</v>
      </c>
      <c r="CR49" s="22">
        <v>28311405</v>
      </c>
      <c r="CS49" s="22">
        <v>30218364</v>
      </c>
      <c r="CT49" s="22">
        <v>30951227</v>
      </c>
      <c r="CU49" s="22">
        <v>30492443</v>
      </c>
      <c r="CV49" s="22">
        <v>30754360</v>
      </c>
      <c r="CW49" s="22">
        <v>31340997</v>
      </c>
      <c r="CX49" s="22">
        <v>31750860</v>
      </c>
      <c r="CY49" s="22">
        <v>32058557</v>
      </c>
      <c r="CZ49" s="22">
        <v>32106007</v>
      </c>
      <c r="DA49" s="22">
        <v>32296194</v>
      </c>
      <c r="DB49" s="22">
        <v>32582259</v>
      </c>
      <c r="DC49" s="22">
        <v>32970476</v>
      </c>
      <c r="DD49" s="22">
        <v>32901905</v>
      </c>
      <c r="DE49" s="22">
        <v>32813506</v>
      </c>
      <c r="DF49" s="22">
        <v>32677779</v>
      </c>
      <c r="DG49" s="22">
        <v>32632565</v>
      </c>
      <c r="DH49" s="22">
        <v>32621961</v>
      </c>
      <c r="DI49" s="22">
        <v>32484392</v>
      </c>
      <c r="DJ49" s="25">
        <v>32279208</v>
      </c>
      <c r="DK49" s="25">
        <v>32475496</v>
      </c>
      <c r="DL49" s="25">
        <v>32448031</v>
      </c>
      <c r="DM49" s="25">
        <v>32120890</v>
      </c>
      <c r="DN49" s="25">
        <v>32396209</v>
      </c>
      <c r="DO49" s="25">
        <v>32535025</v>
      </c>
      <c r="DP49" s="25">
        <v>32580393</v>
      </c>
      <c r="DQ49" s="25">
        <v>33806636</v>
      </c>
      <c r="DR49" s="25">
        <v>35656287</v>
      </c>
      <c r="DS49" s="25">
        <v>35639460</v>
      </c>
      <c r="DT49" s="25">
        <v>35957767</v>
      </c>
      <c r="DU49" s="25">
        <v>36185409</v>
      </c>
      <c r="DV49" s="25">
        <v>36747310</v>
      </c>
      <c r="DW49" s="25">
        <v>37023342</v>
      </c>
      <c r="DX49" s="25">
        <v>37540086</v>
      </c>
      <c r="DY49" s="25">
        <v>38186711</v>
      </c>
      <c r="DZ49" s="25">
        <v>38491118</v>
      </c>
      <c r="EA49" s="25">
        <v>38769345</v>
      </c>
      <c r="EB49" s="25">
        <v>38894778</v>
      </c>
      <c r="EC49" s="25">
        <v>39276008</v>
      </c>
      <c r="ED49" s="25">
        <v>40722702</v>
      </c>
      <c r="EE49" s="25">
        <v>40991517</v>
      </c>
      <c r="EF49" s="25">
        <v>41189956</v>
      </c>
      <c r="EG49" s="25">
        <v>41592963</v>
      </c>
      <c r="EH49" s="25">
        <v>41605106</v>
      </c>
      <c r="EI49" s="25">
        <v>41941952</v>
      </c>
      <c r="EJ49" s="25">
        <f t="shared" si="0"/>
        <v>165251</v>
      </c>
      <c r="EK49" s="25">
        <v>42107203</v>
      </c>
      <c r="EL49" s="25">
        <f t="shared" si="1"/>
        <v>6084</v>
      </c>
      <c r="EM49" s="25">
        <v>42113287</v>
      </c>
      <c r="EN49" s="25">
        <f t="shared" si="2"/>
        <v>700478</v>
      </c>
      <c r="EO49" s="25">
        <v>42813765</v>
      </c>
      <c r="EP49" s="25">
        <f t="shared" si="3"/>
        <v>710214</v>
      </c>
      <c r="EQ49" s="25">
        <v>43523979</v>
      </c>
      <c r="ER49" s="25">
        <f t="shared" si="4"/>
        <v>156030</v>
      </c>
      <c r="ES49" s="25">
        <v>43680009</v>
      </c>
      <c r="ET49" s="25">
        <f t="shared" si="5"/>
        <v>512511</v>
      </c>
      <c r="EU49" s="25">
        <v>44192520</v>
      </c>
      <c r="EV49" s="25">
        <f t="shared" si="6"/>
        <v>4061716</v>
      </c>
      <c r="EW49" s="25">
        <v>48254236</v>
      </c>
      <c r="EX49" s="25">
        <v>48509634</v>
      </c>
      <c r="EY49" s="25">
        <v>49551552</v>
      </c>
      <c r="EZ49" s="25">
        <v>50596018</v>
      </c>
      <c r="FA49" s="25">
        <v>51860516</v>
      </c>
      <c r="FB49" s="25">
        <v>52480788</v>
      </c>
      <c r="FC49" s="25">
        <v>53149746</v>
      </c>
      <c r="FD49" s="25">
        <v>53996393</v>
      </c>
      <c r="FE49" s="25">
        <v>55031665</v>
      </c>
      <c r="FF49" s="25">
        <v>55376219</v>
      </c>
      <c r="FG49" s="25">
        <v>56600128</v>
      </c>
      <c r="FH49" s="25">
        <v>58447071</v>
      </c>
      <c r="FI49" s="25">
        <v>60348225</v>
      </c>
      <c r="FJ49" s="25">
        <v>60585495</v>
      </c>
    </row>
    <row r="50" spans="1:166" x14ac:dyDescent="0.4">
      <c r="A50" s="33" t="s">
        <v>13</v>
      </c>
      <c r="B50" s="22">
        <v>13000</v>
      </c>
      <c r="C50" s="22">
        <v>13000</v>
      </c>
      <c r="D50" s="22">
        <v>15000</v>
      </c>
      <c r="E50" s="22">
        <v>15000</v>
      </c>
      <c r="F50" s="22">
        <v>15000</v>
      </c>
      <c r="G50" s="22">
        <v>15000</v>
      </c>
      <c r="H50" s="22">
        <v>15000</v>
      </c>
      <c r="I50" s="22">
        <v>15000</v>
      </c>
      <c r="J50" s="22">
        <v>15000</v>
      </c>
      <c r="K50" s="22">
        <v>15000</v>
      </c>
      <c r="L50" s="22">
        <v>2000</v>
      </c>
      <c r="M50" s="22">
        <v>2000</v>
      </c>
      <c r="N50" s="22">
        <v>2000</v>
      </c>
      <c r="O50" s="22">
        <v>0</v>
      </c>
      <c r="P50" s="22">
        <v>0</v>
      </c>
      <c r="Q50" s="22">
        <v>873</v>
      </c>
      <c r="R50" s="22">
        <v>873</v>
      </c>
      <c r="S50" s="22">
        <v>15873</v>
      </c>
      <c r="T50" s="22">
        <v>15873</v>
      </c>
      <c r="U50" s="22">
        <v>15873</v>
      </c>
      <c r="V50" s="22">
        <v>15873</v>
      </c>
      <c r="W50" s="22">
        <v>15873</v>
      </c>
      <c r="X50" s="22">
        <v>30873</v>
      </c>
      <c r="Y50" s="22">
        <v>30873</v>
      </c>
      <c r="Z50" s="22">
        <v>0</v>
      </c>
      <c r="AA50" s="22">
        <v>0</v>
      </c>
      <c r="AB50" s="22">
        <v>0</v>
      </c>
      <c r="AC50" s="22">
        <v>0</v>
      </c>
      <c r="AD50" s="22">
        <v>0</v>
      </c>
      <c r="AE50" s="22">
        <v>0</v>
      </c>
      <c r="AF50" s="22">
        <v>0</v>
      </c>
      <c r="AG50" s="22">
        <v>0</v>
      </c>
      <c r="AH50" s="22">
        <v>0</v>
      </c>
      <c r="AI50" s="22">
        <v>0</v>
      </c>
      <c r="AJ50" s="22">
        <v>0</v>
      </c>
      <c r="AK50" s="22">
        <v>0</v>
      </c>
      <c r="AL50" s="22">
        <v>0</v>
      </c>
      <c r="AM50" s="22">
        <v>3000</v>
      </c>
      <c r="AN50" s="22">
        <v>3000</v>
      </c>
      <c r="AO50" s="22">
        <v>3000</v>
      </c>
      <c r="AP50" s="22">
        <v>3000</v>
      </c>
      <c r="AQ50" s="22">
        <v>3000</v>
      </c>
      <c r="AR50" s="22">
        <v>3000</v>
      </c>
      <c r="AS50" s="22">
        <v>3000</v>
      </c>
      <c r="AT50" s="22">
        <v>3000</v>
      </c>
      <c r="AU50" s="22">
        <v>3100</v>
      </c>
      <c r="AV50" s="22">
        <v>8003</v>
      </c>
      <c r="AW50" s="22">
        <v>33545</v>
      </c>
      <c r="AX50" s="22">
        <v>4086</v>
      </c>
      <c r="AY50" s="22">
        <v>41162</v>
      </c>
      <c r="AZ50" s="22">
        <v>46406</v>
      </c>
      <c r="BA50" s="22">
        <v>71413</v>
      </c>
      <c r="BB50" s="22">
        <v>20166</v>
      </c>
      <c r="BC50" s="22">
        <v>60366</v>
      </c>
      <c r="BD50" s="22">
        <v>81738</v>
      </c>
      <c r="BE50" s="22">
        <v>54661</v>
      </c>
      <c r="BF50" s="22">
        <v>216553</v>
      </c>
      <c r="BG50" s="22">
        <v>165588</v>
      </c>
      <c r="BH50" s="22">
        <v>381161</v>
      </c>
      <c r="BI50" s="22">
        <v>353133</v>
      </c>
      <c r="BJ50" s="22">
        <v>399890</v>
      </c>
      <c r="BK50" s="22">
        <v>649436</v>
      </c>
      <c r="BL50" s="22">
        <v>869853</v>
      </c>
      <c r="BM50" s="22">
        <v>1225796</v>
      </c>
      <c r="BN50" s="22">
        <v>1139534</v>
      </c>
      <c r="BO50" s="22">
        <v>1377555</v>
      </c>
      <c r="BP50" s="22">
        <v>1196256</v>
      </c>
      <c r="BQ50" s="22">
        <v>1548903</v>
      </c>
      <c r="BR50" s="22">
        <v>1514004</v>
      </c>
      <c r="BS50" s="22">
        <v>1540427</v>
      </c>
      <c r="BT50" s="22">
        <v>1542713</v>
      </c>
      <c r="BU50" s="22">
        <v>1685646</v>
      </c>
      <c r="BV50" s="22">
        <v>1396218</v>
      </c>
      <c r="BW50" s="22">
        <v>1552566</v>
      </c>
      <c r="BX50" s="22">
        <v>1581207</v>
      </c>
      <c r="BY50" s="22">
        <v>1537398</v>
      </c>
      <c r="BZ50" s="22">
        <v>1578063</v>
      </c>
      <c r="CA50" s="22">
        <v>1696418</v>
      </c>
      <c r="CB50" s="22">
        <v>1814693</v>
      </c>
      <c r="CC50" s="22">
        <v>1642160</v>
      </c>
      <c r="CD50" s="22">
        <v>1330307</v>
      </c>
      <c r="CE50" s="22">
        <v>981499</v>
      </c>
      <c r="CF50" s="22">
        <v>1273409</v>
      </c>
      <c r="CG50" s="22">
        <v>1659789</v>
      </c>
      <c r="CH50" s="22">
        <v>2115601</v>
      </c>
      <c r="CI50" s="22">
        <v>2254081</v>
      </c>
      <c r="CJ50" s="22">
        <v>2091353</v>
      </c>
      <c r="CK50" s="22">
        <v>1713463</v>
      </c>
      <c r="CL50" s="22">
        <v>1678696</v>
      </c>
      <c r="CM50" s="22">
        <v>1249139</v>
      </c>
      <c r="CN50" s="22">
        <v>871475</v>
      </c>
      <c r="CO50" s="22">
        <v>869945</v>
      </c>
      <c r="CP50" s="22">
        <v>978923</v>
      </c>
      <c r="CQ50" s="22">
        <v>958202</v>
      </c>
      <c r="CR50" s="22">
        <v>827466</v>
      </c>
      <c r="CS50" s="22">
        <v>723910</v>
      </c>
      <c r="CT50" s="22">
        <v>707112</v>
      </c>
      <c r="CU50" s="22">
        <v>681343</v>
      </c>
      <c r="CV50" s="22">
        <v>669477</v>
      </c>
      <c r="CW50" s="22">
        <v>756482</v>
      </c>
      <c r="CX50" s="22">
        <v>761270</v>
      </c>
      <c r="CY50" s="22">
        <v>772167</v>
      </c>
      <c r="CZ50" s="22">
        <v>723835</v>
      </c>
      <c r="DA50" s="22">
        <v>684598</v>
      </c>
      <c r="DB50" s="22">
        <v>666657</v>
      </c>
      <c r="DC50" s="22">
        <v>691104</v>
      </c>
      <c r="DD50" s="22">
        <v>569900</v>
      </c>
      <c r="DE50" s="22">
        <v>304809</v>
      </c>
      <c r="DF50" s="22">
        <v>147867</v>
      </c>
      <c r="DG50" s="22">
        <v>151825</v>
      </c>
      <c r="DH50" s="22">
        <v>149548</v>
      </c>
      <c r="DI50" s="22">
        <v>140067</v>
      </c>
      <c r="DJ50" s="25">
        <v>136498</v>
      </c>
      <c r="DK50" s="25">
        <v>142742</v>
      </c>
      <c r="DL50" s="25">
        <v>135107</v>
      </c>
      <c r="DM50" s="25">
        <v>171859</v>
      </c>
      <c r="DN50" s="25">
        <v>201598</v>
      </c>
      <c r="DO50" s="25">
        <v>229562</v>
      </c>
      <c r="DP50" s="25">
        <v>200289</v>
      </c>
      <c r="DQ50" s="25">
        <v>141416</v>
      </c>
      <c r="DR50" s="25">
        <v>141673</v>
      </c>
      <c r="DS50" s="25">
        <v>159589</v>
      </c>
      <c r="DT50" s="25">
        <v>92092</v>
      </c>
      <c r="DU50" s="25">
        <v>122317</v>
      </c>
      <c r="DV50" s="25">
        <v>105463</v>
      </c>
      <c r="DW50" s="25">
        <v>139941</v>
      </c>
      <c r="DX50" s="25">
        <v>152592</v>
      </c>
      <c r="DY50" s="25">
        <v>197346</v>
      </c>
      <c r="DZ50" s="25">
        <v>204173</v>
      </c>
      <c r="EA50" s="25">
        <v>291938</v>
      </c>
      <c r="EB50" s="25">
        <v>339641</v>
      </c>
      <c r="EC50" s="25">
        <v>285356</v>
      </c>
      <c r="ED50" s="25">
        <v>289130</v>
      </c>
      <c r="EE50" s="25">
        <v>376536</v>
      </c>
      <c r="EF50" s="25">
        <v>279386</v>
      </c>
      <c r="EG50" s="25">
        <v>370324</v>
      </c>
      <c r="EH50" s="25">
        <v>320246</v>
      </c>
      <c r="EI50" s="25">
        <v>367350</v>
      </c>
      <c r="EJ50" s="25">
        <f t="shared" si="0"/>
        <v>-22278</v>
      </c>
      <c r="EK50" s="25">
        <v>345072</v>
      </c>
      <c r="EL50" s="25">
        <f t="shared" si="1"/>
        <v>-57749</v>
      </c>
      <c r="EM50" s="25">
        <v>287323</v>
      </c>
      <c r="EN50" s="25">
        <f t="shared" si="2"/>
        <v>-89036</v>
      </c>
      <c r="EO50" s="25">
        <v>198287</v>
      </c>
      <c r="EP50" s="25">
        <f t="shared" si="3"/>
        <v>75952</v>
      </c>
      <c r="EQ50" s="25">
        <v>274239</v>
      </c>
      <c r="ER50" s="25">
        <f t="shared" si="4"/>
        <v>-60131</v>
      </c>
      <c r="ES50" s="25">
        <v>214108</v>
      </c>
      <c r="ET50" s="25">
        <f t="shared" si="5"/>
        <v>-22952</v>
      </c>
      <c r="EU50" s="25">
        <v>191156</v>
      </c>
      <c r="EV50" s="25">
        <f t="shared" si="6"/>
        <v>197534</v>
      </c>
      <c r="EW50" s="25">
        <v>388690</v>
      </c>
      <c r="EX50" s="25">
        <v>393055</v>
      </c>
      <c r="EY50" s="25">
        <v>429339</v>
      </c>
      <c r="EZ50" s="25">
        <v>424428</v>
      </c>
      <c r="FA50" s="25">
        <v>418244</v>
      </c>
      <c r="FB50" s="25">
        <v>454981</v>
      </c>
      <c r="FC50" s="25">
        <v>429250</v>
      </c>
      <c r="FD50" s="25">
        <v>445998</v>
      </c>
      <c r="FE50" s="25">
        <v>490766</v>
      </c>
      <c r="FF50" s="25">
        <v>440218</v>
      </c>
      <c r="FG50" s="25">
        <v>463604</v>
      </c>
      <c r="FH50" s="25">
        <v>382960</v>
      </c>
      <c r="FI50" s="25">
        <v>384450</v>
      </c>
      <c r="FJ50" s="25">
        <v>391302</v>
      </c>
    </row>
    <row r="51" spans="1:166" x14ac:dyDescent="0.4">
      <c r="A51" s="33" t="s">
        <v>14</v>
      </c>
      <c r="B51" s="22">
        <v>8459170</v>
      </c>
      <c r="C51" s="22">
        <v>8337233</v>
      </c>
      <c r="D51" s="22">
        <v>8461067</v>
      </c>
      <c r="E51" s="22">
        <v>8553201</v>
      </c>
      <c r="F51" s="22">
        <v>8712117</v>
      </c>
      <c r="G51" s="22">
        <v>8747799</v>
      </c>
      <c r="H51" s="22">
        <v>8850711</v>
      </c>
      <c r="I51" s="22">
        <v>8922458</v>
      </c>
      <c r="J51" s="22">
        <v>9019483</v>
      </c>
      <c r="K51" s="22">
        <v>9211758</v>
      </c>
      <c r="L51" s="22">
        <v>9467624</v>
      </c>
      <c r="M51" s="22">
        <v>9646126</v>
      </c>
      <c r="N51" s="22">
        <v>9717081</v>
      </c>
      <c r="O51" s="22">
        <v>9914103</v>
      </c>
      <c r="P51" s="22">
        <v>9995852</v>
      </c>
      <c r="Q51" s="22">
        <v>9874358</v>
      </c>
      <c r="R51" s="22">
        <v>9864856</v>
      </c>
      <c r="S51" s="22">
        <v>9881705</v>
      </c>
      <c r="T51" s="22">
        <v>9951329</v>
      </c>
      <c r="U51" s="22">
        <v>10167969</v>
      </c>
      <c r="V51" s="22">
        <v>10104875</v>
      </c>
      <c r="W51" s="22">
        <v>10172047</v>
      </c>
      <c r="X51" s="22">
        <v>10311991</v>
      </c>
      <c r="Y51" s="22">
        <v>10189800</v>
      </c>
      <c r="Z51" s="22">
        <v>12082211</v>
      </c>
      <c r="AA51" s="22">
        <v>12531049</v>
      </c>
      <c r="AB51" s="22">
        <v>12572601</v>
      </c>
      <c r="AC51" s="22">
        <v>12423522</v>
      </c>
      <c r="AD51" s="22">
        <v>12580417</v>
      </c>
      <c r="AE51" s="22">
        <v>12777878</v>
      </c>
      <c r="AF51" s="22">
        <v>12755354</v>
      </c>
      <c r="AG51" s="22">
        <v>13067673</v>
      </c>
      <c r="AH51" s="22">
        <v>12865572</v>
      </c>
      <c r="AI51" s="22">
        <v>12901507</v>
      </c>
      <c r="AJ51" s="22">
        <v>13100650</v>
      </c>
      <c r="AK51" s="22">
        <v>13220117</v>
      </c>
      <c r="AL51" s="22">
        <v>13293487</v>
      </c>
      <c r="AM51" s="22">
        <v>13262886</v>
      </c>
      <c r="AN51" s="22">
        <v>13156667</v>
      </c>
      <c r="AO51" s="22">
        <v>13300747</v>
      </c>
      <c r="AP51" s="22">
        <v>13627164</v>
      </c>
      <c r="AQ51" s="22">
        <v>13699319</v>
      </c>
      <c r="AR51" s="22">
        <v>13837422</v>
      </c>
      <c r="AS51" s="22">
        <v>13900680</v>
      </c>
      <c r="AT51" s="22">
        <v>13856255</v>
      </c>
      <c r="AU51" s="22">
        <v>13971383</v>
      </c>
      <c r="AV51" s="22">
        <v>14076541</v>
      </c>
      <c r="AW51" s="22">
        <v>14248971</v>
      </c>
      <c r="AX51" s="22">
        <v>15118343</v>
      </c>
      <c r="AY51" s="22">
        <v>15259861</v>
      </c>
      <c r="AZ51" s="22">
        <v>15413199</v>
      </c>
      <c r="BA51" s="22">
        <v>15647819</v>
      </c>
      <c r="BB51" s="22">
        <v>15794754</v>
      </c>
      <c r="BC51" s="22">
        <v>16217545</v>
      </c>
      <c r="BD51" s="22">
        <v>16370584</v>
      </c>
      <c r="BE51" s="22">
        <v>16769875</v>
      </c>
      <c r="BF51" s="22">
        <v>17017447</v>
      </c>
      <c r="BG51" s="22">
        <v>17187086</v>
      </c>
      <c r="BH51" s="22">
        <v>17484653</v>
      </c>
      <c r="BI51" s="22">
        <v>17615654</v>
      </c>
      <c r="BJ51" s="22">
        <v>18266900</v>
      </c>
      <c r="BK51" s="22">
        <v>18216828</v>
      </c>
      <c r="BL51" s="22">
        <v>18488312</v>
      </c>
      <c r="BM51" s="22">
        <v>18520111</v>
      </c>
      <c r="BN51" s="22">
        <v>18583182</v>
      </c>
      <c r="BO51" s="22">
        <v>18656788</v>
      </c>
      <c r="BP51" s="22">
        <v>18734603</v>
      </c>
      <c r="BQ51" s="22">
        <v>18934458</v>
      </c>
      <c r="BR51" s="22">
        <v>18961421</v>
      </c>
      <c r="BS51" s="22">
        <v>18894503</v>
      </c>
      <c r="BT51" s="22">
        <v>18916950</v>
      </c>
      <c r="BU51" s="22">
        <v>19068374</v>
      </c>
      <c r="BV51" s="22">
        <v>19240921</v>
      </c>
      <c r="BW51" s="22">
        <v>19390410</v>
      </c>
      <c r="BX51" s="22">
        <v>19488537</v>
      </c>
      <c r="BY51" s="22">
        <v>19870690</v>
      </c>
      <c r="BZ51" s="22">
        <v>20505571</v>
      </c>
      <c r="CA51" s="22">
        <v>20712198</v>
      </c>
      <c r="CB51" s="22">
        <v>20880430</v>
      </c>
      <c r="CC51" s="22">
        <v>21355570</v>
      </c>
      <c r="CD51" s="22">
        <v>21395200</v>
      </c>
      <c r="CE51" s="22">
        <v>21499980</v>
      </c>
      <c r="CF51" s="22">
        <v>21903399</v>
      </c>
      <c r="CG51" s="22">
        <v>22128516</v>
      </c>
      <c r="CH51" s="22">
        <v>22465995</v>
      </c>
      <c r="CI51" s="22">
        <v>22386053</v>
      </c>
      <c r="CJ51" s="22">
        <v>23240981</v>
      </c>
      <c r="CK51" s="22">
        <v>23300006</v>
      </c>
      <c r="CL51" s="22">
        <v>23648702</v>
      </c>
      <c r="CM51" s="22">
        <v>23879754</v>
      </c>
      <c r="CN51" s="22">
        <v>24311017</v>
      </c>
      <c r="CO51" s="22">
        <v>24770649</v>
      </c>
      <c r="CP51" s="22">
        <v>25081483</v>
      </c>
      <c r="CQ51" s="22">
        <v>25890070</v>
      </c>
      <c r="CR51" s="22">
        <v>27483939</v>
      </c>
      <c r="CS51" s="22">
        <v>29494454</v>
      </c>
      <c r="CT51" s="22">
        <v>30244115</v>
      </c>
      <c r="CU51" s="22">
        <v>29811100</v>
      </c>
      <c r="CV51" s="22">
        <v>30084884</v>
      </c>
      <c r="CW51" s="22">
        <v>30584515</v>
      </c>
      <c r="CX51" s="22">
        <v>30989590</v>
      </c>
      <c r="CY51" s="22">
        <v>31286390</v>
      </c>
      <c r="CZ51" s="22">
        <v>31382172</v>
      </c>
      <c r="DA51" s="22">
        <v>31611596</v>
      </c>
      <c r="DB51" s="22">
        <v>31915603</v>
      </c>
      <c r="DC51" s="22">
        <v>32279373</v>
      </c>
      <c r="DD51" s="22">
        <v>32332005</v>
      </c>
      <c r="DE51" s="22">
        <v>32508697</v>
      </c>
      <c r="DF51" s="22">
        <v>32529912</v>
      </c>
      <c r="DG51" s="22">
        <v>32480740</v>
      </c>
      <c r="DH51" s="22">
        <v>32472413</v>
      </c>
      <c r="DI51" s="22">
        <v>32344326</v>
      </c>
      <c r="DJ51" s="25">
        <v>32142710</v>
      </c>
      <c r="DK51" s="25">
        <v>32332754</v>
      </c>
      <c r="DL51" s="25">
        <v>32312923</v>
      </c>
      <c r="DM51" s="25">
        <v>31949032</v>
      </c>
      <c r="DN51" s="25">
        <v>32194611</v>
      </c>
      <c r="DO51" s="25">
        <v>32305463</v>
      </c>
      <c r="DP51" s="25">
        <v>32380104</v>
      </c>
      <c r="DQ51" s="25">
        <v>33665220</v>
      </c>
      <c r="DR51" s="25">
        <v>35514615</v>
      </c>
      <c r="DS51" s="25">
        <v>35479871</v>
      </c>
      <c r="DT51" s="25">
        <v>35865675</v>
      </c>
      <c r="DU51" s="25">
        <v>36063092</v>
      </c>
      <c r="DV51" s="25">
        <v>36641846</v>
      </c>
      <c r="DW51" s="25">
        <v>36883401</v>
      </c>
      <c r="DX51" s="25">
        <v>37387494</v>
      </c>
      <c r="DY51" s="25">
        <v>37989365</v>
      </c>
      <c r="DZ51" s="25">
        <v>38286946</v>
      </c>
      <c r="EA51" s="25">
        <v>38477407</v>
      </c>
      <c r="EB51" s="25">
        <v>38555137</v>
      </c>
      <c r="EC51" s="25">
        <v>38990651</v>
      </c>
      <c r="ED51" s="25">
        <v>40433573</v>
      </c>
      <c r="EE51" s="25">
        <v>40614981</v>
      </c>
      <c r="EF51" s="25">
        <v>40910570</v>
      </c>
      <c r="EG51" s="25">
        <v>41222639</v>
      </c>
      <c r="EH51" s="25">
        <v>41284860</v>
      </c>
      <c r="EI51" s="25">
        <v>41574602</v>
      </c>
      <c r="EJ51" s="25">
        <f t="shared" si="0"/>
        <v>187528</v>
      </c>
      <c r="EK51" s="25">
        <v>41762130</v>
      </c>
      <c r="EL51" s="25">
        <f t="shared" si="1"/>
        <v>63834</v>
      </c>
      <c r="EM51" s="25">
        <v>41825964</v>
      </c>
      <c r="EN51" s="25">
        <f t="shared" si="2"/>
        <v>789514</v>
      </c>
      <c r="EO51" s="25">
        <v>42615478</v>
      </c>
      <c r="EP51" s="25">
        <f t="shared" si="3"/>
        <v>634262</v>
      </c>
      <c r="EQ51" s="25">
        <v>43249740</v>
      </c>
      <c r="ER51" s="25">
        <f t="shared" si="4"/>
        <v>216161</v>
      </c>
      <c r="ES51" s="25">
        <v>43465901</v>
      </c>
      <c r="ET51" s="25">
        <f t="shared" si="5"/>
        <v>535463</v>
      </c>
      <c r="EU51" s="25">
        <v>44001364</v>
      </c>
      <c r="EV51" s="25">
        <f t="shared" si="6"/>
        <v>3864182</v>
      </c>
      <c r="EW51" s="25">
        <v>47865546</v>
      </c>
      <c r="EX51" s="25">
        <v>48116579</v>
      </c>
      <c r="EY51" s="25">
        <v>49122213</v>
      </c>
      <c r="EZ51" s="25">
        <v>50171589</v>
      </c>
      <c r="FA51" s="25">
        <v>51442273</v>
      </c>
      <c r="FB51" s="25">
        <v>52025806</v>
      </c>
      <c r="FC51" s="25">
        <v>52720496</v>
      </c>
      <c r="FD51" s="25">
        <v>53550395</v>
      </c>
      <c r="FE51" s="25">
        <v>54540899</v>
      </c>
      <c r="FF51" s="25">
        <v>54936000</v>
      </c>
      <c r="FG51" s="25">
        <v>56136525</v>
      </c>
      <c r="FH51" s="25">
        <v>58064110</v>
      </c>
      <c r="FI51" s="25">
        <v>59963775</v>
      </c>
      <c r="FJ51" s="25">
        <v>60194193</v>
      </c>
    </row>
    <row r="52" spans="1:166" x14ac:dyDescent="0.4">
      <c r="A52" s="33" t="s">
        <v>27</v>
      </c>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v>1222726</v>
      </c>
      <c r="BW52" s="22">
        <v>1471603</v>
      </c>
      <c r="BX52" s="22">
        <v>1348941</v>
      </c>
      <c r="BY52" s="22">
        <v>1401520</v>
      </c>
      <c r="BZ52" s="22">
        <v>1380261</v>
      </c>
      <c r="CA52" s="22">
        <v>1374125</v>
      </c>
      <c r="CB52" s="22">
        <v>1455933</v>
      </c>
      <c r="CC52" s="22">
        <v>1429818</v>
      </c>
      <c r="CD52" s="22">
        <v>1419547</v>
      </c>
      <c r="CE52" s="22">
        <v>1408533</v>
      </c>
      <c r="CF52" s="22">
        <v>1394624</v>
      </c>
      <c r="CG52" s="22">
        <v>1390810</v>
      </c>
      <c r="CH52" s="22">
        <v>1745940</v>
      </c>
      <c r="CI52" s="22">
        <v>1921937</v>
      </c>
      <c r="CJ52" s="22">
        <v>2043250</v>
      </c>
      <c r="CK52" s="22">
        <v>2143670</v>
      </c>
      <c r="CL52" s="22">
        <v>2397967</v>
      </c>
      <c r="CM52" s="22">
        <v>2147815</v>
      </c>
      <c r="CN52" s="22">
        <v>2410761</v>
      </c>
      <c r="CO52" s="22">
        <v>2442657</v>
      </c>
      <c r="CP52" s="22">
        <v>2827946</v>
      </c>
      <c r="CQ52" s="22">
        <v>2811150</v>
      </c>
      <c r="CR52" s="22">
        <v>2738842</v>
      </c>
      <c r="CS52" s="22">
        <v>2820802</v>
      </c>
      <c r="CT52" s="22">
        <v>2752476</v>
      </c>
      <c r="CU52" s="22">
        <v>2378260</v>
      </c>
      <c r="CV52" s="22">
        <v>2386442</v>
      </c>
      <c r="CW52" s="22">
        <v>2290881</v>
      </c>
      <c r="CX52" s="22">
        <v>2112754</v>
      </c>
      <c r="CY52" s="22">
        <v>2111922</v>
      </c>
      <c r="CZ52" s="22">
        <v>1883015</v>
      </c>
      <c r="DA52" s="22">
        <v>2382287</v>
      </c>
      <c r="DB52" s="22">
        <v>2022286</v>
      </c>
      <c r="DC52" s="22">
        <v>1983820</v>
      </c>
      <c r="DD52" s="22">
        <v>2096922</v>
      </c>
      <c r="DE52" s="22">
        <v>2218871</v>
      </c>
      <c r="DF52" s="22">
        <v>2216537</v>
      </c>
      <c r="DG52" s="22">
        <v>2452764</v>
      </c>
      <c r="DH52" s="22">
        <v>2373944</v>
      </c>
      <c r="DI52" s="22">
        <v>2451045</v>
      </c>
      <c r="DJ52" s="25">
        <v>2348099</v>
      </c>
      <c r="DK52" s="25">
        <v>2521138</v>
      </c>
      <c r="DL52" s="25">
        <v>2549999</v>
      </c>
      <c r="DM52" s="25">
        <v>2088083</v>
      </c>
      <c r="DN52" s="25">
        <v>2638827</v>
      </c>
      <c r="DO52" s="25">
        <v>2642138</v>
      </c>
      <c r="DP52" s="25">
        <v>2826593</v>
      </c>
      <c r="DQ52" s="25">
        <v>2683683</v>
      </c>
      <c r="DR52" s="25">
        <v>2313728</v>
      </c>
      <c r="DS52" s="25">
        <v>2113669</v>
      </c>
      <c r="DT52" s="25">
        <v>2513972</v>
      </c>
      <c r="DU52" s="25">
        <v>2503629</v>
      </c>
      <c r="DV52" s="25">
        <v>2863638</v>
      </c>
      <c r="DW52" s="25">
        <v>2780232</v>
      </c>
      <c r="DX52" s="25">
        <v>2704819</v>
      </c>
      <c r="DY52" s="25">
        <v>3130489</v>
      </c>
      <c r="DZ52" s="25">
        <v>2660902</v>
      </c>
      <c r="EA52" s="25">
        <v>2753166</v>
      </c>
      <c r="EB52" s="25">
        <v>2802208</v>
      </c>
      <c r="EC52" s="25">
        <v>3122462</v>
      </c>
      <c r="ED52" s="25">
        <v>3198083</v>
      </c>
      <c r="EE52" s="25">
        <v>3532140</v>
      </c>
      <c r="EF52" s="25">
        <v>3240326</v>
      </c>
      <c r="EG52" s="25">
        <v>3363105</v>
      </c>
      <c r="EH52" s="25">
        <v>3065639</v>
      </c>
      <c r="EI52" s="25">
        <v>3092375</v>
      </c>
      <c r="EJ52" s="25">
        <f t="shared" si="0"/>
        <v>58895</v>
      </c>
      <c r="EK52" s="25">
        <v>3151270</v>
      </c>
      <c r="EL52" s="25">
        <f t="shared" si="1"/>
        <v>59449</v>
      </c>
      <c r="EM52" s="25">
        <v>3210719</v>
      </c>
      <c r="EN52" s="25">
        <f t="shared" si="2"/>
        <v>91260</v>
      </c>
      <c r="EO52" s="25">
        <v>3301979</v>
      </c>
      <c r="EP52" s="25">
        <f t="shared" si="3"/>
        <v>-10123</v>
      </c>
      <c r="EQ52" s="25">
        <v>3291856</v>
      </c>
      <c r="ER52" s="25">
        <f t="shared" si="4"/>
        <v>-185848</v>
      </c>
      <c r="ES52" s="25">
        <v>3106008</v>
      </c>
      <c r="ET52" s="25">
        <f t="shared" si="5"/>
        <v>204282</v>
      </c>
      <c r="EU52" s="25">
        <v>3310290</v>
      </c>
      <c r="EV52" s="25">
        <f t="shared" si="6"/>
        <v>3992</v>
      </c>
      <c r="EW52" s="25">
        <v>3314282</v>
      </c>
      <c r="EX52" s="25">
        <v>2942452</v>
      </c>
      <c r="EY52" s="25">
        <v>2872520</v>
      </c>
      <c r="EZ52" s="25">
        <v>3212075</v>
      </c>
      <c r="FA52" s="25">
        <v>3429043</v>
      </c>
      <c r="FB52" s="25">
        <v>3581716</v>
      </c>
      <c r="FC52" s="25">
        <v>3713894</v>
      </c>
      <c r="FD52" s="25">
        <v>3467639</v>
      </c>
      <c r="FE52" s="25">
        <v>3709338</v>
      </c>
      <c r="FF52" s="25">
        <v>4241076</v>
      </c>
      <c r="FG52" s="25">
        <v>4598769</v>
      </c>
      <c r="FH52" s="25">
        <v>4698460</v>
      </c>
      <c r="FI52" s="25">
        <v>4958324</v>
      </c>
      <c r="FJ52" s="25">
        <v>4909315</v>
      </c>
    </row>
    <row r="53" spans="1:166" x14ac:dyDescent="0.4">
      <c r="A53" s="33" t="s">
        <v>30</v>
      </c>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v>18018195</v>
      </c>
      <c r="BW53" s="22">
        <v>17918807</v>
      </c>
      <c r="BX53" s="22">
        <v>18139596</v>
      </c>
      <c r="BY53" s="22">
        <v>18469170</v>
      </c>
      <c r="BZ53" s="22">
        <v>19125310</v>
      </c>
      <c r="CA53" s="22">
        <v>19338072</v>
      </c>
      <c r="CB53" s="22">
        <v>19424498</v>
      </c>
      <c r="CC53" s="22">
        <v>19925752</v>
      </c>
      <c r="CD53" s="22">
        <v>19975652</v>
      </c>
      <c r="CE53" s="22">
        <v>20091447</v>
      </c>
      <c r="CF53" s="22">
        <v>20508775</v>
      </c>
      <c r="CG53" s="22">
        <v>20737706</v>
      </c>
      <c r="CH53" s="22">
        <v>20720055</v>
      </c>
      <c r="CI53" s="22">
        <v>20464116</v>
      </c>
      <c r="CJ53" s="22">
        <v>21197731</v>
      </c>
      <c r="CK53" s="22">
        <v>21156336</v>
      </c>
      <c r="CL53" s="22">
        <v>21250735</v>
      </c>
      <c r="CM53" s="22">
        <v>21731939</v>
      </c>
      <c r="CN53" s="22">
        <v>21900257</v>
      </c>
      <c r="CO53" s="22">
        <v>22327992</v>
      </c>
      <c r="CP53" s="22">
        <v>22253537</v>
      </c>
      <c r="CQ53" s="22">
        <v>23078920</v>
      </c>
      <c r="CR53" s="22">
        <v>24745097</v>
      </c>
      <c r="CS53" s="22">
        <v>26673652</v>
      </c>
      <c r="CT53" s="22">
        <v>27491638</v>
      </c>
      <c r="CU53" s="22">
        <v>27432840</v>
      </c>
      <c r="CV53" s="22">
        <v>27698441</v>
      </c>
      <c r="CW53" s="22">
        <v>28293634</v>
      </c>
      <c r="CX53" s="22">
        <v>28876836</v>
      </c>
      <c r="CY53" s="22">
        <v>29174468</v>
      </c>
      <c r="CZ53" s="22">
        <v>29499157</v>
      </c>
      <c r="DA53" s="22">
        <v>29229309</v>
      </c>
      <c r="DB53" s="22">
        <v>29893317</v>
      </c>
      <c r="DC53" s="22">
        <v>30295553</v>
      </c>
      <c r="DD53" s="22">
        <v>30235083</v>
      </c>
      <c r="DE53" s="22">
        <v>30289827</v>
      </c>
      <c r="DF53" s="22">
        <v>30313375</v>
      </c>
      <c r="DG53" s="22">
        <v>30027976</v>
      </c>
      <c r="DH53" s="22">
        <v>30098469</v>
      </c>
      <c r="DI53" s="22">
        <v>29893281</v>
      </c>
      <c r="DJ53" s="25">
        <v>29794610</v>
      </c>
      <c r="DK53" s="25">
        <v>29811616</v>
      </c>
      <c r="DL53" s="25">
        <v>29762924</v>
      </c>
      <c r="DM53" s="25">
        <v>29860949</v>
      </c>
      <c r="DN53" s="25">
        <v>29555784</v>
      </c>
      <c r="DO53" s="25">
        <v>29663325</v>
      </c>
      <c r="DP53" s="25">
        <v>29553511</v>
      </c>
      <c r="DQ53" s="25">
        <v>30981537</v>
      </c>
      <c r="DR53" s="25">
        <v>33200886</v>
      </c>
      <c r="DS53" s="25">
        <v>33366202</v>
      </c>
      <c r="DT53" s="25">
        <v>33351703</v>
      </c>
      <c r="DU53" s="25">
        <v>33559463</v>
      </c>
      <c r="DV53" s="25">
        <v>33778209</v>
      </c>
      <c r="DW53" s="25">
        <v>34103170</v>
      </c>
      <c r="DX53" s="25">
        <v>34682674</v>
      </c>
      <c r="DY53" s="25">
        <v>34858876</v>
      </c>
      <c r="DZ53" s="25">
        <v>35626043</v>
      </c>
      <c r="EA53" s="25">
        <v>35724242</v>
      </c>
      <c r="EB53" s="25">
        <v>35752929</v>
      </c>
      <c r="EC53" s="25">
        <v>35868189</v>
      </c>
      <c r="ED53" s="25">
        <v>37235489</v>
      </c>
      <c r="EE53" s="25">
        <v>37082841</v>
      </c>
      <c r="EF53" s="25">
        <v>37670244</v>
      </c>
      <c r="EG53" s="25">
        <v>37859534</v>
      </c>
      <c r="EH53" s="25">
        <v>38219221</v>
      </c>
      <c r="EI53" s="25">
        <v>38482227</v>
      </c>
      <c r="EJ53" s="25">
        <f t="shared" si="0"/>
        <v>128633</v>
      </c>
      <c r="EK53" s="25">
        <v>38610860</v>
      </c>
      <c r="EL53" s="25">
        <f t="shared" si="1"/>
        <v>4385</v>
      </c>
      <c r="EM53" s="25">
        <v>38615245</v>
      </c>
      <c r="EN53" s="25">
        <f t="shared" si="2"/>
        <v>698254</v>
      </c>
      <c r="EO53" s="25">
        <v>39313499</v>
      </c>
      <c r="EP53" s="25">
        <f t="shared" si="3"/>
        <v>644385</v>
      </c>
      <c r="EQ53" s="25">
        <v>39957884</v>
      </c>
      <c r="ER53" s="25">
        <f t="shared" si="4"/>
        <v>402009</v>
      </c>
      <c r="ES53" s="25">
        <v>40359893</v>
      </c>
      <c r="ET53" s="25">
        <f t="shared" si="5"/>
        <v>331182</v>
      </c>
      <c r="EU53" s="25">
        <v>40691075</v>
      </c>
      <c r="EV53" s="25">
        <f t="shared" si="6"/>
        <v>3860189</v>
      </c>
      <c r="EW53" s="25">
        <v>44551264</v>
      </c>
      <c r="EX53" s="25">
        <v>45174128</v>
      </c>
      <c r="EY53" s="25">
        <v>46249693</v>
      </c>
      <c r="EZ53" s="25">
        <v>46959514</v>
      </c>
      <c r="FA53" s="25">
        <v>48013230</v>
      </c>
      <c r="FB53" s="25">
        <v>48444090</v>
      </c>
      <c r="FC53" s="25">
        <v>49006602</v>
      </c>
      <c r="FD53" s="25">
        <v>50082757</v>
      </c>
      <c r="FE53" s="25">
        <v>50831561</v>
      </c>
      <c r="FF53" s="25">
        <v>50694924</v>
      </c>
      <c r="FG53" s="25">
        <v>51537756</v>
      </c>
      <c r="FH53" s="25">
        <v>53365651</v>
      </c>
      <c r="FI53" s="25">
        <v>55005451</v>
      </c>
      <c r="FJ53" s="25">
        <v>55284878</v>
      </c>
    </row>
    <row r="54" spans="1:166" x14ac:dyDescent="0.4">
      <c r="A54" s="34" t="s">
        <v>11</v>
      </c>
      <c r="B54" s="7">
        <v>0</v>
      </c>
      <c r="C54" s="7">
        <v>0</v>
      </c>
      <c r="D54" s="7">
        <v>0</v>
      </c>
      <c r="E54" s="7">
        <v>0</v>
      </c>
      <c r="F54" s="7">
        <v>0</v>
      </c>
      <c r="G54" s="7">
        <v>0</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c r="AF54" s="7">
        <v>0</v>
      </c>
      <c r="AG54" s="7">
        <v>0</v>
      </c>
      <c r="AH54" s="7">
        <v>0</v>
      </c>
      <c r="AI54" s="7">
        <v>0</v>
      </c>
      <c r="AJ54" s="7">
        <v>0</v>
      </c>
      <c r="AK54" s="7">
        <v>0</v>
      </c>
      <c r="AL54" s="7">
        <v>0</v>
      </c>
      <c r="AM54" s="7">
        <v>0</v>
      </c>
      <c r="AN54" s="7">
        <v>0</v>
      </c>
      <c r="AO54" s="7">
        <v>0</v>
      </c>
      <c r="AP54" s="7">
        <v>0</v>
      </c>
      <c r="AQ54" s="7">
        <v>0</v>
      </c>
      <c r="AR54" s="7">
        <v>0</v>
      </c>
      <c r="AS54" s="7">
        <v>0</v>
      </c>
      <c r="AT54" s="7">
        <v>0</v>
      </c>
      <c r="AU54" s="7">
        <v>0</v>
      </c>
      <c r="AV54" s="7">
        <v>0</v>
      </c>
      <c r="AW54" s="7">
        <v>0</v>
      </c>
      <c r="AX54" s="7">
        <v>0</v>
      </c>
      <c r="AY54" s="7">
        <v>0</v>
      </c>
      <c r="AZ54" s="7">
        <v>0</v>
      </c>
      <c r="BA54" s="7">
        <v>0</v>
      </c>
      <c r="BB54" s="7">
        <v>0</v>
      </c>
      <c r="BC54" s="7">
        <v>0</v>
      </c>
      <c r="BD54" s="7">
        <v>0</v>
      </c>
      <c r="BE54" s="7">
        <v>0</v>
      </c>
      <c r="BF54" s="7">
        <v>149530</v>
      </c>
      <c r="BG54" s="7">
        <v>149530</v>
      </c>
      <c r="BH54" s="7">
        <v>325158</v>
      </c>
      <c r="BI54" s="7">
        <v>303962</v>
      </c>
      <c r="BJ54" s="7">
        <v>352321</v>
      </c>
      <c r="BK54" s="7">
        <v>493641</v>
      </c>
      <c r="BL54" s="7">
        <v>700189</v>
      </c>
      <c r="BM54" s="7">
        <v>1128680</v>
      </c>
      <c r="BN54" s="7">
        <v>1041898</v>
      </c>
      <c r="BO54" s="7">
        <v>1205347</v>
      </c>
      <c r="BP54" s="7">
        <v>1112149</v>
      </c>
      <c r="BQ54" s="7">
        <v>1438878</v>
      </c>
      <c r="BR54" s="7">
        <v>1400158</v>
      </c>
      <c r="BS54" s="7">
        <v>1486459</v>
      </c>
      <c r="BT54" s="7">
        <v>1432800</v>
      </c>
      <c r="BU54" s="7">
        <v>1616930</v>
      </c>
      <c r="BV54" s="7">
        <v>1374230</v>
      </c>
      <c r="BW54" s="7">
        <v>1500000</v>
      </c>
      <c r="BX54" s="7">
        <v>1500000</v>
      </c>
      <c r="BY54" s="7">
        <v>1500000</v>
      </c>
      <c r="BZ54" s="7">
        <v>1500000</v>
      </c>
      <c r="CA54" s="7">
        <v>1600000</v>
      </c>
      <c r="CB54" s="7">
        <v>1700000</v>
      </c>
      <c r="CC54" s="7">
        <v>1500000</v>
      </c>
      <c r="CD54" s="7">
        <v>1200000</v>
      </c>
      <c r="CE54" s="7">
        <v>800000</v>
      </c>
      <c r="CF54" s="7">
        <v>1100000</v>
      </c>
      <c r="CG54" s="7">
        <v>1500000</v>
      </c>
      <c r="CH54" s="7">
        <v>1936705</v>
      </c>
      <c r="CI54" s="7">
        <v>2052691</v>
      </c>
      <c r="CJ54" s="7">
        <v>1873418</v>
      </c>
      <c r="CK54" s="7">
        <v>1544228</v>
      </c>
      <c r="CL54" s="7">
        <v>1519165</v>
      </c>
      <c r="CM54" s="7">
        <v>1109740</v>
      </c>
      <c r="CN54" s="7">
        <v>708128</v>
      </c>
      <c r="CO54" s="7">
        <v>707708</v>
      </c>
      <c r="CP54" s="7">
        <v>830037</v>
      </c>
      <c r="CQ54" s="7">
        <v>818535</v>
      </c>
      <c r="CR54" s="7">
        <v>698438</v>
      </c>
      <c r="CS54" s="7">
        <v>606413</v>
      </c>
      <c r="CT54" s="7">
        <v>574227</v>
      </c>
      <c r="CU54" s="7">
        <v>555056</v>
      </c>
      <c r="CV54" s="7">
        <v>545212</v>
      </c>
      <c r="CW54" s="7">
        <v>645069</v>
      </c>
      <c r="CX54" s="7">
        <v>658450</v>
      </c>
      <c r="CY54" s="7">
        <v>676913</v>
      </c>
      <c r="CZ54" s="7">
        <v>626380</v>
      </c>
      <c r="DA54" s="7">
        <v>596104</v>
      </c>
      <c r="DB54" s="7">
        <v>575867</v>
      </c>
      <c r="DC54" s="7">
        <v>603353</v>
      </c>
      <c r="DD54" s="7">
        <v>467491</v>
      </c>
      <c r="DE54" s="7">
        <v>163898</v>
      </c>
      <c r="DF54" s="7">
        <v>0</v>
      </c>
      <c r="DG54" s="7">
        <v>0</v>
      </c>
      <c r="DH54" s="7">
        <v>0</v>
      </c>
      <c r="DI54" s="7">
        <v>0</v>
      </c>
      <c r="DJ54" s="7">
        <v>0</v>
      </c>
      <c r="DK54" s="7">
        <v>0</v>
      </c>
      <c r="DL54" s="7">
        <v>0</v>
      </c>
      <c r="DM54" s="7">
        <v>0</v>
      </c>
      <c r="DN54" s="7">
        <v>0</v>
      </c>
      <c r="DO54" s="7">
        <v>0</v>
      </c>
      <c r="DP54" s="7">
        <v>0</v>
      </c>
      <c r="DQ54" s="7">
        <v>0</v>
      </c>
      <c r="DR54" s="7">
        <v>0</v>
      </c>
      <c r="DS54" s="7">
        <v>0</v>
      </c>
      <c r="DT54" s="7">
        <v>0</v>
      </c>
      <c r="DU54" s="7">
        <v>0</v>
      </c>
      <c r="DV54" s="7">
        <v>0</v>
      </c>
      <c r="DW54" s="7">
        <v>0</v>
      </c>
      <c r="DX54" s="7">
        <v>0</v>
      </c>
      <c r="DY54" s="7">
        <v>0</v>
      </c>
      <c r="DZ54" s="7">
        <v>0</v>
      </c>
      <c r="EA54" s="7">
        <v>0</v>
      </c>
      <c r="EB54" s="7">
        <v>0</v>
      </c>
      <c r="EC54" s="7">
        <v>0</v>
      </c>
      <c r="ED54" s="7">
        <v>0</v>
      </c>
      <c r="EE54" s="7">
        <v>0</v>
      </c>
      <c r="EF54" s="7">
        <v>0</v>
      </c>
      <c r="EG54" s="7">
        <v>0</v>
      </c>
      <c r="EH54" s="7">
        <v>0</v>
      </c>
      <c r="EI54" s="7">
        <v>0</v>
      </c>
      <c r="EJ54" s="25">
        <f t="shared" si="0"/>
        <v>0</v>
      </c>
      <c r="EK54" s="7">
        <v>0</v>
      </c>
      <c r="EL54" s="25">
        <f t="shared" si="1"/>
        <v>0</v>
      </c>
      <c r="EM54" s="7">
        <v>0</v>
      </c>
      <c r="EN54" s="25">
        <f t="shared" si="2"/>
        <v>0</v>
      </c>
      <c r="EO54" s="7">
        <v>0</v>
      </c>
      <c r="EP54" s="25">
        <f t="shared" si="3"/>
        <v>0</v>
      </c>
      <c r="EQ54" s="7">
        <v>0</v>
      </c>
      <c r="ER54" s="25">
        <f t="shared" si="4"/>
        <v>0</v>
      </c>
      <c r="ES54" s="7">
        <v>0</v>
      </c>
      <c r="ET54" s="25">
        <f t="shared" si="5"/>
        <v>0</v>
      </c>
      <c r="EU54" s="7">
        <v>0</v>
      </c>
      <c r="EV54" s="25">
        <f t="shared" si="6"/>
        <v>0</v>
      </c>
      <c r="EW54" s="7">
        <v>0</v>
      </c>
      <c r="EX54" s="7">
        <v>0</v>
      </c>
      <c r="EY54" s="7">
        <v>0</v>
      </c>
      <c r="EZ54" s="7">
        <v>0</v>
      </c>
      <c r="FA54" s="7">
        <v>0</v>
      </c>
      <c r="FB54" s="7">
        <v>0</v>
      </c>
      <c r="FC54" s="7">
        <v>0</v>
      </c>
      <c r="FD54" s="7">
        <v>0</v>
      </c>
      <c r="FE54" s="7">
        <v>0</v>
      </c>
      <c r="FF54" s="7">
        <v>0</v>
      </c>
      <c r="FG54" s="7">
        <v>0</v>
      </c>
      <c r="FH54" s="7">
        <v>0</v>
      </c>
      <c r="FI54" s="7">
        <v>0</v>
      </c>
      <c r="FJ54" s="7">
        <v>0</v>
      </c>
    </row>
    <row r="55" spans="1:166" x14ac:dyDescent="0.4">
      <c r="A55" s="35" t="s">
        <v>13</v>
      </c>
      <c r="B55" s="7">
        <v>0</v>
      </c>
      <c r="C55" s="7">
        <v>0</v>
      </c>
      <c r="D55" s="7">
        <v>0</v>
      </c>
      <c r="E55" s="7">
        <v>0</v>
      </c>
      <c r="F55" s="7">
        <v>0</v>
      </c>
      <c r="G55" s="7">
        <v>0</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c r="AF55" s="7">
        <v>0</v>
      </c>
      <c r="AG55" s="7">
        <v>0</v>
      </c>
      <c r="AH55" s="7">
        <v>0</v>
      </c>
      <c r="AI55" s="7">
        <v>0</v>
      </c>
      <c r="AJ55" s="7">
        <v>0</v>
      </c>
      <c r="AK55" s="7">
        <v>0</v>
      </c>
      <c r="AL55" s="7">
        <v>0</v>
      </c>
      <c r="AM55" s="7">
        <v>0</v>
      </c>
      <c r="AN55" s="7">
        <v>0</v>
      </c>
      <c r="AO55" s="7">
        <v>0</v>
      </c>
      <c r="AP55" s="7">
        <v>0</v>
      </c>
      <c r="AQ55" s="7">
        <v>0</v>
      </c>
      <c r="AR55" s="7">
        <v>0</v>
      </c>
      <c r="AS55" s="7">
        <v>0</v>
      </c>
      <c r="AT55" s="7">
        <v>0</v>
      </c>
      <c r="AU55" s="7">
        <v>0</v>
      </c>
      <c r="AV55" s="7">
        <v>0</v>
      </c>
      <c r="AW55" s="7">
        <v>0</v>
      </c>
      <c r="AX55" s="7">
        <v>0</v>
      </c>
      <c r="AY55" s="7">
        <v>0</v>
      </c>
      <c r="AZ55" s="7">
        <v>0</v>
      </c>
      <c r="BA55" s="7">
        <v>0</v>
      </c>
      <c r="BB55" s="7">
        <v>0</v>
      </c>
      <c r="BC55" s="7">
        <v>0</v>
      </c>
      <c r="BD55" s="7">
        <v>0</v>
      </c>
      <c r="BE55" s="7">
        <v>0</v>
      </c>
      <c r="BF55" s="7">
        <v>149530</v>
      </c>
      <c r="BG55" s="7">
        <v>149530</v>
      </c>
      <c r="BH55" s="7">
        <v>325158</v>
      </c>
      <c r="BI55" s="7">
        <v>303962</v>
      </c>
      <c r="BJ55" s="7">
        <v>352321</v>
      </c>
      <c r="BK55" s="7">
        <v>493641</v>
      </c>
      <c r="BL55" s="7">
        <v>700189</v>
      </c>
      <c r="BM55" s="7">
        <v>1128680</v>
      </c>
      <c r="BN55" s="7">
        <v>1041898</v>
      </c>
      <c r="BO55" s="7">
        <v>1205347</v>
      </c>
      <c r="BP55" s="7">
        <v>1112149</v>
      </c>
      <c r="BQ55" s="7">
        <v>1438878</v>
      </c>
      <c r="BR55" s="7">
        <v>1400158</v>
      </c>
      <c r="BS55" s="7">
        <v>1486459</v>
      </c>
      <c r="BT55" s="7">
        <v>1432800</v>
      </c>
      <c r="BU55" s="7">
        <v>1616930</v>
      </c>
      <c r="BV55" s="7">
        <v>1374230</v>
      </c>
      <c r="BW55" s="7">
        <v>1500000</v>
      </c>
      <c r="BX55" s="7">
        <v>1500000</v>
      </c>
      <c r="BY55" s="7">
        <v>1500000</v>
      </c>
      <c r="BZ55" s="7">
        <v>1500000</v>
      </c>
      <c r="CA55" s="7">
        <v>1600000</v>
      </c>
      <c r="CB55" s="7">
        <v>1700000</v>
      </c>
      <c r="CC55" s="7">
        <v>1500000</v>
      </c>
      <c r="CD55" s="7">
        <v>1200000</v>
      </c>
      <c r="CE55" s="7">
        <v>800000</v>
      </c>
      <c r="CF55" s="7">
        <v>1100000</v>
      </c>
      <c r="CG55" s="7">
        <v>1500000</v>
      </c>
      <c r="CH55" s="7">
        <v>1936705</v>
      </c>
      <c r="CI55" s="7">
        <v>2052691</v>
      </c>
      <c r="CJ55" s="7">
        <v>1873418</v>
      </c>
      <c r="CK55" s="7">
        <v>1544228</v>
      </c>
      <c r="CL55" s="7">
        <v>1519165</v>
      </c>
      <c r="CM55" s="7">
        <v>1109740</v>
      </c>
      <c r="CN55" s="7">
        <v>708128</v>
      </c>
      <c r="CO55" s="7">
        <v>707708</v>
      </c>
      <c r="CP55" s="7">
        <v>830037</v>
      </c>
      <c r="CQ55" s="7">
        <v>818535</v>
      </c>
      <c r="CR55" s="7">
        <v>698438</v>
      </c>
      <c r="CS55" s="7">
        <v>606413</v>
      </c>
      <c r="CT55" s="7">
        <v>574227</v>
      </c>
      <c r="CU55" s="7">
        <v>555056</v>
      </c>
      <c r="CV55" s="7">
        <v>545212</v>
      </c>
      <c r="CW55" s="7">
        <v>645069</v>
      </c>
      <c r="CX55" s="7">
        <v>658450</v>
      </c>
      <c r="CY55" s="7">
        <v>676913</v>
      </c>
      <c r="CZ55" s="7">
        <v>626380</v>
      </c>
      <c r="DA55" s="7">
        <v>596104</v>
      </c>
      <c r="DB55" s="7">
        <v>575867</v>
      </c>
      <c r="DC55" s="7">
        <v>603353</v>
      </c>
      <c r="DD55" s="7">
        <v>467491</v>
      </c>
      <c r="DE55" s="7">
        <v>163898</v>
      </c>
      <c r="DF55" s="7">
        <v>0</v>
      </c>
      <c r="DG55" s="7">
        <v>0</v>
      </c>
      <c r="DH55" s="7">
        <v>0</v>
      </c>
      <c r="DI55" s="7">
        <v>0</v>
      </c>
      <c r="DJ55" s="7">
        <v>0</v>
      </c>
      <c r="DK55" s="7">
        <v>0</v>
      </c>
      <c r="DL55" s="7">
        <v>0</v>
      </c>
      <c r="DM55" s="7">
        <v>0</v>
      </c>
      <c r="DN55" s="7">
        <v>0</v>
      </c>
      <c r="DO55" s="7">
        <v>0</v>
      </c>
      <c r="DP55" s="7">
        <v>0</v>
      </c>
      <c r="DQ55" s="7">
        <v>0</v>
      </c>
      <c r="DR55" s="7">
        <v>0</v>
      </c>
      <c r="DS55" s="7">
        <v>0</v>
      </c>
      <c r="DT55" s="7">
        <v>0</v>
      </c>
      <c r="DU55" s="7">
        <v>0</v>
      </c>
      <c r="DV55" s="7">
        <v>0</v>
      </c>
      <c r="DW55" s="7">
        <v>0</v>
      </c>
      <c r="DX55" s="7">
        <v>0</v>
      </c>
      <c r="DY55" s="7">
        <v>0</v>
      </c>
      <c r="DZ55" s="7">
        <v>0</v>
      </c>
      <c r="EA55" s="7">
        <v>0</v>
      </c>
      <c r="EB55" s="7">
        <v>0</v>
      </c>
      <c r="EC55" s="7">
        <v>0</v>
      </c>
      <c r="ED55" s="7">
        <v>0</v>
      </c>
      <c r="EE55" s="7">
        <v>0</v>
      </c>
      <c r="EF55" s="7">
        <v>0</v>
      </c>
      <c r="EG55" s="7">
        <v>0</v>
      </c>
      <c r="EH55" s="7">
        <v>0</v>
      </c>
      <c r="EI55" s="7">
        <v>0</v>
      </c>
      <c r="EJ55" s="25">
        <f t="shared" si="0"/>
        <v>0</v>
      </c>
      <c r="EK55" s="7">
        <v>0</v>
      </c>
      <c r="EL55" s="25">
        <f t="shared" si="1"/>
        <v>0</v>
      </c>
      <c r="EM55" s="7">
        <v>0</v>
      </c>
      <c r="EN55" s="25">
        <f t="shared" si="2"/>
        <v>0</v>
      </c>
      <c r="EO55" s="7">
        <v>0</v>
      </c>
      <c r="EP55" s="25">
        <f t="shared" si="3"/>
        <v>0</v>
      </c>
      <c r="EQ55" s="7">
        <v>0</v>
      </c>
      <c r="ER55" s="25">
        <f t="shared" si="4"/>
        <v>0</v>
      </c>
      <c r="ES55" s="7">
        <v>0</v>
      </c>
      <c r="ET55" s="25">
        <f t="shared" si="5"/>
        <v>0</v>
      </c>
      <c r="EU55" s="7">
        <v>0</v>
      </c>
      <c r="EV55" s="25">
        <f t="shared" si="6"/>
        <v>0</v>
      </c>
      <c r="EW55" s="7">
        <v>0</v>
      </c>
      <c r="EX55" s="7">
        <v>0</v>
      </c>
      <c r="EY55" s="7">
        <v>0</v>
      </c>
      <c r="EZ55" s="7">
        <v>0</v>
      </c>
      <c r="FA55" s="7">
        <v>0</v>
      </c>
      <c r="FB55" s="7">
        <v>0</v>
      </c>
      <c r="FC55" s="7">
        <v>0</v>
      </c>
      <c r="FD55" s="7">
        <v>0</v>
      </c>
      <c r="FE55" s="7">
        <v>0</v>
      </c>
      <c r="FF55" s="7">
        <v>0</v>
      </c>
      <c r="FG55" s="7">
        <v>0</v>
      </c>
      <c r="FH55" s="7">
        <v>0</v>
      </c>
      <c r="FI55" s="7">
        <v>0</v>
      </c>
      <c r="FJ55" s="7">
        <v>0</v>
      </c>
    </row>
    <row r="56" spans="1:166" x14ac:dyDescent="0.4">
      <c r="A56" s="35" t="s">
        <v>14</v>
      </c>
      <c r="B56" s="7">
        <v>0</v>
      </c>
      <c r="C56" s="7">
        <v>0</v>
      </c>
      <c r="D56" s="7">
        <v>0</v>
      </c>
      <c r="E56" s="7">
        <v>0</v>
      </c>
      <c r="F56" s="7">
        <v>0</v>
      </c>
      <c r="G56" s="7">
        <v>0</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c r="AF56" s="7">
        <v>0</v>
      </c>
      <c r="AG56" s="7">
        <v>0</v>
      </c>
      <c r="AH56" s="7">
        <v>0</v>
      </c>
      <c r="AI56" s="7">
        <v>0</v>
      </c>
      <c r="AJ56" s="7">
        <v>0</v>
      </c>
      <c r="AK56" s="7">
        <v>0</v>
      </c>
      <c r="AL56" s="7">
        <v>0</v>
      </c>
      <c r="AM56" s="7">
        <v>0</v>
      </c>
      <c r="AN56" s="7">
        <v>0</v>
      </c>
      <c r="AO56" s="7">
        <v>0</v>
      </c>
      <c r="AP56" s="7">
        <v>0</v>
      </c>
      <c r="AQ56" s="7">
        <v>0</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0</v>
      </c>
      <c r="BI56" s="7">
        <v>0</v>
      </c>
      <c r="BJ56" s="7">
        <v>0</v>
      </c>
      <c r="BK56" s="7">
        <v>0</v>
      </c>
      <c r="BL56" s="7">
        <v>0</v>
      </c>
      <c r="BM56" s="7">
        <v>0</v>
      </c>
      <c r="BN56" s="7">
        <v>0</v>
      </c>
      <c r="BO56" s="7">
        <v>0</v>
      </c>
      <c r="BP56" s="7">
        <v>0</v>
      </c>
      <c r="BQ56" s="7">
        <v>0</v>
      </c>
      <c r="BR56" s="7">
        <v>0</v>
      </c>
      <c r="BS56" s="7">
        <v>0</v>
      </c>
      <c r="BT56" s="7">
        <v>0</v>
      </c>
      <c r="BU56" s="7">
        <v>0</v>
      </c>
      <c r="BV56" s="7">
        <v>0</v>
      </c>
      <c r="BW56" s="7">
        <v>0</v>
      </c>
      <c r="BX56" s="7">
        <v>0</v>
      </c>
      <c r="BY56" s="7">
        <v>0</v>
      </c>
      <c r="BZ56" s="7">
        <v>0</v>
      </c>
      <c r="CA56" s="7">
        <v>0</v>
      </c>
      <c r="CB56" s="7">
        <v>0</v>
      </c>
      <c r="CC56" s="7">
        <v>0</v>
      </c>
      <c r="CD56" s="7">
        <v>0</v>
      </c>
      <c r="CE56" s="7">
        <v>0</v>
      </c>
      <c r="CF56" s="7">
        <v>0</v>
      </c>
      <c r="CG56" s="7">
        <v>0</v>
      </c>
      <c r="CH56" s="7">
        <v>0</v>
      </c>
      <c r="CI56" s="7">
        <v>0</v>
      </c>
      <c r="CJ56" s="7">
        <v>0</v>
      </c>
      <c r="CK56" s="7">
        <v>0</v>
      </c>
      <c r="CL56" s="7">
        <v>0</v>
      </c>
      <c r="CM56" s="7">
        <v>0</v>
      </c>
      <c r="CN56" s="7">
        <v>0</v>
      </c>
      <c r="CO56" s="7">
        <v>0</v>
      </c>
      <c r="CP56" s="7">
        <v>0</v>
      </c>
      <c r="CQ56" s="7">
        <v>0</v>
      </c>
      <c r="CR56" s="7">
        <v>0</v>
      </c>
      <c r="CS56" s="7">
        <v>0</v>
      </c>
      <c r="CT56" s="7">
        <v>0</v>
      </c>
      <c r="CU56" s="7">
        <v>0</v>
      </c>
      <c r="CV56" s="7">
        <v>0</v>
      </c>
      <c r="CW56" s="7">
        <v>0</v>
      </c>
      <c r="CX56" s="7">
        <v>0</v>
      </c>
      <c r="CY56" s="7">
        <v>0</v>
      </c>
      <c r="CZ56" s="7">
        <v>0</v>
      </c>
      <c r="DA56" s="7">
        <v>0</v>
      </c>
      <c r="DB56" s="7">
        <v>0</v>
      </c>
      <c r="DC56" s="7">
        <v>0</v>
      </c>
      <c r="DD56" s="7">
        <v>0</v>
      </c>
      <c r="DE56" s="7">
        <v>0</v>
      </c>
      <c r="DF56" s="7">
        <v>0</v>
      </c>
      <c r="DG56" s="7">
        <v>0</v>
      </c>
      <c r="DH56" s="7">
        <v>0</v>
      </c>
      <c r="DI56" s="7">
        <v>0</v>
      </c>
      <c r="DJ56" s="7">
        <v>0</v>
      </c>
      <c r="DK56" s="7">
        <v>0</v>
      </c>
      <c r="DL56" s="7">
        <v>0</v>
      </c>
      <c r="DM56" s="7">
        <v>0</v>
      </c>
      <c r="DN56" s="7">
        <v>0</v>
      </c>
      <c r="DO56" s="7">
        <v>0</v>
      </c>
      <c r="DP56" s="7">
        <v>0</v>
      </c>
      <c r="DQ56" s="7">
        <v>0</v>
      </c>
      <c r="DR56" s="7">
        <v>0</v>
      </c>
      <c r="DS56" s="7">
        <v>0</v>
      </c>
      <c r="DT56" s="7">
        <v>0</v>
      </c>
      <c r="DU56" s="7">
        <v>0</v>
      </c>
      <c r="DV56" s="7">
        <v>0</v>
      </c>
      <c r="DW56" s="7">
        <v>0</v>
      </c>
      <c r="DX56" s="7">
        <v>0</v>
      </c>
      <c r="DY56" s="7">
        <v>0</v>
      </c>
      <c r="DZ56" s="7">
        <v>0</v>
      </c>
      <c r="EA56" s="7">
        <v>0</v>
      </c>
      <c r="EB56" s="7">
        <v>0</v>
      </c>
      <c r="EC56" s="7">
        <v>0</v>
      </c>
      <c r="ED56" s="7">
        <v>0</v>
      </c>
      <c r="EE56" s="7">
        <v>0</v>
      </c>
      <c r="EF56" s="7">
        <v>0</v>
      </c>
      <c r="EG56" s="7">
        <v>0</v>
      </c>
      <c r="EH56" s="7">
        <v>0</v>
      </c>
      <c r="EI56" s="7">
        <v>0</v>
      </c>
      <c r="EJ56" s="25">
        <f t="shared" si="0"/>
        <v>0</v>
      </c>
      <c r="EK56" s="7">
        <v>0</v>
      </c>
      <c r="EL56" s="25">
        <f t="shared" si="1"/>
        <v>0</v>
      </c>
      <c r="EM56" s="7">
        <v>0</v>
      </c>
      <c r="EN56" s="25">
        <f t="shared" si="2"/>
        <v>0</v>
      </c>
      <c r="EO56" s="7">
        <v>0</v>
      </c>
      <c r="EP56" s="25">
        <f t="shared" si="3"/>
        <v>0</v>
      </c>
      <c r="EQ56" s="7">
        <v>0</v>
      </c>
      <c r="ER56" s="25">
        <f t="shared" si="4"/>
        <v>0</v>
      </c>
      <c r="ES56" s="7">
        <v>0</v>
      </c>
      <c r="ET56" s="25">
        <f t="shared" si="5"/>
        <v>0</v>
      </c>
      <c r="EU56" s="7">
        <v>0</v>
      </c>
      <c r="EV56" s="25">
        <f t="shared" si="6"/>
        <v>0</v>
      </c>
      <c r="EW56" s="7">
        <v>0</v>
      </c>
      <c r="EX56" s="7">
        <v>0</v>
      </c>
      <c r="EY56" s="7">
        <v>0</v>
      </c>
      <c r="EZ56" s="7">
        <v>0</v>
      </c>
      <c r="FA56" s="7">
        <v>0</v>
      </c>
      <c r="FB56" s="7">
        <v>0</v>
      </c>
      <c r="FC56" s="7">
        <v>0</v>
      </c>
      <c r="FD56" s="7">
        <v>0</v>
      </c>
      <c r="FE56" s="7">
        <v>0</v>
      </c>
      <c r="FF56" s="7">
        <v>0</v>
      </c>
      <c r="FG56" s="7">
        <v>0</v>
      </c>
      <c r="FH56" s="7">
        <v>0</v>
      </c>
      <c r="FI56" s="7">
        <v>0</v>
      </c>
      <c r="FJ56" s="7">
        <v>0</v>
      </c>
    </row>
    <row r="57" spans="1:166" x14ac:dyDescent="0.4">
      <c r="A57" s="35" t="s">
        <v>27</v>
      </c>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v>0</v>
      </c>
      <c r="BW57" s="7">
        <v>0</v>
      </c>
      <c r="BX57" s="7">
        <v>0</v>
      </c>
      <c r="BY57" s="7">
        <v>0</v>
      </c>
      <c r="BZ57" s="7">
        <v>0</v>
      </c>
      <c r="CA57" s="7">
        <v>0</v>
      </c>
      <c r="CB57" s="7">
        <v>0</v>
      </c>
      <c r="CC57" s="7">
        <v>0</v>
      </c>
      <c r="CD57" s="7">
        <v>0</v>
      </c>
      <c r="CE57" s="7">
        <v>0</v>
      </c>
      <c r="CF57" s="7">
        <v>0</v>
      </c>
      <c r="CG57" s="7">
        <v>0</v>
      </c>
      <c r="CH57" s="7">
        <v>0</v>
      </c>
      <c r="CI57" s="7">
        <v>0</v>
      </c>
      <c r="CJ57" s="7">
        <v>0</v>
      </c>
      <c r="CK57" s="7">
        <v>0</v>
      </c>
      <c r="CL57" s="7">
        <v>0</v>
      </c>
      <c r="CM57" s="7">
        <v>0</v>
      </c>
      <c r="CN57" s="7">
        <v>0</v>
      </c>
      <c r="CO57" s="7">
        <v>0</v>
      </c>
      <c r="CP57" s="7">
        <v>0</v>
      </c>
      <c r="CQ57" s="7">
        <v>0</v>
      </c>
      <c r="CR57" s="7">
        <v>0</v>
      </c>
      <c r="CS57" s="7">
        <v>0</v>
      </c>
      <c r="CT57" s="7">
        <v>0</v>
      </c>
      <c r="CU57" s="7">
        <v>0</v>
      </c>
      <c r="CV57" s="7">
        <v>0</v>
      </c>
      <c r="CW57" s="7">
        <v>0</v>
      </c>
      <c r="CX57" s="7">
        <v>0</v>
      </c>
      <c r="CY57" s="7">
        <v>0</v>
      </c>
      <c r="CZ57" s="7">
        <v>0</v>
      </c>
      <c r="DA57" s="7">
        <v>0</v>
      </c>
      <c r="DB57" s="7">
        <v>0</v>
      </c>
      <c r="DC57" s="7">
        <v>0</v>
      </c>
      <c r="DD57" s="7">
        <v>0</v>
      </c>
      <c r="DE57" s="7">
        <v>0</v>
      </c>
      <c r="DF57" s="7">
        <v>0</v>
      </c>
      <c r="DG57" s="7">
        <v>0</v>
      </c>
      <c r="DH57" s="7">
        <v>0</v>
      </c>
      <c r="DI57" s="7">
        <v>0</v>
      </c>
      <c r="DJ57" s="7">
        <v>0</v>
      </c>
      <c r="DK57" s="7">
        <v>0</v>
      </c>
      <c r="DL57" s="7">
        <v>0</v>
      </c>
      <c r="DM57" s="7">
        <v>0</v>
      </c>
      <c r="DN57" s="7">
        <v>0</v>
      </c>
      <c r="DO57" s="7">
        <v>0</v>
      </c>
      <c r="DP57" s="7">
        <v>0</v>
      </c>
      <c r="DQ57" s="7">
        <v>0</v>
      </c>
      <c r="DR57" s="7">
        <v>0</v>
      </c>
      <c r="DS57" s="7">
        <v>0</v>
      </c>
      <c r="DT57" s="7">
        <v>0</v>
      </c>
      <c r="DU57" s="7">
        <v>0</v>
      </c>
      <c r="DV57" s="7">
        <v>0</v>
      </c>
      <c r="DW57" s="7">
        <v>0</v>
      </c>
      <c r="DX57" s="7">
        <v>0</v>
      </c>
      <c r="DY57" s="7">
        <v>0</v>
      </c>
      <c r="DZ57" s="7">
        <v>0</v>
      </c>
      <c r="EA57" s="7">
        <v>0</v>
      </c>
      <c r="EB57" s="7">
        <v>0</v>
      </c>
      <c r="EC57" s="7">
        <v>0</v>
      </c>
      <c r="ED57" s="7">
        <v>0</v>
      </c>
      <c r="EE57" s="7">
        <v>0</v>
      </c>
      <c r="EF57" s="7">
        <v>0</v>
      </c>
      <c r="EG57" s="7">
        <v>0</v>
      </c>
      <c r="EH57" s="7">
        <v>0</v>
      </c>
      <c r="EI57" s="7">
        <v>0</v>
      </c>
      <c r="EJ57" s="25">
        <f t="shared" si="0"/>
        <v>0</v>
      </c>
      <c r="EK57" s="7">
        <v>0</v>
      </c>
      <c r="EL57" s="25">
        <f t="shared" si="1"/>
        <v>0</v>
      </c>
      <c r="EM57" s="7">
        <v>0</v>
      </c>
      <c r="EN57" s="25">
        <f t="shared" si="2"/>
        <v>0</v>
      </c>
      <c r="EO57" s="7">
        <v>0</v>
      </c>
      <c r="EP57" s="25">
        <f t="shared" si="3"/>
        <v>0</v>
      </c>
      <c r="EQ57" s="7">
        <v>0</v>
      </c>
      <c r="ER57" s="25">
        <f t="shared" si="4"/>
        <v>0</v>
      </c>
      <c r="ES57" s="7">
        <v>0</v>
      </c>
      <c r="ET57" s="25">
        <f t="shared" si="5"/>
        <v>0</v>
      </c>
      <c r="EU57" s="7">
        <v>0</v>
      </c>
      <c r="EV57" s="25">
        <f t="shared" si="6"/>
        <v>0</v>
      </c>
      <c r="EW57" s="7">
        <v>0</v>
      </c>
      <c r="EX57" s="7">
        <v>0</v>
      </c>
      <c r="EY57" s="7">
        <v>0</v>
      </c>
      <c r="EZ57" s="7">
        <v>0</v>
      </c>
      <c r="FA57" s="7">
        <v>0</v>
      </c>
      <c r="FB57" s="7">
        <v>0</v>
      </c>
      <c r="FC57" s="7">
        <v>0</v>
      </c>
      <c r="FD57" s="7">
        <v>0</v>
      </c>
      <c r="FE57" s="7">
        <v>0</v>
      </c>
      <c r="FF57" s="7">
        <v>0</v>
      </c>
      <c r="FG57" s="7">
        <v>0</v>
      </c>
      <c r="FH57" s="7">
        <v>0</v>
      </c>
      <c r="FI57" s="7">
        <v>0</v>
      </c>
      <c r="FJ57" s="7">
        <v>0</v>
      </c>
    </row>
    <row r="58" spans="1:166" x14ac:dyDescent="0.4">
      <c r="A58" s="35" t="s">
        <v>30</v>
      </c>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v>0</v>
      </c>
      <c r="BW58" s="7">
        <v>0</v>
      </c>
      <c r="BX58" s="7">
        <v>0</v>
      </c>
      <c r="BY58" s="7">
        <v>0</v>
      </c>
      <c r="BZ58" s="7">
        <v>0</v>
      </c>
      <c r="CA58" s="7">
        <v>0</v>
      </c>
      <c r="CB58" s="7">
        <v>0</v>
      </c>
      <c r="CC58" s="7">
        <v>0</v>
      </c>
      <c r="CD58" s="7">
        <v>0</v>
      </c>
      <c r="CE58" s="7">
        <v>0</v>
      </c>
      <c r="CF58" s="7">
        <v>0</v>
      </c>
      <c r="CG58" s="7">
        <v>0</v>
      </c>
      <c r="CH58" s="7">
        <v>0</v>
      </c>
      <c r="CI58" s="7">
        <v>0</v>
      </c>
      <c r="CJ58" s="7">
        <v>0</v>
      </c>
      <c r="CK58" s="7">
        <v>0</v>
      </c>
      <c r="CL58" s="7">
        <v>0</v>
      </c>
      <c r="CM58" s="7">
        <v>0</v>
      </c>
      <c r="CN58" s="7">
        <v>0</v>
      </c>
      <c r="CO58" s="7">
        <v>0</v>
      </c>
      <c r="CP58" s="7">
        <v>0</v>
      </c>
      <c r="CQ58" s="7">
        <v>0</v>
      </c>
      <c r="CR58" s="7">
        <v>0</v>
      </c>
      <c r="CS58" s="7">
        <v>0</v>
      </c>
      <c r="CT58" s="7">
        <v>0</v>
      </c>
      <c r="CU58" s="7">
        <v>0</v>
      </c>
      <c r="CV58" s="7">
        <v>0</v>
      </c>
      <c r="CW58" s="7">
        <v>0</v>
      </c>
      <c r="CX58" s="7">
        <v>0</v>
      </c>
      <c r="CY58" s="7">
        <v>0</v>
      </c>
      <c r="CZ58" s="7">
        <v>0</v>
      </c>
      <c r="DA58" s="7">
        <v>0</v>
      </c>
      <c r="DB58" s="7">
        <v>0</v>
      </c>
      <c r="DC58" s="7">
        <v>0</v>
      </c>
      <c r="DD58" s="7">
        <v>0</v>
      </c>
      <c r="DE58" s="7">
        <v>0</v>
      </c>
      <c r="DF58" s="7">
        <v>0</v>
      </c>
      <c r="DG58" s="7">
        <v>0</v>
      </c>
      <c r="DH58" s="7">
        <v>0</v>
      </c>
      <c r="DI58" s="7">
        <v>0</v>
      </c>
      <c r="DJ58" s="7">
        <v>0</v>
      </c>
      <c r="DK58" s="7">
        <v>0</v>
      </c>
      <c r="DL58" s="7">
        <v>0</v>
      </c>
      <c r="DM58" s="7">
        <v>0</v>
      </c>
      <c r="DN58" s="7">
        <v>0</v>
      </c>
      <c r="DO58" s="7">
        <v>0</v>
      </c>
      <c r="DP58" s="7">
        <v>0</v>
      </c>
      <c r="DQ58" s="7">
        <v>0</v>
      </c>
      <c r="DR58" s="7">
        <v>0</v>
      </c>
      <c r="DS58" s="7">
        <v>0</v>
      </c>
      <c r="DT58" s="7">
        <v>0</v>
      </c>
      <c r="DU58" s="7">
        <v>0</v>
      </c>
      <c r="DV58" s="7">
        <v>0</v>
      </c>
      <c r="DW58" s="7">
        <v>0</v>
      </c>
      <c r="DX58" s="7">
        <v>0</v>
      </c>
      <c r="DY58" s="7">
        <v>0</v>
      </c>
      <c r="DZ58" s="7">
        <v>0</v>
      </c>
      <c r="EA58" s="7">
        <v>0</v>
      </c>
      <c r="EB58" s="7">
        <v>0</v>
      </c>
      <c r="EC58" s="7">
        <v>0</v>
      </c>
      <c r="ED58" s="7">
        <v>0</v>
      </c>
      <c r="EE58" s="7">
        <v>0</v>
      </c>
      <c r="EF58" s="7">
        <v>0</v>
      </c>
      <c r="EG58" s="7">
        <v>0</v>
      </c>
      <c r="EH58" s="7">
        <v>0</v>
      </c>
      <c r="EI58" s="7">
        <v>0</v>
      </c>
      <c r="EJ58" s="25">
        <f t="shared" si="0"/>
        <v>0</v>
      </c>
      <c r="EK58" s="7">
        <v>0</v>
      </c>
      <c r="EL58" s="25">
        <f t="shared" si="1"/>
        <v>0</v>
      </c>
      <c r="EM58" s="7">
        <v>0</v>
      </c>
      <c r="EN58" s="25">
        <f t="shared" si="2"/>
        <v>0</v>
      </c>
      <c r="EO58" s="7">
        <v>0</v>
      </c>
      <c r="EP58" s="25">
        <f t="shared" si="3"/>
        <v>0</v>
      </c>
      <c r="EQ58" s="7">
        <v>0</v>
      </c>
      <c r="ER58" s="25">
        <f t="shared" si="4"/>
        <v>0</v>
      </c>
      <c r="ES58" s="7">
        <v>0</v>
      </c>
      <c r="ET58" s="25">
        <f t="shared" si="5"/>
        <v>0</v>
      </c>
      <c r="EU58" s="7">
        <v>0</v>
      </c>
      <c r="EV58" s="25">
        <f t="shared" si="6"/>
        <v>0</v>
      </c>
      <c r="EW58" s="7">
        <v>0</v>
      </c>
      <c r="EX58" s="7">
        <v>0</v>
      </c>
      <c r="EY58" s="7">
        <v>0</v>
      </c>
      <c r="EZ58" s="7">
        <v>0</v>
      </c>
      <c r="FA58" s="7">
        <v>0</v>
      </c>
      <c r="FB58" s="7">
        <v>0</v>
      </c>
      <c r="FC58" s="7">
        <v>0</v>
      </c>
      <c r="FD58" s="7">
        <v>0</v>
      </c>
      <c r="FE58" s="7">
        <v>0</v>
      </c>
      <c r="FF58" s="7">
        <v>0</v>
      </c>
      <c r="FG58" s="7">
        <v>0</v>
      </c>
      <c r="FH58" s="7">
        <v>0</v>
      </c>
      <c r="FI58" s="7">
        <v>0</v>
      </c>
      <c r="FJ58" s="7">
        <v>0</v>
      </c>
    </row>
    <row r="59" spans="1:166" x14ac:dyDescent="0.4">
      <c r="A59" s="34" t="s">
        <v>3</v>
      </c>
      <c r="B59" s="7">
        <v>1136389</v>
      </c>
      <c r="C59" s="7">
        <v>1116889</v>
      </c>
      <c r="D59" s="7">
        <v>1200371</v>
      </c>
      <c r="E59" s="7">
        <v>1219871</v>
      </c>
      <c r="F59" s="7">
        <v>1242371</v>
      </c>
      <c r="G59" s="7">
        <v>1240425</v>
      </c>
      <c r="H59" s="7">
        <v>1233855</v>
      </c>
      <c r="I59" s="7">
        <v>1253510</v>
      </c>
      <c r="J59" s="7">
        <v>1265993</v>
      </c>
      <c r="K59" s="7">
        <v>1306554</v>
      </c>
      <c r="L59" s="7">
        <v>1372134</v>
      </c>
      <c r="M59" s="7">
        <v>1355316</v>
      </c>
      <c r="N59" s="7">
        <v>1354406</v>
      </c>
      <c r="O59" s="7">
        <v>1360463</v>
      </c>
      <c r="P59" s="7">
        <v>1338840</v>
      </c>
      <c r="Q59" s="7">
        <v>1337946</v>
      </c>
      <c r="R59" s="7">
        <v>1322946</v>
      </c>
      <c r="S59" s="7">
        <v>1343505</v>
      </c>
      <c r="T59" s="7">
        <v>1379623</v>
      </c>
      <c r="U59" s="7">
        <v>1367852</v>
      </c>
      <c r="V59" s="7">
        <v>1378488</v>
      </c>
      <c r="W59" s="7">
        <v>1420707</v>
      </c>
      <c r="X59" s="7">
        <v>1458707</v>
      </c>
      <c r="Y59" s="7">
        <v>1439110</v>
      </c>
      <c r="Z59" s="7">
        <v>1518473</v>
      </c>
      <c r="AA59" s="7">
        <v>1547368</v>
      </c>
      <c r="AB59" s="7">
        <v>1534883</v>
      </c>
      <c r="AC59" s="7">
        <v>1517104</v>
      </c>
      <c r="AD59" s="7">
        <v>1517563</v>
      </c>
      <c r="AE59" s="7">
        <v>1515042</v>
      </c>
      <c r="AF59" s="7">
        <v>1570534</v>
      </c>
      <c r="AG59" s="7">
        <v>1614034</v>
      </c>
      <c r="AH59" s="7">
        <v>1555502</v>
      </c>
      <c r="AI59" s="7">
        <v>1545062</v>
      </c>
      <c r="AJ59" s="7">
        <v>1566062</v>
      </c>
      <c r="AK59" s="7">
        <v>1566652</v>
      </c>
      <c r="AL59" s="7">
        <v>1585148</v>
      </c>
      <c r="AM59" s="7">
        <v>1547348</v>
      </c>
      <c r="AN59" s="7">
        <v>1472812</v>
      </c>
      <c r="AO59" s="7">
        <v>1489579</v>
      </c>
      <c r="AP59" s="7">
        <v>1495079</v>
      </c>
      <c r="AQ59" s="7">
        <v>1521581</v>
      </c>
      <c r="AR59" s="7">
        <v>1526008</v>
      </c>
      <c r="AS59" s="7">
        <v>1510508</v>
      </c>
      <c r="AT59" s="7">
        <v>1504009</v>
      </c>
      <c r="AU59" s="7">
        <v>1468023</v>
      </c>
      <c r="AV59" s="7">
        <v>1450925</v>
      </c>
      <c r="AW59" s="7">
        <v>1463666</v>
      </c>
      <c r="AX59" s="7">
        <v>1455244</v>
      </c>
      <c r="AY59" s="7">
        <v>1502419</v>
      </c>
      <c r="AZ59" s="7">
        <v>1490611</v>
      </c>
      <c r="BA59" s="7">
        <v>1524665</v>
      </c>
      <c r="BB59" s="7">
        <v>1498388</v>
      </c>
      <c r="BC59" s="7">
        <v>1631684</v>
      </c>
      <c r="BD59" s="7">
        <v>1654901</v>
      </c>
      <c r="BE59" s="7">
        <v>1616924</v>
      </c>
      <c r="BF59" s="7">
        <v>1618797</v>
      </c>
      <c r="BG59" s="7">
        <v>1567014</v>
      </c>
      <c r="BH59" s="7">
        <v>1678460</v>
      </c>
      <c r="BI59" s="7">
        <v>1683133</v>
      </c>
      <c r="BJ59" s="7">
        <v>1658700</v>
      </c>
      <c r="BK59" s="7">
        <v>1737793</v>
      </c>
      <c r="BL59" s="7">
        <v>1742102</v>
      </c>
      <c r="BM59" s="7">
        <v>1708156</v>
      </c>
      <c r="BN59" s="7">
        <v>1684556</v>
      </c>
      <c r="BO59" s="7">
        <v>1740401</v>
      </c>
      <c r="BP59" s="7">
        <v>1655136</v>
      </c>
      <c r="BQ59" s="7">
        <v>1749006</v>
      </c>
      <c r="BR59" s="7">
        <v>1799595</v>
      </c>
      <c r="BS59" s="7">
        <v>1771989</v>
      </c>
      <c r="BT59" s="7">
        <v>1783307</v>
      </c>
      <c r="BU59" s="7">
        <v>1781340</v>
      </c>
      <c r="BV59" s="7">
        <v>1825874</v>
      </c>
      <c r="BW59" s="7">
        <v>1867915</v>
      </c>
      <c r="BX59" s="7">
        <v>1882913</v>
      </c>
      <c r="BY59" s="7">
        <v>1908957</v>
      </c>
      <c r="BZ59" s="7">
        <v>2010363</v>
      </c>
      <c r="CA59" s="7">
        <v>2062132</v>
      </c>
      <c r="CB59" s="7">
        <v>2057550</v>
      </c>
      <c r="CC59" s="7">
        <v>2155008</v>
      </c>
      <c r="CD59" s="7">
        <v>2142839</v>
      </c>
      <c r="CE59" s="7">
        <v>2229209</v>
      </c>
      <c r="CF59" s="7">
        <v>2282404</v>
      </c>
      <c r="CG59" s="7">
        <v>2285983</v>
      </c>
      <c r="CH59" s="7">
        <v>2362807</v>
      </c>
      <c r="CI59" s="7">
        <v>2384996</v>
      </c>
      <c r="CJ59" s="7">
        <v>2417200</v>
      </c>
      <c r="CK59" s="7">
        <v>2425855</v>
      </c>
      <c r="CL59" s="7">
        <v>2409365</v>
      </c>
      <c r="CM59" s="7">
        <v>2391794</v>
      </c>
      <c r="CN59" s="7">
        <v>2375042</v>
      </c>
      <c r="CO59" s="7">
        <v>2451750</v>
      </c>
      <c r="CP59" s="7">
        <v>2476821</v>
      </c>
      <c r="CQ59" s="7">
        <v>2445286</v>
      </c>
      <c r="CR59" s="7">
        <v>2494766</v>
      </c>
      <c r="CS59" s="7">
        <v>2596753</v>
      </c>
      <c r="CT59" s="7">
        <v>2670097</v>
      </c>
      <c r="CU59" s="7">
        <v>2654439</v>
      </c>
      <c r="CV59" s="7">
        <v>2740466</v>
      </c>
      <c r="CW59" s="7">
        <v>2668017</v>
      </c>
      <c r="CX59" s="7">
        <v>2715882</v>
      </c>
      <c r="CY59" s="7">
        <v>2693328</v>
      </c>
      <c r="CZ59" s="7">
        <v>2821530</v>
      </c>
      <c r="DA59" s="7">
        <v>2818417</v>
      </c>
      <c r="DB59" s="7">
        <v>2846974</v>
      </c>
      <c r="DC59" s="7">
        <v>2898106</v>
      </c>
      <c r="DD59" s="7">
        <v>2896378</v>
      </c>
      <c r="DE59" s="7">
        <v>2928560</v>
      </c>
      <c r="DF59" s="7">
        <v>3014962</v>
      </c>
      <c r="DG59" s="7">
        <v>2999273</v>
      </c>
      <c r="DH59" s="7">
        <v>2912635</v>
      </c>
      <c r="DI59" s="7">
        <v>2876559</v>
      </c>
      <c r="DJ59" s="7">
        <v>2808071</v>
      </c>
      <c r="DK59" s="7">
        <v>2807716</v>
      </c>
      <c r="DL59" s="7">
        <v>2765651</v>
      </c>
      <c r="DM59" s="7">
        <v>2743060</v>
      </c>
      <c r="DN59" s="7">
        <v>2726875</v>
      </c>
      <c r="DO59" s="7">
        <v>2686412</v>
      </c>
      <c r="DP59" s="7">
        <v>2643943</v>
      </c>
      <c r="DQ59" s="7">
        <v>2700188</v>
      </c>
      <c r="DR59" s="7">
        <v>2654661</v>
      </c>
      <c r="DS59" s="7">
        <v>2609447</v>
      </c>
      <c r="DT59" s="7">
        <v>2723490</v>
      </c>
      <c r="DU59" s="7">
        <v>2736215</v>
      </c>
      <c r="DV59" s="7">
        <v>2706979</v>
      </c>
      <c r="DW59" s="7">
        <v>2706394</v>
      </c>
      <c r="DX59" s="7">
        <v>2767967</v>
      </c>
      <c r="DY59" s="7">
        <v>2817879</v>
      </c>
      <c r="DZ59" s="7">
        <v>2763059</v>
      </c>
      <c r="EA59" s="7">
        <v>2738145</v>
      </c>
      <c r="EB59" s="7">
        <v>2794853</v>
      </c>
      <c r="EC59" s="7">
        <v>2693791</v>
      </c>
      <c r="ED59" s="7">
        <v>2698021</v>
      </c>
      <c r="EE59" s="7">
        <v>2773657</v>
      </c>
      <c r="EF59" s="7">
        <v>2759027</v>
      </c>
      <c r="EG59" s="7">
        <v>2770115</v>
      </c>
      <c r="EH59" s="7">
        <v>2736898</v>
      </c>
      <c r="EI59" s="7">
        <v>2666072</v>
      </c>
      <c r="EJ59" s="25">
        <f t="shared" si="0"/>
        <v>-39322</v>
      </c>
      <c r="EK59" s="7">
        <v>2626750</v>
      </c>
      <c r="EL59" s="25">
        <f t="shared" si="1"/>
        <v>-60214</v>
      </c>
      <c r="EM59" s="7">
        <v>2566536</v>
      </c>
      <c r="EN59" s="25">
        <f t="shared" si="2"/>
        <v>33189</v>
      </c>
      <c r="EO59" s="7">
        <v>2599725</v>
      </c>
      <c r="EP59" s="25">
        <f t="shared" si="3"/>
        <v>19784</v>
      </c>
      <c r="EQ59" s="7">
        <v>2619509</v>
      </c>
      <c r="ER59" s="25">
        <f t="shared" si="4"/>
        <v>41135</v>
      </c>
      <c r="ES59" s="7">
        <v>2660644</v>
      </c>
      <c r="ET59" s="25">
        <f t="shared" si="5"/>
        <v>-142324</v>
      </c>
      <c r="EU59" s="7">
        <v>2518320</v>
      </c>
      <c r="EV59" s="25">
        <f t="shared" si="6"/>
        <v>106620</v>
      </c>
      <c r="EW59" s="7">
        <v>2624940</v>
      </c>
      <c r="EX59" s="7">
        <v>2596559</v>
      </c>
      <c r="EY59" s="7">
        <v>2550148</v>
      </c>
      <c r="EZ59" s="7">
        <v>2594612</v>
      </c>
      <c r="FA59" s="7">
        <v>2611124</v>
      </c>
      <c r="FB59" s="7">
        <v>2605848</v>
      </c>
      <c r="FC59" s="7">
        <v>2649106</v>
      </c>
      <c r="FD59" s="7">
        <v>2634755</v>
      </c>
      <c r="FE59" s="7">
        <v>2657777</v>
      </c>
      <c r="FF59" s="7">
        <v>2667386</v>
      </c>
      <c r="FG59" s="7">
        <v>2635280</v>
      </c>
      <c r="FH59" s="7">
        <v>2589368</v>
      </c>
      <c r="FI59" s="7">
        <v>2696948</v>
      </c>
      <c r="FJ59" s="7">
        <v>2676175</v>
      </c>
    </row>
    <row r="60" spans="1:166" x14ac:dyDescent="0.4">
      <c r="A60" s="35" t="s">
        <v>13</v>
      </c>
      <c r="B60" s="7">
        <v>0</v>
      </c>
      <c r="C60" s="7">
        <v>0</v>
      </c>
      <c r="D60" s="7">
        <v>0</v>
      </c>
      <c r="E60" s="7">
        <v>0</v>
      </c>
      <c r="F60" s="7">
        <v>0</v>
      </c>
      <c r="G60" s="7">
        <v>0</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c r="AF60" s="7">
        <v>0</v>
      </c>
      <c r="AG60" s="7">
        <v>0</v>
      </c>
      <c r="AH60" s="7">
        <v>0</v>
      </c>
      <c r="AI60" s="7">
        <v>0</v>
      </c>
      <c r="AJ60" s="7">
        <v>0</v>
      </c>
      <c r="AK60" s="7">
        <v>0</v>
      </c>
      <c r="AL60" s="7">
        <v>0</v>
      </c>
      <c r="AM60" s="7">
        <v>0</v>
      </c>
      <c r="AN60" s="7">
        <v>0</v>
      </c>
      <c r="AO60" s="7">
        <v>0</v>
      </c>
      <c r="AP60" s="7">
        <v>0</v>
      </c>
      <c r="AQ60" s="7">
        <v>0</v>
      </c>
      <c r="AR60" s="7">
        <v>0</v>
      </c>
      <c r="AS60" s="7">
        <v>0</v>
      </c>
      <c r="AT60" s="7">
        <v>0</v>
      </c>
      <c r="AU60" s="7">
        <v>0</v>
      </c>
      <c r="AV60" s="7">
        <v>4903</v>
      </c>
      <c r="AW60" s="7">
        <v>30415</v>
      </c>
      <c r="AX60" s="7">
        <v>956</v>
      </c>
      <c r="AY60" s="7">
        <v>38032</v>
      </c>
      <c r="AZ60" s="7">
        <v>43276</v>
      </c>
      <c r="BA60" s="7">
        <v>58233</v>
      </c>
      <c r="BB60" s="7">
        <v>6956</v>
      </c>
      <c r="BC60" s="7">
        <v>47156</v>
      </c>
      <c r="BD60" s="7">
        <v>81500</v>
      </c>
      <c r="BE60" s="7">
        <v>51423</v>
      </c>
      <c r="BF60" s="7">
        <v>63755</v>
      </c>
      <c r="BG60" s="7">
        <v>12860</v>
      </c>
      <c r="BH60" s="7">
        <v>55306</v>
      </c>
      <c r="BI60" s="7">
        <v>48503</v>
      </c>
      <c r="BJ60" s="7">
        <v>37360</v>
      </c>
      <c r="BK60" s="7">
        <v>112587</v>
      </c>
      <c r="BL60" s="7">
        <v>112587</v>
      </c>
      <c r="BM60" s="7">
        <v>34587</v>
      </c>
      <c r="BN60" s="7">
        <v>31587</v>
      </c>
      <c r="BO60" s="7">
        <v>69979</v>
      </c>
      <c r="BP60" s="7">
        <v>32687</v>
      </c>
      <c r="BQ60" s="7">
        <v>47355</v>
      </c>
      <c r="BR60" s="7">
        <v>55143</v>
      </c>
      <c r="BS60" s="7">
        <v>28946</v>
      </c>
      <c r="BT60" s="7">
        <v>55489</v>
      </c>
      <c r="BU60" s="7">
        <v>35156</v>
      </c>
      <c r="BV60" s="7">
        <v>10288</v>
      </c>
      <c r="BW60" s="7">
        <v>33513</v>
      </c>
      <c r="BX60" s="7">
        <v>36149</v>
      </c>
      <c r="BY60" s="7">
        <v>13271</v>
      </c>
      <c r="BZ60" s="7">
        <v>55253</v>
      </c>
      <c r="CA60" s="7">
        <v>69176</v>
      </c>
      <c r="CB60" s="7">
        <v>69855</v>
      </c>
      <c r="CC60" s="7">
        <v>114630</v>
      </c>
      <c r="CD60" s="7">
        <v>105195</v>
      </c>
      <c r="CE60" s="7">
        <v>151177</v>
      </c>
      <c r="CF60" s="7">
        <v>166574</v>
      </c>
      <c r="CG60" s="7">
        <v>156573</v>
      </c>
      <c r="CH60" s="7">
        <v>167664</v>
      </c>
      <c r="CI60" s="7">
        <v>194844</v>
      </c>
      <c r="CJ60" s="7">
        <v>175523</v>
      </c>
      <c r="CK60" s="7">
        <v>167411</v>
      </c>
      <c r="CL60" s="7">
        <v>159169</v>
      </c>
      <c r="CM60" s="7">
        <v>137372</v>
      </c>
      <c r="CN60" s="7">
        <v>160701</v>
      </c>
      <c r="CO60" s="7">
        <v>156711</v>
      </c>
      <c r="CP60" s="7">
        <v>145660</v>
      </c>
      <c r="CQ60" s="7">
        <v>133026</v>
      </c>
      <c r="CR60" s="7">
        <v>121510</v>
      </c>
      <c r="CS60" s="7">
        <v>108914</v>
      </c>
      <c r="CT60" s="7">
        <v>124089</v>
      </c>
      <c r="CU60" s="7">
        <v>116824</v>
      </c>
      <c r="CV60" s="7">
        <v>107806</v>
      </c>
      <c r="CW60" s="7">
        <v>96165</v>
      </c>
      <c r="CX60" s="7">
        <v>83113</v>
      </c>
      <c r="CY60" s="7">
        <v>72259</v>
      </c>
      <c r="CZ60" s="7">
        <v>67659</v>
      </c>
      <c r="DA60" s="7">
        <v>61844</v>
      </c>
      <c r="DB60" s="7">
        <v>58998</v>
      </c>
      <c r="DC60" s="7">
        <v>66474</v>
      </c>
      <c r="DD60" s="7">
        <v>73325</v>
      </c>
      <c r="DE60" s="7">
        <v>82949</v>
      </c>
      <c r="DF60" s="7">
        <v>90960</v>
      </c>
      <c r="DG60" s="7">
        <v>89487</v>
      </c>
      <c r="DH60" s="7">
        <v>74693</v>
      </c>
      <c r="DI60" s="7">
        <v>72307</v>
      </c>
      <c r="DJ60" s="7">
        <v>68243</v>
      </c>
      <c r="DK60" s="7">
        <v>74619</v>
      </c>
      <c r="DL60" s="7">
        <v>66508</v>
      </c>
      <c r="DM60" s="7">
        <v>83706</v>
      </c>
      <c r="DN60" s="7">
        <v>70009</v>
      </c>
      <c r="DO60" s="7">
        <v>67388</v>
      </c>
      <c r="DP60" s="7">
        <v>83963</v>
      </c>
      <c r="DQ60" s="7">
        <v>34207</v>
      </c>
      <c r="DR60" s="7">
        <v>28684</v>
      </c>
      <c r="DS60" s="7">
        <v>37262</v>
      </c>
      <c r="DT60" s="7">
        <v>38628</v>
      </c>
      <c r="DU60" s="7">
        <v>67891</v>
      </c>
      <c r="DV60" s="7">
        <v>49477</v>
      </c>
      <c r="DW60" s="7">
        <v>80886</v>
      </c>
      <c r="DX60" s="7">
        <v>74347</v>
      </c>
      <c r="DY60" s="7">
        <v>132975</v>
      </c>
      <c r="DZ60" s="7">
        <v>125169</v>
      </c>
      <c r="EA60" s="7">
        <v>166892</v>
      </c>
      <c r="EB60" s="7">
        <v>212721</v>
      </c>
      <c r="EC60" s="7">
        <v>123442</v>
      </c>
      <c r="ED60" s="7">
        <v>122696</v>
      </c>
      <c r="EE60" s="7">
        <v>210733</v>
      </c>
      <c r="EF60" s="7">
        <v>187832</v>
      </c>
      <c r="EG60" s="7">
        <v>192211</v>
      </c>
      <c r="EH60" s="7">
        <v>141913</v>
      </c>
      <c r="EI60" s="7">
        <v>121349</v>
      </c>
      <c r="EJ60" s="25">
        <f t="shared" si="0"/>
        <v>-2192</v>
      </c>
      <c r="EK60" s="7">
        <v>119157</v>
      </c>
      <c r="EL60" s="25">
        <f t="shared" si="1"/>
        <v>-8044</v>
      </c>
      <c r="EM60" s="7">
        <v>111113</v>
      </c>
      <c r="EN60" s="25">
        <f t="shared" si="2"/>
        <v>-36193</v>
      </c>
      <c r="EO60" s="7">
        <v>74920</v>
      </c>
      <c r="EP60" s="25">
        <f t="shared" si="3"/>
        <v>29165</v>
      </c>
      <c r="EQ60" s="7">
        <v>104085</v>
      </c>
      <c r="ER60" s="25">
        <f t="shared" si="4"/>
        <v>-3966</v>
      </c>
      <c r="ES60" s="7">
        <v>100119</v>
      </c>
      <c r="ET60" s="25">
        <f t="shared" si="5"/>
        <v>-23092</v>
      </c>
      <c r="EU60" s="7">
        <v>77027</v>
      </c>
      <c r="EV60" s="25">
        <f t="shared" si="6"/>
        <v>13461</v>
      </c>
      <c r="EW60" s="7">
        <v>90488</v>
      </c>
      <c r="EX60" s="7">
        <v>88667</v>
      </c>
      <c r="EY60" s="7">
        <v>99785</v>
      </c>
      <c r="EZ60" s="7">
        <v>96681</v>
      </c>
      <c r="FA60" s="7">
        <v>97071</v>
      </c>
      <c r="FB60" s="7">
        <v>88158</v>
      </c>
      <c r="FC60" s="7">
        <v>80102</v>
      </c>
      <c r="FD60" s="7">
        <v>82194</v>
      </c>
      <c r="FE60" s="7">
        <v>81482</v>
      </c>
      <c r="FF60" s="7">
        <v>95597</v>
      </c>
      <c r="FG60" s="7">
        <v>93127</v>
      </c>
      <c r="FH60" s="7">
        <v>106059</v>
      </c>
      <c r="FI60" s="7">
        <v>124045</v>
      </c>
      <c r="FJ60" s="7">
        <v>123594</v>
      </c>
    </row>
    <row r="61" spans="1:166" x14ac:dyDescent="0.4">
      <c r="A61" s="35" t="s">
        <v>14</v>
      </c>
      <c r="B61" s="7">
        <v>1136389</v>
      </c>
      <c r="C61" s="7">
        <v>1116889</v>
      </c>
      <c r="D61" s="7">
        <v>1200371</v>
      </c>
      <c r="E61" s="7">
        <v>1219871</v>
      </c>
      <c r="F61" s="7">
        <v>1242371</v>
      </c>
      <c r="G61" s="7">
        <v>1240425</v>
      </c>
      <c r="H61" s="7">
        <v>1233855</v>
      </c>
      <c r="I61" s="7">
        <v>1253510</v>
      </c>
      <c r="J61" s="7">
        <v>1265993</v>
      </c>
      <c r="K61" s="7">
        <v>1306554</v>
      </c>
      <c r="L61" s="7">
        <v>1372134</v>
      </c>
      <c r="M61" s="7">
        <v>1355316</v>
      </c>
      <c r="N61" s="7">
        <v>1354406</v>
      </c>
      <c r="O61" s="7">
        <v>1360463</v>
      </c>
      <c r="P61" s="7">
        <v>1338840</v>
      </c>
      <c r="Q61" s="7">
        <v>1337946</v>
      </c>
      <c r="R61" s="7">
        <v>1322946</v>
      </c>
      <c r="S61" s="7">
        <v>1343505</v>
      </c>
      <c r="T61" s="7">
        <v>1379623</v>
      </c>
      <c r="U61" s="7">
        <v>1367852</v>
      </c>
      <c r="V61" s="7">
        <v>1378488</v>
      </c>
      <c r="W61" s="7">
        <v>1420707</v>
      </c>
      <c r="X61" s="7">
        <v>1458707</v>
      </c>
      <c r="Y61" s="7">
        <v>1439110</v>
      </c>
      <c r="Z61" s="7">
        <v>1518473</v>
      </c>
      <c r="AA61" s="7">
        <v>1547368</v>
      </c>
      <c r="AB61" s="7">
        <v>1534883</v>
      </c>
      <c r="AC61" s="7">
        <v>1517104</v>
      </c>
      <c r="AD61" s="7">
        <v>1517563</v>
      </c>
      <c r="AE61" s="7">
        <v>1515042</v>
      </c>
      <c r="AF61" s="7">
        <v>1570534</v>
      </c>
      <c r="AG61" s="7">
        <v>1614034</v>
      </c>
      <c r="AH61" s="7">
        <v>1555502</v>
      </c>
      <c r="AI61" s="7">
        <v>1545062</v>
      </c>
      <c r="AJ61" s="7">
        <v>1566062</v>
      </c>
      <c r="AK61" s="7">
        <v>1566652</v>
      </c>
      <c r="AL61" s="7">
        <v>1585148</v>
      </c>
      <c r="AM61" s="7">
        <v>1547348</v>
      </c>
      <c r="AN61" s="7">
        <v>1472812</v>
      </c>
      <c r="AO61" s="7">
        <v>1489579</v>
      </c>
      <c r="AP61" s="7">
        <v>1495079</v>
      </c>
      <c r="AQ61" s="7">
        <v>1521581</v>
      </c>
      <c r="AR61" s="7">
        <v>1526008</v>
      </c>
      <c r="AS61" s="7">
        <v>1510508</v>
      </c>
      <c r="AT61" s="7">
        <v>1504009</v>
      </c>
      <c r="AU61" s="7">
        <v>1468023</v>
      </c>
      <c r="AV61" s="7">
        <v>1446023</v>
      </c>
      <c r="AW61" s="7">
        <v>1433251</v>
      </c>
      <c r="AX61" s="7">
        <v>1454287</v>
      </c>
      <c r="AY61" s="7">
        <v>1464387</v>
      </c>
      <c r="AZ61" s="7">
        <v>1447334</v>
      </c>
      <c r="BA61" s="7">
        <v>1466432</v>
      </c>
      <c r="BB61" s="7">
        <v>1491432</v>
      </c>
      <c r="BC61" s="7">
        <v>1584528</v>
      </c>
      <c r="BD61" s="7">
        <v>1573401</v>
      </c>
      <c r="BE61" s="7">
        <v>1565501</v>
      </c>
      <c r="BF61" s="7">
        <v>1555042</v>
      </c>
      <c r="BG61" s="7">
        <v>1554154</v>
      </c>
      <c r="BH61" s="7">
        <v>1623154</v>
      </c>
      <c r="BI61" s="7">
        <v>1634629</v>
      </c>
      <c r="BJ61" s="7">
        <v>1621340</v>
      </c>
      <c r="BK61" s="7">
        <v>1625206</v>
      </c>
      <c r="BL61" s="7">
        <v>1629515</v>
      </c>
      <c r="BM61" s="7">
        <v>1673569</v>
      </c>
      <c r="BN61" s="7">
        <v>1652969</v>
      </c>
      <c r="BO61" s="7">
        <v>1670422</v>
      </c>
      <c r="BP61" s="7">
        <v>1622449</v>
      </c>
      <c r="BQ61" s="7">
        <v>1701651</v>
      </c>
      <c r="BR61" s="7">
        <v>1744452</v>
      </c>
      <c r="BS61" s="7">
        <v>1743043</v>
      </c>
      <c r="BT61" s="7">
        <v>1727818</v>
      </c>
      <c r="BU61" s="7">
        <v>1746184</v>
      </c>
      <c r="BV61" s="7">
        <v>1815587</v>
      </c>
      <c r="BW61" s="7">
        <v>1834402</v>
      </c>
      <c r="BX61" s="7">
        <v>1846764</v>
      </c>
      <c r="BY61" s="7">
        <v>1895686</v>
      </c>
      <c r="BZ61" s="7">
        <v>1955110</v>
      </c>
      <c r="CA61" s="7">
        <v>1992956</v>
      </c>
      <c r="CB61" s="7">
        <v>1987695</v>
      </c>
      <c r="CC61" s="7">
        <v>2040378</v>
      </c>
      <c r="CD61" s="7">
        <v>2037644</v>
      </c>
      <c r="CE61" s="7">
        <v>2078033</v>
      </c>
      <c r="CF61" s="7">
        <v>2115830</v>
      </c>
      <c r="CG61" s="7">
        <v>2129411</v>
      </c>
      <c r="CH61" s="7">
        <v>2195143</v>
      </c>
      <c r="CI61" s="7">
        <v>2190152</v>
      </c>
      <c r="CJ61" s="7">
        <v>2241677</v>
      </c>
      <c r="CK61" s="7">
        <v>2258444</v>
      </c>
      <c r="CL61" s="7">
        <v>2250196</v>
      </c>
      <c r="CM61" s="7">
        <v>2254422</v>
      </c>
      <c r="CN61" s="7">
        <v>2214341</v>
      </c>
      <c r="CO61" s="7">
        <v>2295039</v>
      </c>
      <c r="CP61" s="7">
        <v>2331160</v>
      </c>
      <c r="CQ61" s="7">
        <v>2312260</v>
      </c>
      <c r="CR61" s="7">
        <v>2373256</v>
      </c>
      <c r="CS61" s="7">
        <v>2487839</v>
      </c>
      <c r="CT61" s="7">
        <v>2546008</v>
      </c>
      <c r="CU61" s="7">
        <v>2537615</v>
      </c>
      <c r="CV61" s="7">
        <v>2632660</v>
      </c>
      <c r="CW61" s="7">
        <v>2571853</v>
      </c>
      <c r="CX61" s="7">
        <v>2632769</v>
      </c>
      <c r="CY61" s="7">
        <v>2621068</v>
      </c>
      <c r="CZ61" s="7">
        <v>2753871</v>
      </c>
      <c r="DA61" s="7">
        <v>2756573</v>
      </c>
      <c r="DB61" s="7">
        <v>2787976</v>
      </c>
      <c r="DC61" s="7">
        <v>2831631</v>
      </c>
      <c r="DD61" s="7">
        <v>2823053</v>
      </c>
      <c r="DE61" s="7">
        <v>2845611</v>
      </c>
      <c r="DF61" s="7">
        <v>2924002</v>
      </c>
      <c r="DG61" s="7">
        <v>2909786</v>
      </c>
      <c r="DH61" s="7">
        <v>2837942</v>
      </c>
      <c r="DI61" s="7">
        <v>2804252</v>
      </c>
      <c r="DJ61" s="7">
        <v>2739828</v>
      </c>
      <c r="DK61" s="7">
        <v>2733097</v>
      </c>
      <c r="DL61" s="7">
        <v>2699143</v>
      </c>
      <c r="DM61" s="7">
        <v>2659354</v>
      </c>
      <c r="DN61" s="7">
        <v>2656866</v>
      </c>
      <c r="DO61" s="7">
        <v>2619023</v>
      </c>
      <c r="DP61" s="7">
        <v>2559981</v>
      </c>
      <c r="DQ61" s="7">
        <v>2665981</v>
      </c>
      <c r="DR61" s="7">
        <v>2625976</v>
      </c>
      <c r="DS61" s="7">
        <v>2572185</v>
      </c>
      <c r="DT61" s="7">
        <v>2684862</v>
      </c>
      <c r="DU61" s="7">
        <v>2668324</v>
      </c>
      <c r="DV61" s="7">
        <v>2657502</v>
      </c>
      <c r="DW61" s="7">
        <v>2625507</v>
      </c>
      <c r="DX61" s="7">
        <v>2693621</v>
      </c>
      <c r="DY61" s="7">
        <v>2684904</v>
      </c>
      <c r="DZ61" s="7">
        <v>2637890</v>
      </c>
      <c r="EA61" s="7">
        <v>2571252</v>
      </c>
      <c r="EB61" s="7">
        <v>2582132</v>
      </c>
      <c r="EC61" s="7">
        <v>2570349</v>
      </c>
      <c r="ED61" s="7">
        <v>2575325</v>
      </c>
      <c r="EE61" s="7">
        <v>2562925</v>
      </c>
      <c r="EF61" s="7">
        <v>2571194</v>
      </c>
      <c r="EG61" s="7">
        <v>2577904</v>
      </c>
      <c r="EH61" s="7">
        <v>2594985</v>
      </c>
      <c r="EI61" s="7">
        <v>2544724</v>
      </c>
      <c r="EJ61" s="25">
        <f t="shared" si="0"/>
        <v>-37131</v>
      </c>
      <c r="EK61" s="7">
        <v>2507593</v>
      </c>
      <c r="EL61" s="25">
        <f t="shared" si="1"/>
        <v>-52170</v>
      </c>
      <c r="EM61" s="7">
        <v>2455423</v>
      </c>
      <c r="EN61" s="25">
        <f t="shared" si="2"/>
        <v>69382</v>
      </c>
      <c r="EO61" s="7">
        <v>2524805</v>
      </c>
      <c r="EP61" s="25">
        <f t="shared" si="3"/>
        <v>-9381</v>
      </c>
      <c r="EQ61" s="7">
        <v>2515424</v>
      </c>
      <c r="ER61" s="25">
        <f t="shared" si="4"/>
        <v>45101</v>
      </c>
      <c r="ES61" s="7">
        <v>2560525</v>
      </c>
      <c r="ET61" s="25">
        <f t="shared" si="5"/>
        <v>-119233</v>
      </c>
      <c r="EU61" s="7">
        <v>2441292</v>
      </c>
      <c r="EV61" s="25">
        <f t="shared" si="6"/>
        <v>93160</v>
      </c>
      <c r="EW61" s="7">
        <v>2534452</v>
      </c>
      <c r="EX61" s="7">
        <v>2507892</v>
      </c>
      <c r="EY61" s="7">
        <v>2450363</v>
      </c>
      <c r="EZ61" s="7">
        <v>2497932</v>
      </c>
      <c r="FA61" s="7">
        <v>2514054</v>
      </c>
      <c r="FB61" s="7">
        <v>2517690</v>
      </c>
      <c r="FC61" s="7">
        <v>2569004</v>
      </c>
      <c r="FD61" s="7">
        <v>2552561</v>
      </c>
      <c r="FE61" s="7">
        <v>2576295</v>
      </c>
      <c r="FF61" s="7">
        <v>2571789</v>
      </c>
      <c r="FG61" s="7">
        <v>2542153</v>
      </c>
      <c r="FH61" s="7">
        <v>2483308</v>
      </c>
      <c r="FI61" s="7">
        <v>2572903</v>
      </c>
      <c r="FJ61" s="7">
        <v>2552582</v>
      </c>
    </row>
    <row r="62" spans="1:166" x14ac:dyDescent="0.4">
      <c r="A62" s="35" t="s">
        <v>27</v>
      </c>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v>151691</v>
      </c>
      <c r="BW62" s="7">
        <v>168691</v>
      </c>
      <c r="BX62" s="7">
        <v>186191</v>
      </c>
      <c r="BY62" s="7">
        <v>190111</v>
      </c>
      <c r="BZ62" s="7">
        <v>194888</v>
      </c>
      <c r="CA62" s="7">
        <v>194104</v>
      </c>
      <c r="CB62" s="7">
        <v>255214</v>
      </c>
      <c r="CC62" s="7">
        <v>233654</v>
      </c>
      <c r="CD62" s="7">
        <v>220852</v>
      </c>
      <c r="CE62" s="7">
        <v>242852</v>
      </c>
      <c r="CF62" s="7">
        <v>234852</v>
      </c>
      <c r="CG62" s="7">
        <v>209052</v>
      </c>
      <c r="CH62" s="7">
        <v>281021</v>
      </c>
      <c r="CI62" s="7">
        <v>279021</v>
      </c>
      <c r="CJ62" s="7">
        <v>268821</v>
      </c>
      <c r="CK62" s="7">
        <v>329973</v>
      </c>
      <c r="CL62" s="7">
        <v>350978</v>
      </c>
      <c r="CM62" s="7">
        <v>345171</v>
      </c>
      <c r="CN62" s="7">
        <v>338530</v>
      </c>
      <c r="CO62" s="7">
        <v>380488</v>
      </c>
      <c r="CP62" s="7">
        <v>442576</v>
      </c>
      <c r="CQ62" s="7">
        <v>455957</v>
      </c>
      <c r="CR62" s="7">
        <v>467641</v>
      </c>
      <c r="CS62" s="7">
        <v>512750</v>
      </c>
      <c r="CT62" s="7">
        <v>453330</v>
      </c>
      <c r="CU62" s="7">
        <v>466273</v>
      </c>
      <c r="CV62" s="7">
        <v>537891</v>
      </c>
      <c r="CW62" s="7">
        <v>497932</v>
      </c>
      <c r="CX62" s="7">
        <v>509417</v>
      </c>
      <c r="CY62" s="7">
        <v>511947</v>
      </c>
      <c r="CZ62" s="7">
        <v>504021</v>
      </c>
      <c r="DA62" s="7">
        <v>504680</v>
      </c>
      <c r="DB62" s="7">
        <v>459029</v>
      </c>
      <c r="DC62" s="7">
        <v>431336</v>
      </c>
      <c r="DD62" s="7">
        <v>463379</v>
      </c>
      <c r="DE62" s="7">
        <v>435476</v>
      </c>
      <c r="DF62" s="7">
        <v>448409</v>
      </c>
      <c r="DG62" s="7">
        <v>484540</v>
      </c>
      <c r="DH62" s="7">
        <v>426628</v>
      </c>
      <c r="DI62" s="7">
        <v>416187</v>
      </c>
      <c r="DJ62" s="7">
        <v>386750</v>
      </c>
      <c r="DK62" s="7">
        <v>445007</v>
      </c>
      <c r="DL62" s="7">
        <v>443217</v>
      </c>
      <c r="DM62" s="7">
        <v>440708</v>
      </c>
      <c r="DN62" s="7">
        <v>459007</v>
      </c>
      <c r="DO62" s="7">
        <v>495298</v>
      </c>
      <c r="DP62" s="7">
        <v>587508</v>
      </c>
      <c r="DQ62" s="7">
        <v>639264</v>
      </c>
      <c r="DR62" s="7">
        <v>609957</v>
      </c>
      <c r="DS62" s="7">
        <v>586695</v>
      </c>
      <c r="DT62" s="7">
        <v>591239</v>
      </c>
      <c r="DU62" s="7">
        <v>588518</v>
      </c>
      <c r="DV62" s="7">
        <v>590701</v>
      </c>
      <c r="DW62" s="7">
        <v>564205</v>
      </c>
      <c r="DX62" s="7">
        <v>592114</v>
      </c>
      <c r="DY62" s="7">
        <v>573060</v>
      </c>
      <c r="DZ62" s="7">
        <v>550279</v>
      </c>
      <c r="EA62" s="7">
        <v>575890</v>
      </c>
      <c r="EB62" s="7">
        <v>452716</v>
      </c>
      <c r="EC62" s="7">
        <v>508059</v>
      </c>
      <c r="ED62" s="7">
        <v>553515</v>
      </c>
      <c r="EE62" s="7">
        <v>551242</v>
      </c>
      <c r="EF62" s="7">
        <v>597660</v>
      </c>
      <c r="EG62" s="7">
        <v>657625</v>
      </c>
      <c r="EH62" s="7">
        <v>640082</v>
      </c>
      <c r="EI62" s="7">
        <v>615963</v>
      </c>
      <c r="EJ62" s="25">
        <f t="shared" si="0"/>
        <v>-48225</v>
      </c>
      <c r="EK62" s="7">
        <v>567738</v>
      </c>
      <c r="EL62" s="25">
        <f t="shared" si="1"/>
        <v>34162</v>
      </c>
      <c r="EM62" s="7">
        <v>601900</v>
      </c>
      <c r="EN62" s="25">
        <f t="shared" si="2"/>
        <v>21926</v>
      </c>
      <c r="EO62" s="7">
        <v>623826</v>
      </c>
      <c r="EP62" s="25">
        <f t="shared" si="3"/>
        <v>-40966</v>
      </c>
      <c r="EQ62" s="7">
        <v>582860</v>
      </c>
      <c r="ER62" s="25">
        <f t="shared" si="4"/>
        <v>42549</v>
      </c>
      <c r="ES62" s="7">
        <v>625409</v>
      </c>
      <c r="ET62" s="25">
        <f t="shared" si="5"/>
        <v>-71815</v>
      </c>
      <c r="EU62" s="7">
        <v>553594</v>
      </c>
      <c r="EV62" s="25">
        <f t="shared" si="6"/>
        <v>-23982</v>
      </c>
      <c r="EW62" s="7">
        <v>529612</v>
      </c>
      <c r="EX62" s="7">
        <v>516171</v>
      </c>
      <c r="EY62" s="7">
        <v>455988</v>
      </c>
      <c r="EZ62" s="7">
        <v>375877</v>
      </c>
      <c r="FA62" s="7">
        <v>411117</v>
      </c>
      <c r="FB62" s="7">
        <v>514969</v>
      </c>
      <c r="FC62" s="7">
        <v>564604</v>
      </c>
      <c r="FD62" s="7">
        <v>547345</v>
      </c>
      <c r="FE62" s="7">
        <v>542707</v>
      </c>
      <c r="FF62" s="7">
        <v>529787</v>
      </c>
      <c r="FG62" s="7">
        <v>481556</v>
      </c>
      <c r="FH62" s="7">
        <v>438551</v>
      </c>
      <c r="FI62" s="7">
        <v>546181</v>
      </c>
      <c r="FJ62" s="7">
        <v>572223</v>
      </c>
    </row>
    <row r="63" spans="1:166" x14ac:dyDescent="0.4">
      <c r="A63" s="35" t="s">
        <v>30</v>
      </c>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v>1663896</v>
      </c>
      <c r="BW63" s="7">
        <v>1665712</v>
      </c>
      <c r="BX63" s="7">
        <v>1660573</v>
      </c>
      <c r="BY63" s="7">
        <v>1705575</v>
      </c>
      <c r="BZ63" s="7">
        <v>1760221</v>
      </c>
      <c r="CA63" s="7">
        <v>1798852</v>
      </c>
      <c r="CB63" s="7">
        <v>1732482</v>
      </c>
      <c r="CC63" s="7">
        <v>1806724</v>
      </c>
      <c r="CD63" s="7">
        <v>1816792</v>
      </c>
      <c r="CE63" s="7">
        <v>1835181</v>
      </c>
      <c r="CF63" s="7">
        <v>1880978</v>
      </c>
      <c r="CG63" s="7">
        <v>1920359</v>
      </c>
      <c r="CH63" s="7">
        <v>1914122</v>
      </c>
      <c r="CI63" s="7">
        <v>1911131</v>
      </c>
      <c r="CJ63" s="7">
        <v>1972856</v>
      </c>
      <c r="CK63" s="7">
        <v>1928471</v>
      </c>
      <c r="CL63" s="7">
        <v>1899218</v>
      </c>
      <c r="CM63" s="7">
        <v>1909251</v>
      </c>
      <c r="CN63" s="7">
        <v>1875811</v>
      </c>
      <c r="CO63" s="7">
        <v>1914552</v>
      </c>
      <c r="CP63" s="7">
        <v>1888584</v>
      </c>
      <c r="CQ63" s="7">
        <v>1856304</v>
      </c>
      <c r="CR63" s="7">
        <v>1905615</v>
      </c>
      <c r="CS63" s="7">
        <v>1975089</v>
      </c>
      <c r="CT63" s="7">
        <v>2092678</v>
      </c>
      <c r="CU63" s="7">
        <v>2071342</v>
      </c>
      <c r="CV63" s="7">
        <v>2094769</v>
      </c>
      <c r="CW63" s="7">
        <v>2073920</v>
      </c>
      <c r="CX63" s="7">
        <v>2123352</v>
      </c>
      <c r="CY63" s="7">
        <v>2109122</v>
      </c>
      <c r="CZ63" s="7">
        <v>2249850</v>
      </c>
      <c r="DA63" s="7">
        <v>2251893</v>
      </c>
      <c r="DB63" s="7">
        <v>2328947</v>
      </c>
      <c r="DC63" s="7">
        <v>2400296</v>
      </c>
      <c r="DD63" s="7">
        <v>2359674</v>
      </c>
      <c r="DE63" s="7">
        <v>2410134</v>
      </c>
      <c r="DF63" s="7">
        <v>2475593</v>
      </c>
      <c r="DG63" s="7">
        <v>2425246</v>
      </c>
      <c r="DH63" s="7">
        <v>2411314</v>
      </c>
      <c r="DI63" s="7">
        <v>2388065</v>
      </c>
      <c r="DJ63" s="7">
        <v>2353078</v>
      </c>
      <c r="DK63" s="7">
        <v>2288091</v>
      </c>
      <c r="DL63" s="7">
        <v>2255926</v>
      </c>
      <c r="DM63" s="7">
        <v>2218646</v>
      </c>
      <c r="DN63" s="7">
        <v>2197859</v>
      </c>
      <c r="DO63" s="7">
        <v>2123725</v>
      </c>
      <c r="DP63" s="7">
        <v>1972473</v>
      </c>
      <c r="DQ63" s="7">
        <v>2026717</v>
      </c>
      <c r="DR63" s="7">
        <v>2016020</v>
      </c>
      <c r="DS63" s="7">
        <v>1985490</v>
      </c>
      <c r="DT63" s="7">
        <v>2093623</v>
      </c>
      <c r="DU63" s="7">
        <v>2079806</v>
      </c>
      <c r="DV63" s="7">
        <v>2066801</v>
      </c>
      <c r="DW63" s="7">
        <v>2061302</v>
      </c>
      <c r="DX63" s="7">
        <v>2101506</v>
      </c>
      <c r="DY63" s="7">
        <v>2111844</v>
      </c>
      <c r="DZ63" s="7">
        <v>2087610</v>
      </c>
      <c r="EA63" s="7">
        <v>1995362</v>
      </c>
      <c r="EB63" s="7">
        <v>2129416</v>
      </c>
      <c r="EC63" s="7">
        <v>2062290</v>
      </c>
      <c r="ED63" s="7">
        <v>2021810</v>
      </c>
      <c r="EE63" s="7">
        <v>2011682</v>
      </c>
      <c r="EF63" s="7">
        <v>1973534</v>
      </c>
      <c r="EG63" s="7">
        <v>1920279</v>
      </c>
      <c r="EH63" s="7">
        <v>1954903</v>
      </c>
      <c r="EI63" s="7">
        <v>1928761</v>
      </c>
      <c r="EJ63" s="25">
        <f t="shared" si="0"/>
        <v>11094</v>
      </c>
      <c r="EK63" s="7">
        <v>1939855</v>
      </c>
      <c r="EL63" s="25">
        <f t="shared" si="1"/>
        <v>-86332</v>
      </c>
      <c r="EM63" s="7">
        <v>1853523</v>
      </c>
      <c r="EN63" s="25">
        <f t="shared" si="2"/>
        <v>47456</v>
      </c>
      <c r="EO63" s="7">
        <v>1900979</v>
      </c>
      <c r="EP63" s="25">
        <f t="shared" si="3"/>
        <v>31585</v>
      </c>
      <c r="EQ63" s="7">
        <v>1932564</v>
      </c>
      <c r="ER63" s="25">
        <f t="shared" si="4"/>
        <v>2552</v>
      </c>
      <c r="ES63" s="7">
        <v>1935116</v>
      </c>
      <c r="ET63" s="25">
        <f t="shared" si="5"/>
        <v>-47418</v>
      </c>
      <c r="EU63" s="7">
        <v>1887698</v>
      </c>
      <c r="EV63" s="25">
        <f t="shared" si="6"/>
        <v>117142</v>
      </c>
      <c r="EW63" s="7">
        <v>2004840</v>
      </c>
      <c r="EX63" s="7">
        <v>1991721</v>
      </c>
      <c r="EY63" s="7">
        <v>1994375</v>
      </c>
      <c r="EZ63" s="7">
        <v>2122055</v>
      </c>
      <c r="FA63" s="7">
        <v>2102937</v>
      </c>
      <c r="FB63" s="7">
        <v>2002721</v>
      </c>
      <c r="FC63" s="7">
        <v>2004401</v>
      </c>
      <c r="FD63" s="7">
        <v>2005216</v>
      </c>
      <c r="FE63" s="7">
        <v>2033588</v>
      </c>
      <c r="FF63" s="7">
        <v>2042002</v>
      </c>
      <c r="FG63" s="7">
        <v>2060597</v>
      </c>
      <c r="FH63" s="7">
        <v>2044757</v>
      </c>
      <c r="FI63" s="7">
        <v>2026721</v>
      </c>
      <c r="FJ63" s="7">
        <v>1980359</v>
      </c>
    </row>
    <row r="64" spans="1:166" x14ac:dyDescent="0.4">
      <c r="A64" s="34" t="s">
        <v>4</v>
      </c>
      <c r="B64" s="7">
        <v>15000</v>
      </c>
      <c r="C64" s="7">
        <v>15000</v>
      </c>
      <c r="D64" s="7">
        <v>15000</v>
      </c>
      <c r="E64" s="7">
        <v>15000</v>
      </c>
      <c r="F64" s="7">
        <v>18000</v>
      </c>
      <c r="G64" s="7">
        <v>18000</v>
      </c>
      <c r="H64" s="7">
        <v>18000</v>
      </c>
      <c r="I64" s="7">
        <v>18000</v>
      </c>
      <c r="J64" s="7">
        <v>18000</v>
      </c>
      <c r="K64" s="7">
        <v>18000</v>
      </c>
      <c r="L64" s="7">
        <v>18000</v>
      </c>
      <c r="M64" s="7">
        <v>18000</v>
      </c>
      <c r="N64" s="7">
        <v>18000</v>
      </c>
      <c r="O64" s="7">
        <v>18000</v>
      </c>
      <c r="P64" s="7">
        <v>18000</v>
      </c>
      <c r="Q64" s="7">
        <v>18000</v>
      </c>
      <c r="R64" s="7">
        <v>18000</v>
      </c>
      <c r="S64" s="7">
        <v>18000</v>
      </c>
      <c r="T64" s="7">
        <v>18000</v>
      </c>
      <c r="U64" s="7">
        <v>18000</v>
      </c>
      <c r="V64" s="7">
        <v>18000</v>
      </c>
      <c r="W64" s="7">
        <v>18000</v>
      </c>
      <c r="X64" s="7">
        <v>18000</v>
      </c>
      <c r="Y64" s="7">
        <v>13000</v>
      </c>
      <c r="Z64" s="7">
        <v>13000</v>
      </c>
      <c r="AA64" s="7">
        <v>13000</v>
      </c>
      <c r="AB64" s="7">
        <v>13000</v>
      </c>
      <c r="AC64" s="7">
        <v>13000</v>
      </c>
      <c r="AD64" s="7">
        <v>13000</v>
      </c>
      <c r="AE64" s="7">
        <v>13000</v>
      </c>
      <c r="AF64" s="7">
        <v>13000</v>
      </c>
      <c r="AG64" s="7">
        <v>13000</v>
      </c>
      <c r="AH64" s="7">
        <v>13000</v>
      </c>
      <c r="AI64" s="7">
        <v>13000</v>
      </c>
      <c r="AJ64" s="7">
        <v>13000</v>
      </c>
      <c r="AK64" s="7">
        <v>13000</v>
      </c>
      <c r="AL64" s="7">
        <v>13000</v>
      </c>
      <c r="AM64" s="7">
        <v>13000</v>
      </c>
      <c r="AN64" s="7">
        <v>13000</v>
      </c>
      <c r="AO64" s="7">
        <v>13000</v>
      </c>
      <c r="AP64" s="7">
        <v>13000</v>
      </c>
      <c r="AQ64" s="7">
        <v>13000</v>
      </c>
      <c r="AR64" s="7">
        <v>13000</v>
      </c>
      <c r="AS64" s="7">
        <v>13000</v>
      </c>
      <c r="AT64" s="7">
        <v>13000</v>
      </c>
      <c r="AU64" s="7">
        <v>13000</v>
      </c>
      <c r="AV64" s="7">
        <v>13000</v>
      </c>
      <c r="AW64" s="7">
        <v>13000</v>
      </c>
      <c r="AX64" s="7">
        <v>13000</v>
      </c>
      <c r="AY64" s="7">
        <v>13000</v>
      </c>
      <c r="AZ64" s="7">
        <v>13000</v>
      </c>
      <c r="BA64" s="7">
        <v>13000</v>
      </c>
      <c r="BB64" s="7">
        <v>17000</v>
      </c>
      <c r="BC64" s="7">
        <v>17000</v>
      </c>
      <c r="BD64" s="7">
        <v>17000</v>
      </c>
      <c r="BE64" s="7">
        <v>17000</v>
      </c>
      <c r="BF64" s="7">
        <v>17000</v>
      </c>
      <c r="BG64" s="7">
        <v>12000</v>
      </c>
      <c r="BH64" s="7">
        <v>12000</v>
      </c>
      <c r="BI64" s="7">
        <v>7000</v>
      </c>
      <c r="BJ64" s="7">
        <v>7000</v>
      </c>
      <c r="BK64" s="7">
        <v>7000</v>
      </c>
      <c r="BL64" s="7">
        <v>7000</v>
      </c>
      <c r="BM64" s="7">
        <v>7000</v>
      </c>
      <c r="BN64" s="7">
        <v>7000</v>
      </c>
      <c r="BO64" s="7">
        <v>7000</v>
      </c>
      <c r="BP64" s="7">
        <v>7000</v>
      </c>
      <c r="BQ64" s="7">
        <v>7000</v>
      </c>
      <c r="BR64" s="7">
        <v>7000</v>
      </c>
      <c r="BS64" s="7">
        <v>7000</v>
      </c>
      <c r="BT64" s="7">
        <v>7000</v>
      </c>
      <c r="BU64" s="7">
        <v>7000</v>
      </c>
      <c r="BV64" s="7">
        <v>7000</v>
      </c>
      <c r="BW64" s="7">
        <v>7000</v>
      </c>
      <c r="BX64" s="7">
        <v>7000</v>
      </c>
      <c r="BY64" s="7">
        <v>7000</v>
      </c>
      <c r="BZ64" s="7">
        <v>7000</v>
      </c>
      <c r="CA64" s="7">
        <v>7000</v>
      </c>
      <c r="CB64" s="7">
        <v>7000</v>
      </c>
      <c r="CC64" s="7">
        <v>7000</v>
      </c>
      <c r="CD64" s="7">
        <v>7000</v>
      </c>
      <c r="CE64" s="7">
        <v>4000</v>
      </c>
      <c r="CF64" s="7">
        <v>7000</v>
      </c>
      <c r="CG64" s="7">
        <v>7000</v>
      </c>
      <c r="CH64" s="7">
        <v>7000</v>
      </c>
      <c r="CI64" s="7">
        <v>7000</v>
      </c>
      <c r="CJ64" s="7">
        <v>7282</v>
      </c>
      <c r="CK64" s="7">
        <v>7343</v>
      </c>
      <c r="CL64" s="7">
        <v>7043</v>
      </c>
      <c r="CM64" s="7">
        <v>7101</v>
      </c>
      <c r="CN64" s="7">
        <v>7157</v>
      </c>
      <c r="CO64" s="7">
        <v>7215</v>
      </c>
      <c r="CP64" s="7">
        <v>7273</v>
      </c>
      <c r="CQ64" s="7">
        <v>7329</v>
      </c>
      <c r="CR64" s="7">
        <v>7047</v>
      </c>
      <c r="CS64" s="7">
        <v>7103</v>
      </c>
      <c r="CT64" s="7">
        <v>7161</v>
      </c>
      <c r="CU64" s="7">
        <v>7219</v>
      </c>
      <c r="CV64" s="7">
        <v>7271</v>
      </c>
      <c r="CW64" s="7">
        <v>7329</v>
      </c>
      <c r="CX64" s="7">
        <v>7035</v>
      </c>
      <c r="CY64" s="7">
        <v>7082</v>
      </c>
      <c r="CZ64" s="7">
        <v>7127</v>
      </c>
      <c r="DA64" s="7">
        <v>7174</v>
      </c>
      <c r="DB64" s="7">
        <v>7221</v>
      </c>
      <c r="DC64" s="7">
        <v>7266</v>
      </c>
      <c r="DD64" s="7">
        <v>4021</v>
      </c>
      <c r="DE64" s="7">
        <v>4044</v>
      </c>
      <c r="DF64" s="7">
        <v>4068</v>
      </c>
      <c r="DG64" s="7">
        <v>4091</v>
      </c>
      <c r="DH64" s="7">
        <v>4113</v>
      </c>
      <c r="DI64" s="7">
        <v>4137</v>
      </c>
      <c r="DJ64" s="7">
        <v>0</v>
      </c>
      <c r="DK64" s="7">
        <v>0</v>
      </c>
      <c r="DL64" s="7">
        <v>0</v>
      </c>
      <c r="DM64" s="7">
        <v>0</v>
      </c>
      <c r="DN64" s="7">
        <v>0</v>
      </c>
      <c r="DO64" s="7">
        <v>0</v>
      </c>
      <c r="DP64" s="7">
        <v>0</v>
      </c>
      <c r="DQ64" s="7">
        <v>0</v>
      </c>
      <c r="DR64" s="7">
        <v>0</v>
      </c>
      <c r="DS64" s="7">
        <v>0</v>
      </c>
      <c r="DT64" s="7">
        <v>0</v>
      </c>
      <c r="DU64" s="7">
        <v>0</v>
      </c>
      <c r="DV64" s="7">
        <v>0</v>
      </c>
      <c r="DW64" s="7">
        <v>0</v>
      </c>
      <c r="DX64" s="7">
        <v>0</v>
      </c>
      <c r="DY64" s="7">
        <v>0</v>
      </c>
      <c r="DZ64" s="7">
        <v>0</v>
      </c>
      <c r="EA64" s="7">
        <v>0</v>
      </c>
      <c r="EB64" s="7">
        <v>0</v>
      </c>
      <c r="EC64" s="7">
        <v>0</v>
      </c>
      <c r="ED64" s="7">
        <v>0</v>
      </c>
      <c r="EE64" s="7">
        <v>0</v>
      </c>
      <c r="EF64" s="7">
        <v>0</v>
      </c>
      <c r="EG64" s="7">
        <v>0</v>
      </c>
      <c r="EH64" s="7">
        <v>0</v>
      </c>
      <c r="EI64" s="7">
        <v>0</v>
      </c>
      <c r="EJ64" s="25">
        <f t="shared" si="0"/>
        <v>0</v>
      </c>
      <c r="EK64" s="7">
        <v>0</v>
      </c>
      <c r="EL64" s="25">
        <f t="shared" si="1"/>
        <v>0</v>
      </c>
      <c r="EM64" s="7">
        <v>0</v>
      </c>
      <c r="EN64" s="25">
        <f t="shared" si="2"/>
        <v>0</v>
      </c>
      <c r="EO64" s="7">
        <v>0</v>
      </c>
      <c r="EP64" s="25">
        <f t="shared" si="3"/>
        <v>0</v>
      </c>
      <c r="EQ64" s="7">
        <v>0</v>
      </c>
      <c r="ER64" s="25">
        <f t="shared" si="4"/>
        <v>0</v>
      </c>
      <c r="ES64" s="7">
        <v>0</v>
      </c>
      <c r="ET64" s="25">
        <f t="shared" si="5"/>
        <v>0</v>
      </c>
      <c r="EU64" s="7">
        <v>0</v>
      </c>
      <c r="EV64" s="25">
        <f t="shared" si="6"/>
        <v>0</v>
      </c>
      <c r="EW64" s="7">
        <v>0</v>
      </c>
      <c r="EX64" s="7">
        <v>0</v>
      </c>
      <c r="EY64" s="7">
        <v>0</v>
      </c>
      <c r="EZ64" s="7">
        <v>0</v>
      </c>
      <c r="FA64" s="7">
        <v>0</v>
      </c>
      <c r="FB64" s="7">
        <v>0</v>
      </c>
      <c r="FC64" s="7">
        <v>0</v>
      </c>
      <c r="FD64" s="7">
        <v>0</v>
      </c>
      <c r="FE64" s="7">
        <v>0</v>
      </c>
      <c r="FF64" s="7">
        <v>0</v>
      </c>
      <c r="FG64" s="7">
        <v>0</v>
      </c>
      <c r="FH64" s="7">
        <v>0</v>
      </c>
      <c r="FI64" s="7">
        <v>0</v>
      </c>
      <c r="FJ64" s="7">
        <v>0</v>
      </c>
    </row>
    <row r="65" spans="1:166" x14ac:dyDescent="0.4">
      <c r="A65" s="35" t="s">
        <v>13</v>
      </c>
      <c r="B65" s="7">
        <v>0</v>
      </c>
      <c r="C65" s="7">
        <v>0</v>
      </c>
      <c r="D65" s="7">
        <v>0</v>
      </c>
      <c r="E65" s="7">
        <v>0</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c r="AF65" s="7">
        <v>0</v>
      </c>
      <c r="AG65" s="7">
        <v>0</v>
      </c>
      <c r="AH65" s="7">
        <v>0</v>
      </c>
      <c r="AI65" s="7">
        <v>0</v>
      </c>
      <c r="AJ65" s="7">
        <v>0</v>
      </c>
      <c r="AK65" s="7">
        <v>0</v>
      </c>
      <c r="AL65" s="7">
        <v>0</v>
      </c>
      <c r="AM65" s="7">
        <v>0</v>
      </c>
      <c r="AN65" s="7">
        <v>0</v>
      </c>
      <c r="AO65" s="7">
        <v>0</v>
      </c>
      <c r="AP65" s="7">
        <v>0</v>
      </c>
      <c r="AQ65" s="7">
        <v>0</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0</v>
      </c>
      <c r="BI65" s="7">
        <v>0</v>
      </c>
      <c r="BJ65" s="7">
        <v>0</v>
      </c>
      <c r="BK65" s="7">
        <v>0</v>
      </c>
      <c r="BL65" s="7">
        <v>0</v>
      </c>
      <c r="BM65" s="7">
        <v>0</v>
      </c>
      <c r="BN65" s="7">
        <v>0</v>
      </c>
      <c r="BO65" s="7">
        <v>0</v>
      </c>
      <c r="BP65" s="7">
        <v>0</v>
      </c>
      <c r="BQ65" s="7">
        <v>0</v>
      </c>
      <c r="BR65" s="7">
        <v>0</v>
      </c>
      <c r="BS65" s="7">
        <v>0</v>
      </c>
      <c r="BT65" s="7">
        <v>0</v>
      </c>
      <c r="BU65" s="7">
        <v>0</v>
      </c>
      <c r="BV65" s="7">
        <v>0</v>
      </c>
      <c r="BW65" s="7">
        <v>0</v>
      </c>
      <c r="BX65" s="7">
        <v>0</v>
      </c>
      <c r="BY65" s="7">
        <v>0</v>
      </c>
      <c r="BZ65" s="7">
        <v>0</v>
      </c>
      <c r="CA65" s="7">
        <v>0</v>
      </c>
      <c r="CB65" s="7">
        <v>0</v>
      </c>
      <c r="CC65" s="7">
        <v>0</v>
      </c>
      <c r="CD65" s="7">
        <v>0</v>
      </c>
      <c r="CE65" s="7">
        <v>0</v>
      </c>
      <c r="CF65" s="7">
        <v>0</v>
      </c>
      <c r="CG65" s="7">
        <v>0</v>
      </c>
      <c r="CH65" s="7">
        <v>0</v>
      </c>
      <c r="CI65" s="7">
        <v>0</v>
      </c>
      <c r="CJ65" s="7">
        <v>0</v>
      </c>
      <c r="CK65" s="7">
        <v>0</v>
      </c>
      <c r="CL65" s="7">
        <v>0</v>
      </c>
      <c r="CM65" s="7">
        <v>0</v>
      </c>
      <c r="CN65" s="7">
        <v>0</v>
      </c>
      <c r="CO65" s="7">
        <v>0</v>
      </c>
      <c r="CP65" s="7">
        <v>0</v>
      </c>
      <c r="CQ65" s="7">
        <v>0</v>
      </c>
      <c r="CR65" s="7">
        <v>0</v>
      </c>
      <c r="CS65" s="7">
        <v>0</v>
      </c>
      <c r="CT65" s="7">
        <v>0</v>
      </c>
      <c r="CU65" s="7">
        <v>0</v>
      </c>
      <c r="CV65" s="7">
        <v>0</v>
      </c>
      <c r="CW65" s="7">
        <v>0</v>
      </c>
      <c r="CX65" s="7">
        <v>0</v>
      </c>
      <c r="CY65" s="7">
        <v>0</v>
      </c>
      <c r="CZ65" s="7">
        <v>0</v>
      </c>
      <c r="DA65" s="7">
        <v>0</v>
      </c>
      <c r="DB65" s="7">
        <v>0</v>
      </c>
      <c r="DC65" s="7">
        <v>0</v>
      </c>
      <c r="DD65" s="7">
        <v>0</v>
      </c>
      <c r="DE65" s="7">
        <v>0</v>
      </c>
      <c r="DF65" s="7">
        <v>0</v>
      </c>
      <c r="DG65" s="7">
        <v>0</v>
      </c>
      <c r="DH65" s="7">
        <v>0</v>
      </c>
      <c r="DI65" s="7">
        <v>0</v>
      </c>
      <c r="DJ65" s="7">
        <v>0</v>
      </c>
      <c r="DK65" s="7">
        <v>0</v>
      </c>
      <c r="DL65" s="7">
        <v>0</v>
      </c>
      <c r="DM65" s="7">
        <v>0</v>
      </c>
      <c r="DN65" s="7">
        <v>0</v>
      </c>
      <c r="DO65" s="7">
        <v>0</v>
      </c>
      <c r="DP65" s="7">
        <v>0</v>
      </c>
      <c r="DQ65" s="7">
        <v>0</v>
      </c>
      <c r="DR65" s="7">
        <v>0</v>
      </c>
      <c r="DS65" s="7">
        <v>0</v>
      </c>
      <c r="DT65" s="7">
        <v>0</v>
      </c>
      <c r="DU65" s="7">
        <v>0</v>
      </c>
      <c r="DV65" s="7">
        <v>0</v>
      </c>
      <c r="DW65" s="7">
        <v>0</v>
      </c>
      <c r="DX65" s="7">
        <v>0</v>
      </c>
      <c r="DY65" s="7">
        <v>0</v>
      </c>
      <c r="DZ65" s="7">
        <v>0</v>
      </c>
      <c r="EA65" s="7">
        <v>0</v>
      </c>
      <c r="EB65" s="7">
        <v>0</v>
      </c>
      <c r="EC65" s="7">
        <v>0</v>
      </c>
      <c r="ED65" s="7">
        <v>0</v>
      </c>
      <c r="EE65" s="7">
        <v>0</v>
      </c>
      <c r="EF65" s="7">
        <v>0</v>
      </c>
      <c r="EG65" s="7">
        <v>0</v>
      </c>
      <c r="EH65" s="7">
        <v>0</v>
      </c>
      <c r="EI65" s="7">
        <v>0</v>
      </c>
      <c r="EJ65" s="25">
        <f t="shared" si="0"/>
        <v>0</v>
      </c>
      <c r="EK65" s="7">
        <v>0</v>
      </c>
      <c r="EL65" s="25">
        <f t="shared" si="1"/>
        <v>0</v>
      </c>
      <c r="EM65" s="7">
        <v>0</v>
      </c>
      <c r="EN65" s="25">
        <f t="shared" si="2"/>
        <v>0</v>
      </c>
      <c r="EO65" s="7">
        <v>0</v>
      </c>
      <c r="EP65" s="25">
        <f t="shared" si="3"/>
        <v>0</v>
      </c>
      <c r="EQ65" s="7">
        <v>0</v>
      </c>
      <c r="ER65" s="25">
        <f t="shared" si="4"/>
        <v>0</v>
      </c>
      <c r="ES65" s="7">
        <v>0</v>
      </c>
      <c r="ET65" s="25">
        <f t="shared" si="5"/>
        <v>0</v>
      </c>
      <c r="EU65" s="7">
        <v>0</v>
      </c>
      <c r="EV65" s="25">
        <f t="shared" si="6"/>
        <v>0</v>
      </c>
      <c r="EW65" s="7">
        <v>0</v>
      </c>
      <c r="EX65" s="7">
        <v>0</v>
      </c>
      <c r="EY65" s="7">
        <v>0</v>
      </c>
      <c r="EZ65" s="7">
        <v>0</v>
      </c>
      <c r="FA65" s="7">
        <v>0</v>
      </c>
      <c r="FB65" s="7">
        <v>0</v>
      </c>
      <c r="FC65" s="7">
        <v>0</v>
      </c>
      <c r="FD65" s="7">
        <v>0</v>
      </c>
      <c r="FE65" s="7">
        <v>0</v>
      </c>
      <c r="FF65" s="7">
        <v>0</v>
      </c>
      <c r="FG65" s="7">
        <v>0</v>
      </c>
      <c r="FH65" s="7">
        <v>0</v>
      </c>
      <c r="FI65" s="7">
        <v>0</v>
      </c>
      <c r="FJ65" s="7">
        <v>0</v>
      </c>
    </row>
    <row r="66" spans="1:166" x14ac:dyDescent="0.4">
      <c r="A66" s="35" t="s">
        <v>14</v>
      </c>
      <c r="B66" s="7">
        <v>15000</v>
      </c>
      <c r="C66" s="7">
        <v>15000</v>
      </c>
      <c r="D66" s="7">
        <v>15000</v>
      </c>
      <c r="E66" s="7">
        <v>15000</v>
      </c>
      <c r="F66" s="7">
        <v>18000</v>
      </c>
      <c r="G66" s="7">
        <v>18000</v>
      </c>
      <c r="H66" s="7">
        <v>18000</v>
      </c>
      <c r="I66" s="7">
        <v>18000</v>
      </c>
      <c r="J66" s="7">
        <v>18000</v>
      </c>
      <c r="K66" s="7">
        <v>18000</v>
      </c>
      <c r="L66" s="7">
        <v>18000</v>
      </c>
      <c r="M66" s="7">
        <v>18000</v>
      </c>
      <c r="N66" s="7">
        <v>18000</v>
      </c>
      <c r="O66" s="7">
        <v>18000</v>
      </c>
      <c r="P66" s="7">
        <v>18000</v>
      </c>
      <c r="Q66" s="7">
        <v>18000</v>
      </c>
      <c r="R66" s="7">
        <v>18000</v>
      </c>
      <c r="S66" s="7">
        <v>18000</v>
      </c>
      <c r="T66" s="7">
        <v>18000</v>
      </c>
      <c r="U66" s="7">
        <v>18000</v>
      </c>
      <c r="V66" s="7">
        <v>18000</v>
      </c>
      <c r="W66" s="7">
        <v>18000</v>
      </c>
      <c r="X66" s="7">
        <v>18000</v>
      </c>
      <c r="Y66" s="7">
        <v>13000</v>
      </c>
      <c r="Z66" s="7">
        <v>13000</v>
      </c>
      <c r="AA66" s="7">
        <v>13000</v>
      </c>
      <c r="AB66" s="7">
        <v>13000</v>
      </c>
      <c r="AC66" s="7">
        <v>13000</v>
      </c>
      <c r="AD66" s="7">
        <v>13000</v>
      </c>
      <c r="AE66" s="7">
        <v>13000</v>
      </c>
      <c r="AF66" s="7">
        <v>13000</v>
      </c>
      <c r="AG66" s="7">
        <v>13000</v>
      </c>
      <c r="AH66" s="7">
        <v>13000</v>
      </c>
      <c r="AI66" s="7">
        <v>13000</v>
      </c>
      <c r="AJ66" s="7">
        <v>13000</v>
      </c>
      <c r="AK66" s="7">
        <v>13000</v>
      </c>
      <c r="AL66" s="7">
        <v>13000</v>
      </c>
      <c r="AM66" s="7">
        <v>13000</v>
      </c>
      <c r="AN66" s="7">
        <v>13000</v>
      </c>
      <c r="AO66" s="7">
        <v>13000</v>
      </c>
      <c r="AP66" s="7">
        <v>13000</v>
      </c>
      <c r="AQ66" s="7">
        <v>13000</v>
      </c>
      <c r="AR66" s="7">
        <v>13000</v>
      </c>
      <c r="AS66" s="7">
        <v>13000</v>
      </c>
      <c r="AT66" s="7">
        <v>13000</v>
      </c>
      <c r="AU66" s="7">
        <v>13000</v>
      </c>
      <c r="AV66" s="7">
        <v>13000</v>
      </c>
      <c r="AW66" s="7">
        <v>13000</v>
      </c>
      <c r="AX66" s="7">
        <v>13000</v>
      </c>
      <c r="AY66" s="7">
        <v>13000</v>
      </c>
      <c r="AZ66" s="7">
        <v>13000</v>
      </c>
      <c r="BA66" s="7">
        <v>13000</v>
      </c>
      <c r="BB66" s="7">
        <v>17000</v>
      </c>
      <c r="BC66" s="7">
        <v>17000</v>
      </c>
      <c r="BD66" s="7">
        <v>17000</v>
      </c>
      <c r="BE66" s="7">
        <v>17000</v>
      </c>
      <c r="BF66" s="7">
        <v>17000</v>
      </c>
      <c r="BG66" s="7">
        <v>12000</v>
      </c>
      <c r="BH66" s="7">
        <v>12000</v>
      </c>
      <c r="BI66" s="7">
        <v>7000</v>
      </c>
      <c r="BJ66" s="7">
        <v>7000</v>
      </c>
      <c r="BK66" s="7">
        <v>7000</v>
      </c>
      <c r="BL66" s="7">
        <v>7000</v>
      </c>
      <c r="BM66" s="7">
        <v>7000</v>
      </c>
      <c r="BN66" s="7">
        <v>7000</v>
      </c>
      <c r="BO66" s="7">
        <v>7000</v>
      </c>
      <c r="BP66" s="7">
        <v>7000</v>
      </c>
      <c r="BQ66" s="7">
        <v>7000</v>
      </c>
      <c r="BR66" s="7">
        <v>7000</v>
      </c>
      <c r="BS66" s="7">
        <v>7000</v>
      </c>
      <c r="BT66" s="7">
        <v>7000</v>
      </c>
      <c r="BU66" s="7">
        <v>7000</v>
      </c>
      <c r="BV66" s="7">
        <v>7000</v>
      </c>
      <c r="BW66" s="7">
        <v>7000</v>
      </c>
      <c r="BX66" s="7">
        <v>7000</v>
      </c>
      <c r="BY66" s="7">
        <v>7000</v>
      </c>
      <c r="BZ66" s="7">
        <v>7000</v>
      </c>
      <c r="CA66" s="7">
        <v>7000</v>
      </c>
      <c r="CB66" s="7">
        <v>7000</v>
      </c>
      <c r="CC66" s="7">
        <v>7000</v>
      </c>
      <c r="CD66" s="7">
        <v>7000</v>
      </c>
      <c r="CE66" s="7">
        <v>4000</v>
      </c>
      <c r="CF66" s="7">
        <v>7000</v>
      </c>
      <c r="CG66" s="7">
        <v>7000</v>
      </c>
      <c r="CH66" s="7">
        <v>7000</v>
      </c>
      <c r="CI66" s="7">
        <v>7000</v>
      </c>
      <c r="CJ66" s="7">
        <v>7282</v>
      </c>
      <c r="CK66" s="7">
        <v>7343</v>
      </c>
      <c r="CL66" s="7">
        <v>7043</v>
      </c>
      <c r="CM66" s="7">
        <v>7101</v>
      </c>
      <c r="CN66" s="7">
        <v>7157</v>
      </c>
      <c r="CO66" s="7">
        <v>7215</v>
      </c>
      <c r="CP66" s="7">
        <v>7273</v>
      </c>
      <c r="CQ66" s="7">
        <v>7329</v>
      </c>
      <c r="CR66" s="7">
        <v>7047</v>
      </c>
      <c r="CS66" s="7">
        <v>7103</v>
      </c>
      <c r="CT66" s="7">
        <v>7161</v>
      </c>
      <c r="CU66" s="7">
        <v>7219</v>
      </c>
      <c r="CV66" s="7">
        <v>7271</v>
      </c>
      <c r="CW66" s="7">
        <v>7329</v>
      </c>
      <c r="CX66" s="7">
        <v>7035</v>
      </c>
      <c r="CY66" s="7">
        <v>7082</v>
      </c>
      <c r="CZ66" s="7">
        <v>7127</v>
      </c>
      <c r="DA66" s="7">
        <v>7174</v>
      </c>
      <c r="DB66" s="7">
        <v>7221</v>
      </c>
      <c r="DC66" s="7">
        <v>7266</v>
      </c>
      <c r="DD66" s="7">
        <v>4021</v>
      </c>
      <c r="DE66" s="7">
        <v>4044</v>
      </c>
      <c r="DF66" s="7">
        <v>4068</v>
      </c>
      <c r="DG66" s="7">
        <v>4091</v>
      </c>
      <c r="DH66" s="7">
        <v>4113</v>
      </c>
      <c r="DI66" s="7">
        <v>4137</v>
      </c>
      <c r="DJ66" s="7">
        <v>0</v>
      </c>
      <c r="DK66" s="7">
        <v>0</v>
      </c>
      <c r="DL66" s="7">
        <v>0</v>
      </c>
      <c r="DM66" s="7">
        <v>0</v>
      </c>
      <c r="DN66" s="7">
        <v>0</v>
      </c>
      <c r="DO66" s="7">
        <v>0</v>
      </c>
      <c r="DP66" s="7">
        <v>0</v>
      </c>
      <c r="DQ66" s="7">
        <v>0</v>
      </c>
      <c r="DR66" s="7">
        <v>0</v>
      </c>
      <c r="DS66" s="7">
        <v>0</v>
      </c>
      <c r="DT66" s="7">
        <v>0</v>
      </c>
      <c r="DU66" s="7">
        <v>0</v>
      </c>
      <c r="DV66" s="7">
        <v>0</v>
      </c>
      <c r="DW66" s="7">
        <v>0</v>
      </c>
      <c r="DX66" s="7">
        <v>0</v>
      </c>
      <c r="DY66" s="7">
        <v>0</v>
      </c>
      <c r="DZ66" s="7">
        <v>0</v>
      </c>
      <c r="EA66" s="7">
        <v>0</v>
      </c>
      <c r="EB66" s="7">
        <v>0</v>
      </c>
      <c r="EC66" s="7">
        <v>0</v>
      </c>
      <c r="ED66" s="7">
        <v>0</v>
      </c>
      <c r="EE66" s="7">
        <v>0</v>
      </c>
      <c r="EF66" s="7">
        <v>0</v>
      </c>
      <c r="EG66" s="7">
        <v>0</v>
      </c>
      <c r="EH66" s="7">
        <v>0</v>
      </c>
      <c r="EI66" s="7">
        <v>0</v>
      </c>
      <c r="EJ66" s="25">
        <f t="shared" si="0"/>
        <v>0</v>
      </c>
      <c r="EK66" s="7">
        <v>0</v>
      </c>
      <c r="EL66" s="25">
        <f t="shared" si="1"/>
        <v>0</v>
      </c>
      <c r="EM66" s="7">
        <v>0</v>
      </c>
      <c r="EN66" s="25">
        <f t="shared" si="2"/>
        <v>0</v>
      </c>
      <c r="EO66" s="7">
        <v>0</v>
      </c>
      <c r="EP66" s="25">
        <f t="shared" si="3"/>
        <v>0</v>
      </c>
      <c r="EQ66" s="7">
        <v>0</v>
      </c>
      <c r="ER66" s="25">
        <f t="shared" si="4"/>
        <v>0</v>
      </c>
      <c r="ES66" s="7">
        <v>0</v>
      </c>
      <c r="ET66" s="25">
        <f t="shared" si="5"/>
        <v>0</v>
      </c>
      <c r="EU66" s="7">
        <v>0</v>
      </c>
      <c r="EV66" s="25">
        <f t="shared" si="6"/>
        <v>0</v>
      </c>
      <c r="EW66" s="7">
        <v>0</v>
      </c>
      <c r="EX66" s="7">
        <v>0</v>
      </c>
      <c r="EY66" s="7">
        <v>0</v>
      </c>
      <c r="EZ66" s="7">
        <v>0</v>
      </c>
      <c r="FA66" s="7">
        <v>0</v>
      </c>
      <c r="FB66" s="7">
        <v>0</v>
      </c>
      <c r="FC66" s="7">
        <v>0</v>
      </c>
      <c r="FD66" s="7">
        <v>0</v>
      </c>
      <c r="FE66" s="7">
        <v>0</v>
      </c>
      <c r="FF66" s="7">
        <v>0</v>
      </c>
      <c r="FG66" s="7">
        <v>0</v>
      </c>
      <c r="FH66" s="7">
        <v>0</v>
      </c>
      <c r="FI66" s="7">
        <v>0</v>
      </c>
      <c r="FJ66" s="7">
        <v>0</v>
      </c>
    </row>
    <row r="67" spans="1:166" x14ac:dyDescent="0.4">
      <c r="A67" s="35" t="s">
        <v>27</v>
      </c>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v>0</v>
      </c>
      <c r="BW67" s="7">
        <v>0</v>
      </c>
      <c r="BX67" s="7">
        <v>0</v>
      </c>
      <c r="BY67" s="7">
        <v>0</v>
      </c>
      <c r="BZ67" s="7">
        <v>0</v>
      </c>
      <c r="CA67" s="7">
        <v>0</v>
      </c>
      <c r="CB67" s="7">
        <v>0</v>
      </c>
      <c r="CC67" s="7">
        <v>0</v>
      </c>
      <c r="CD67" s="7">
        <v>0</v>
      </c>
      <c r="CE67" s="7">
        <v>0</v>
      </c>
      <c r="CF67" s="7">
        <v>0</v>
      </c>
      <c r="CG67" s="7">
        <v>0</v>
      </c>
      <c r="CH67" s="7">
        <v>0</v>
      </c>
      <c r="CI67" s="7">
        <v>0</v>
      </c>
      <c r="CJ67" s="7">
        <v>0</v>
      </c>
      <c r="CK67" s="7">
        <v>0</v>
      </c>
      <c r="CL67" s="7">
        <v>0</v>
      </c>
      <c r="CM67" s="7">
        <v>0</v>
      </c>
      <c r="CN67" s="7">
        <v>0</v>
      </c>
      <c r="CO67" s="7">
        <v>0</v>
      </c>
      <c r="CP67" s="7">
        <v>0</v>
      </c>
      <c r="CQ67" s="7">
        <v>0</v>
      </c>
      <c r="CR67" s="7">
        <v>0</v>
      </c>
      <c r="CS67" s="7">
        <v>0</v>
      </c>
      <c r="CT67" s="7">
        <v>0</v>
      </c>
      <c r="CU67" s="7">
        <v>0</v>
      </c>
      <c r="CV67" s="7">
        <v>0</v>
      </c>
      <c r="CW67" s="7">
        <v>0</v>
      </c>
      <c r="CX67" s="7">
        <v>4019</v>
      </c>
      <c r="CY67" s="7">
        <v>4043</v>
      </c>
      <c r="CZ67" s="7">
        <v>4066</v>
      </c>
      <c r="DA67" s="7">
        <v>4090</v>
      </c>
      <c r="DB67" s="7">
        <v>4114</v>
      </c>
      <c r="DC67" s="7">
        <v>4137</v>
      </c>
      <c r="DD67" s="7">
        <v>4021</v>
      </c>
      <c r="DE67" s="7">
        <v>4044</v>
      </c>
      <c r="DF67" s="7">
        <v>4068</v>
      </c>
      <c r="DG67" s="7">
        <v>4091</v>
      </c>
      <c r="DH67" s="7">
        <v>4113</v>
      </c>
      <c r="DI67" s="7">
        <v>4137</v>
      </c>
      <c r="DJ67" s="7">
        <v>0</v>
      </c>
      <c r="DK67" s="7">
        <v>0</v>
      </c>
      <c r="DL67" s="7">
        <v>0</v>
      </c>
      <c r="DM67" s="7">
        <v>0</v>
      </c>
      <c r="DN67" s="7">
        <v>0</v>
      </c>
      <c r="DO67" s="7">
        <v>0</v>
      </c>
      <c r="DP67" s="7">
        <v>0</v>
      </c>
      <c r="DQ67" s="7">
        <v>0</v>
      </c>
      <c r="DR67" s="7">
        <v>0</v>
      </c>
      <c r="DS67" s="7">
        <v>0</v>
      </c>
      <c r="DT67" s="7">
        <v>0</v>
      </c>
      <c r="DU67" s="7">
        <v>0</v>
      </c>
      <c r="DV67" s="7">
        <v>0</v>
      </c>
      <c r="DW67" s="7">
        <v>0</v>
      </c>
      <c r="DX67" s="7">
        <v>0</v>
      </c>
      <c r="DY67" s="7">
        <v>0</v>
      </c>
      <c r="DZ67" s="7">
        <v>0</v>
      </c>
      <c r="EA67" s="7">
        <v>0</v>
      </c>
      <c r="EB67" s="7">
        <v>0</v>
      </c>
      <c r="EC67" s="7">
        <v>0</v>
      </c>
      <c r="ED67" s="7">
        <v>0</v>
      </c>
      <c r="EE67" s="7">
        <v>0</v>
      </c>
      <c r="EF67" s="7">
        <v>0</v>
      </c>
      <c r="EG67" s="7">
        <v>0</v>
      </c>
      <c r="EH67" s="7">
        <v>0</v>
      </c>
      <c r="EI67" s="7">
        <v>0</v>
      </c>
      <c r="EJ67" s="25">
        <f t="shared" si="0"/>
        <v>0</v>
      </c>
      <c r="EK67" s="7">
        <v>0</v>
      </c>
      <c r="EL67" s="25">
        <f t="shared" si="1"/>
        <v>0</v>
      </c>
      <c r="EM67" s="7">
        <v>0</v>
      </c>
      <c r="EN67" s="25">
        <f t="shared" si="2"/>
        <v>0</v>
      </c>
      <c r="EO67" s="7">
        <v>0</v>
      </c>
      <c r="EP67" s="25">
        <f t="shared" si="3"/>
        <v>0</v>
      </c>
      <c r="EQ67" s="7">
        <v>0</v>
      </c>
      <c r="ER67" s="25">
        <f t="shared" si="4"/>
        <v>0</v>
      </c>
      <c r="ES67" s="7">
        <v>0</v>
      </c>
      <c r="ET67" s="25">
        <f t="shared" si="5"/>
        <v>0</v>
      </c>
      <c r="EU67" s="7">
        <v>0</v>
      </c>
      <c r="EV67" s="25">
        <f t="shared" si="6"/>
        <v>0</v>
      </c>
      <c r="EW67" s="7">
        <v>0</v>
      </c>
      <c r="EX67" s="7">
        <v>0</v>
      </c>
      <c r="EY67" s="7">
        <v>0</v>
      </c>
      <c r="EZ67" s="7">
        <v>0</v>
      </c>
      <c r="FA67" s="7">
        <v>0</v>
      </c>
      <c r="FB67" s="7">
        <v>0</v>
      </c>
      <c r="FC67" s="7">
        <v>0</v>
      </c>
      <c r="FD67" s="7">
        <v>0</v>
      </c>
      <c r="FE67" s="7">
        <v>0</v>
      </c>
      <c r="FF67" s="7">
        <v>0</v>
      </c>
      <c r="FG67" s="7">
        <v>0</v>
      </c>
      <c r="FH67" s="7">
        <v>0</v>
      </c>
      <c r="FI67" s="7">
        <v>0</v>
      </c>
      <c r="FJ67" s="7">
        <v>0</v>
      </c>
    </row>
    <row r="68" spans="1:166" x14ac:dyDescent="0.4">
      <c r="A68" s="35" t="s">
        <v>30</v>
      </c>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v>7000</v>
      </c>
      <c r="BW68" s="7">
        <v>7000</v>
      </c>
      <c r="BX68" s="7">
        <v>7000</v>
      </c>
      <c r="BY68" s="7">
        <v>7000</v>
      </c>
      <c r="BZ68" s="7">
        <v>7000</v>
      </c>
      <c r="CA68" s="7">
        <v>7000</v>
      </c>
      <c r="CB68" s="7">
        <v>7000</v>
      </c>
      <c r="CC68" s="7">
        <v>7000</v>
      </c>
      <c r="CD68" s="7">
        <v>7000</v>
      </c>
      <c r="CE68" s="7">
        <v>4000</v>
      </c>
      <c r="CF68" s="7">
        <v>7000</v>
      </c>
      <c r="CG68" s="7">
        <v>7000</v>
      </c>
      <c r="CH68" s="7">
        <v>7000</v>
      </c>
      <c r="CI68" s="7">
        <v>7000</v>
      </c>
      <c r="CJ68" s="7">
        <v>7282</v>
      </c>
      <c r="CK68" s="7">
        <v>7343</v>
      </c>
      <c r="CL68" s="7">
        <v>7043</v>
      </c>
      <c r="CM68" s="7">
        <v>7101</v>
      </c>
      <c r="CN68" s="7">
        <v>7157</v>
      </c>
      <c r="CO68" s="7">
        <v>7215</v>
      </c>
      <c r="CP68" s="7">
        <v>7273</v>
      </c>
      <c r="CQ68" s="7">
        <v>7329</v>
      </c>
      <c r="CR68" s="7">
        <v>7047</v>
      </c>
      <c r="CS68" s="7">
        <v>7103</v>
      </c>
      <c r="CT68" s="7">
        <v>7161</v>
      </c>
      <c r="CU68" s="7">
        <v>7219</v>
      </c>
      <c r="CV68" s="7">
        <v>7271</v>
      </c>
      <c r="CW68" s="7">
        <v>7329</v>
      </c>
      <c r="CX68" s="7">
        <v>3016</v>
      </c>
      <c r="CY68" s="7">
        <v>3039</v>
      </c>
      <c r="CZ68" s="7">
        <v>3061</v>
      </c>
      <c r="DA68" s="7">
        <v>3084</v>
      </c>
      <c r="DB68" s="7">
        <v>3107</v>
      </c>
      <c r="DC68" s="7">
        <v>3129</v>
      </c>
      <c r="DD68" s="7">
        <v>0</v>
      </c>
      <c r="DE68" s="7">
        <v>0</v>
      </c>
      <c r="DF68" s="7">
        <v>0</v>
      </c>
      <c r="DG68" s="7">
        <v>0</v>
      </c>
      <c r="DH68" s="7">
        <v>0</v>
      </c>
      <c r="DI68" s="7">
        <v>0</v>
      </c>
      <c r="DJ68" s="7">
        <v>0</v>
      </c>
      <c r="DK68" s="7">
        <v>0</v>
      </c>
      <c r="DL68" s="7">
        <v>0</v>
      </c>
      <c r="DM68" s="7">
        <v>0</v>
      </c>
      <c r="DN68" s="7">
        <v>0</v>
      </c>
      <c r="DO68" s="7">
        <v>0</v>
      </c>
      <c r="DP68" s="7">
        <v>0</v>
      </c>
      <c r="DQ68" s="7">
        <v>0</v>
      </c>
      <c r="DR68" s="7">
        <v>0</v>
      </c>
      <c r="DS68" s="7">
        <v>0</v>
      </c>
      <c r="DT68" s="7">
        <v>0</v>
      </c>
      <c r="DU68" s="7">
        <v>0</v>
      </c>
      <c r="DV68" s="7">
        <v>0</v>
      </c>
      <c r="DW68" s="7">
        <v>0</v>
      </c>
      <c r="DX68" s="7">
        <v>0</v>
      </c>
      <c r="DY68" s="7">
        <v>0</v>
      </c>
      <c r="DZ68" s="7">
        <v>0</v>
      </c>
      <c r="EA68" s="7">
        <v>0</v>
      </c>
      <c r="EB68" s="7">
        <v>0</v>
      </c>
      <c r="EC68" s="7">
        <v>0</v>
      </c>
      <c r="ED68" s="7">
        <v>0</v>
      </c>
      <c r="EE68" s="7">
        <v>0</v>
      </c>
      <c r="EF68" s="7">
        <v>0</v>
      </c>
      <c r="EG68" s="7">
        <v>0</v>
      </c>
      <c r="EH68" s="7">
        <v>0</v>
      </c>
      <c r="EI68" s="7">
        <v>0</v>
      </c>
      <c r="EJ68" s="25">
        <f t="shared" si="0"/>
        <v>0</v>
      </c>
      <c r="EK68" s="7">
        <v>0</v>
      </c>
      <c r="EL68" s="25">
        <f t="shared" si="1"/>
        <v>0</v>
      </c>
      <c r="EM68" s="7">
        <v>0</v>
      </c>
      <c r="EN68" s="25">
        <f t="shared" si="2"/>
        <v>0</v>
      </c>
      <c r="EO68" s="7">
        <v>0</v>
      </c>
      <c r="EP68" s="25">
        <f t="shared" si="3"/>
        <v>0</v>
      </c>
      <c r="EQ68" s="7">
        <v>0</v>
      </c>
      <c r="ER68" s="25">
        <f t="shared" si="4"/>
        <v>0</v>
      </c>
      <c r="ES68" s="7">
        <v>0</v>
      </c>
      <c r="ET68" s="25">
        <f t="shared" si="5"/>
        <v>0</v>
      </c>
      <c r="EU68" s="7">
        <v>0</v>
      </c>
      <c r="EV68" s="25">
        <f t="shared" si="6"/>
        <v>0</v>
      </c>
      <c r="EW68" s="7">
        <v>0</v>
      </c>
      <c r="EX68" s="7">
        <v>0</v>
      </c>
      <c r="EY68" s="7">
        <v>0</v>
      </c>
      <c r="EZ68" s="7">
        <v>0</v>
      </c>
      <c r="FA68" s="7">
        <v>0</v>
      </c>
      <c r="FB68" s="7">
        <v>0</v>
      </c>
      <c r="FC68" s="7">
        <v>0</v>
      </c>
      <c r="FD68" s="7">
        <v>0</v>
      </c>
      <c r="FE68" s="7">
        <v>0</v>
      </c>
      <c r="FF68" s="7">
        <v>0</v>
      </c>
      <c r="FG68" s="7">
        <v>0</v>
      </c>
      <c r="FH68" s="7">
        <v>0</v>
      </c>
      <c r="FI68" s="7">
        <v>0</v>
      </c>
      <c r="FJ68" s="7">
        <v>0</v>
      </c>
    </row>
    <row r="69" spans="1:166" x14ac:dyDescent="0.4">
      <c r="A69" s="34" t="s">
        <v>5</v>
      </c>
      <c r="B69" s="7">
        <v>1000807</v>
      </c>
      <c r="C69" s="7">
        <v>1004200</v>
      </c>
      <c r="D69" s="7">
        <v>1040003</v>
      </c>
      <c r="E69" s="7">
        <v>1092607</v>
      </c>
      <c r="F69" s="7">
        <v>1104599</v>
      </c>
      <c r="G69" s="7">
        <v>1108197</v>
      </c>
      <c r="H69" s="7">
        <v>1126298</v>
      </c>
      <c r="I69" s="7">
        <v>1126898</v>
      </c>
      <c r="J69" s="7">
        <v>1161562</v>
      </c>
      <c r="K69" s="7">
        <v>1204080</v>
      </c>
      <c r="L69" s="7">
        <v>1244529</v>
      </c>
      <c r="M69" s="7">
        <v>1250218</v>
      </c>
      <c r="N69" s="7">
        <v>1257196</v>
      </c>
      <c r="O69" s="7">
        <v>1371683</v>
      </c>
      <c r="P69" s="7">
        <v>1425820</v>
      </c>
      <c r="Q69" s="7">
        <v>1396719</v>
      </c>
      <c r="R69" s="7">
        <v>1437203</v>
      </c>
      <c r="S69" s="7">
        <v>1423259</v>
      </c>
      <c r="T69" s="7">
        <v>1411938</v>
      </c>
      <c r="U69" s="7">
        <v>1612139</v>
      </c>
      <c r="V69" s="7">
        <v>1594743</v>
      </c>
      <c r="W69" s="7">
        <v>1587769</v>
      </c>
      <c r="X69" s="7">
        <v>1582317</v>
      </c>
      <c r="Y69" s="7">
        <v>1590840</v>
      </c>
      <c r="Z69" s="7">
        <v>1705173</v>
      </c>
      <c r="AA69" s="7">
        <v>1721124</v>
      </c>
      <c r="AB69" s="7">
        <v>1736534</v>
      </c>
      <c r="AC69" s="7">
        <v>1747744</v>
      </c>
      <c r="AD69" s="7">
        <v>1762477</v>
      </c>
      <c r="AE69" s="7">
        <v>1787107</v>
      </c>
      <c r="AF69" s="7">
        <v>1786341</v>
      </c>
      <c r="AG69" s="7">
        <v>1828490</v>
      </c>
      <c r="AH69" s="7">
        <v>1861289</v>
      </c>
      <c r="AI69" s="7">
        <v>1879721</v>
      </c>
      <c r="AJ69" s="7">
        <v>1913230</v>
      </c>
      <c r="AK69" s="7">
        <v>1946283</v>
      </c>
      <c r="AL69" s="7">
        <v>1964864</v>
      </c>
      <c r="AM69" s="7">
        <v>1982057</v>
      </c>
      <c r="AN69" s="7">
        <v>1977812</v>
      </c>
      <c r="AO69" s="7">
        <v>1995318</v>
      </c>
      <c r="AP69" s="7">
        <v>2114748</v>
      </c>
      <c r="AQ69" s="7">
        <v>2129666</v>
      </c>
      <c r="AR69" s="7">
        <v>2119915</v>
      </c>
      <c r="AS69" s="7">
        <v>2124171</v>
      </c>
      <c r="AT69" s="7">
        <v>2122140</v>
      </c>
      <c r="AU69" s="7">
        <v>2128593</v>
      </c>
      <c r="AV69" s="7">
        <v>2178381</v>
      </c>
      <c r="AW69" s="7">
        <v>2177777</v>
      </c>
      <c r="AX69" s="7">
        <v>2202936</v>
      </c>
      <c r="AY69" s="7">
        <v>2212631</v>
      </c>
      <c r="AZ69" s="7">
        <v>2238234</v>
      </c>
      <c r="BA69" s="7">
        <v>2250112</v>
      </c>
      <c r="BB69" s="7">
        <v>2269451</v>
      </c>
      <c r="BC69" s="7">
        <v>2285640</v>
      </c>
      <c r="BD69" s="7">
        <v>2428205</v>
      </c>
      <c r="BE69" s="7">
        <v>2422422</v>
      </c>
      <c r="BF69" s="7">
        <v>2499695</v>
      </c>
      <c r="BG69" s="7">
        <v>2509026</v>
      </c>
      <c r="BH69" s="7">
        <v>2505909</v>
      </c>
      <c r="BI69" s="7">
        <v>2504433</v>
      </c>
      <c r="BJ69" s="7">
        <v>2518853</v>
      </c>
      <c r="BK69" s="7">
        <v>2537303</v>
      </c>
      <c r="BL69" s="7">
        <v>2606454</v>
      </c>
      <c r="BM69" s="7">
        <v>2597881</v>
      </c>
      <c r="BN69" s="7">
        <v>2605157</v>
      </c>
      <c r="BO69" s="7">
        <v>2650878</v>
      </c>
      <c r="BP69" s="7">
        <v>2592549</v>
      </c>
      <c r="BQ69" s="7">
        <v>2591589</v>
      </c>
      <c r="BR69" s="7">
        <v>2577637</v>
      </c>
      <c r="BS69" s="7">
        <v>2500293</v>
      </c>
      <c r="BT69" s="7">
        <v>2517741</v>
      </c>
      <c r="BU69" s="7">
        <v>2479156</v>
      </c>
      <c r="BV69" s="7">
        <v>2491104</v>
      </c>
      <c r="BW69" s="7">
        <v>2559237</v>
      </c>
      <c r="BX69" s="7">
        <v>2603802</v>
      </c>
      <c r="BY69" s="7">
        <v>2586182</v>
      </c>
      <c r="BZ69" s="7">
        <v>2598077</v>
      </c>
      <c r="CA69" s="7">
        <v>2664255</v>
      </c>
      <c r="CB69" s="7">
        <v>2702457</v>
      </c>
      <c r="CC69" s="7">
        <v>2687281</v>
      </c>
      <c r="CD69" s="7">
        <v>2651439</v>
      </c>
      <c r="CE69" s="7">
        <v>2671210</v>
      </c>
      <c r="CF69" s="7">
        <v>2777371</v>
      </c>
      <c r="CG69" s="7">
        <v>2756469</v>
      </c>
      <c r="CH69" s="7">
        <v>2924276</v>
      </c>
      <c r="CI69" s="7">
        <v>2903415</v>
      </c>
      <c r="CJ69" s="7">
        <v>3094234</v>
      </c>
      <c r="CK69" s="7">
        <v>3037340</v>
      </c>
      <c r="CL69" s="7">
        <v>3016125</v>
      </c>
      <c r="CM69" s="7">
        <v>2996721</v>
      </c>
      <c r="CN69" s="7">
        <v>3052232</v>
      </c>
      <c r="CO69" s="7">
        <v>3103504</v>
      </c>
      <c r="CP69" s="7">
        <v>3125931</v>
      </c>
      <c r="CQ69" s="7">
        <v>3145559</v>
      </c>
      <c r="CR69" s="7">
        <v>3095577</v>
      </c>
      <c r="CS69" s="7">
        <v>3220960</v>
      </c>
      <c r="CT69" s="7">
        <v>3567140</v>
      </c>
      <c r="CU69" s="7">
        <v>3528193</v>
      </c>
      <c r="CV69" s="7">
        <v>3524848</v>
      </c>
      <c r="CW69" s="7">
        <v>3478706</v>
      </c>
      <c r="CX69" s="7">
        <v>3477432</v>
      </c>
      <c r="CY69" s="7">
        <v>3569773</v>
      </c>
      <c r="CZ69" s="7">
        <v>3346350</v>
      </c>
      <c r="DA69" s="7">
        <v>3345545</v>
      </c>
      <c r="DB69" s="7">
        <v>3380866</v>
      </c>
      <c r="DC69" s="7">
        <v>3472765</v>
      </c>
      <c r="DD69" s="7">
        <v>3537740</v>
      </c>
      <c r="DE69" s="7">
        <v>3689983</v>
      </c>
      <c r="DF69" s="7">
        <v>3938599</v>
      </c>
      <c r="DG69" s="7">
        <v>3929481</v>
      </c>
      <c r="DH69" s="7">
        <v>3916517</v>
      </c>
      <c r="DI69" s="7">
        <v>3843340</v>
      </c>
      <c r="DJ69" s="7">
        <v>3785857</v>
      </c>
      <c r="DK69" s="7">
        <v>3932388</v>
      </c>
      <c r="DL69" s="7">
        <v>3899972</v>
      </c>
      <c r="DM69" s="7">
        <v>4000851</v>
      </c>
      <c r="DN69" s="7">
        <v>4180581</v>
      </c>
      <c r="DO69" s="7">
        <v>4281324</v>
      </c>
      <c r="DP69" s="7">
        <v>4256855</v>
      </c>
      <c r="DQ69" s="7">
        <v>4516467</v>
      </c>
      <c r="DR69" s="7">
        <v>4901740</v>
      </c>
      <c r="DS69" s="7">
        <v>4904138</v>
      </c>
      <c r="DT69" s="7">
        <v>4870823</v>
      </c>
      <c r="DU69" s="7">
        <v>4899270</v>
      </c>
      <c r="DV69" s="7">
        <v>5163043</v>
      </c>
      <c r="DW69" s="7">
        <v>5164926</v>
      </c>
      <c r="DX69" s="7">
        <v>5243056</v>
      </c>
      <c r="DY69" s="7">
        <v>5612777</v>
      </c>
      <c r="DZ69" s="7">
        <v>6141602</v>
      </c>
      <c r="EA69" s="7">
        <v>6327476</v>
      </c>
      <c r="EB69" s="7">
        <v>6316216</v>
      </c>
      <c r="EC69" s="7">
        <v>6399138</v>
      </c>
      <c r="ED69" s="7">
        <v>7529949</v>
      </c>
      <c r="EE69" s="7">
        <v>7568642</v>
      </c>
      <c r="EF69" s="7">
        <v>7603573</v>
      </c>
      <c r="EG69" s="7">
        <v>7763130</v>
      </c>
      <c r="EH69" s="7">
        <v>7892524</v>
      </c>
      <c r="EI69" s="7">
        <v>8194736</v>
      </c>
      <c r="EJ69" s="25">
        <f t="shared" si="0"/>
        <v>2142</v>
      </c>
      <c r="EK69" s="7">
        <v>8196878</v>
      </c>
      <c r="EL69" s="25">
        <f t="shared" si="1"/>
        <v>255423</v>
      </c>
      <c r="EM69" s="7">
        <v>8452301</v>
      </c>
      <c r="EN69" s="25">
        <f t="shared" si="2"/>
        <v>113483</v>
      </c>
      <c r="EO69" s="7">
        <v>8565784</v>
      </c>
      <c r="EP69" s="25">
        <f t="shared" si="3"/>
        <v>412284</v>
      </c>
      <c r="EQ69" s="7">
        <v>8978068</v>
      </c>
      <c r="ER69" s="25">
        <f t="shared" si="4"/>
        <v>255681</v>
      </c>
      <c r="ES69" s="7">
        <v>9233749</v>
      </c>
      <c r="ET69" s="25">
        <f t="shared" si="5"/>
        <v>-88375</v>
      </c>
      <c r="EU69" s="7">
        <v>9145374</v>
      </c>
      <c r="EV69" s="25">
        <f t="shared" si="6"/>
        <v>1401889</v>
      </c>
      <c r="EW69" s="7">
        <v>10547263</v>
      </c>
      <c r="EX69" s="7">
        <v>10677429</v>
      </c>
      <c r="EY69" s="7">
        <v>10727413</v>
      </c>
      <c r="EZ69" s="7">
        <v>10899055</v>
      </c>
      <c r="FA69" s="7">
        <v>11357038</v>
      </c>
      <c r="FB69" s="7">
        <v>11301579</v>
      </c>
      <c r="FC69" s="7">
        <v>11138107</v>
      </c>
      <c r="FD69" s="7">
        <v>11537601</v>
      </c>
      <c r="FE69" s="7">
        <v>11742933</v>
      </c>
      <c r="FF69" s="7">
        <v>11782673</v>
      </c>
      <c r="FG69" s="7">
        <v>11936672</v>
      </c>
      <c r="FH69" s="7">
        <v>12052698</v>
      </c>
      <c r="FI69" s="7">
        <v>13117845</v>
      </c>
      <c r="FJ69" s="7">
        <v>13081114</v>
      </c>
    </row>
    <row r="70" spans="1:166" x14ac:dyDescent="0.4">
      <c r="A70" s="35" t="s">
        <v>13</v>
      </c>
      <c r="B70" s="7">
        <v>0</v>
      </c>
      <c r="C70" s="7">
        <v>0</v>
      </c>
      <c r="D70" s="7">
        <v>0</v>
      </c>
      <c r="E70" s="7">
        <v>0</v>
      </c>
      <c r="F70" s="7">
        <v>0</v>
      </c>
      <c r="G70" s="7">
        <v>0</v>
      </c>
      <c r="H70" s="7">
        <v>0</v>
      </c>
      <c r="I70" s="7">
        <v>0</v>
      </c>
      <c r="J70" s="7">
        <v>0</v>
      </c>
      <c r="K70" s="7">
        <v>0</v>
      </c>
      <c r="L70" s="7">
        <v>0</v>
      </c>
      <c r="M70" s="7">
        <v>0</v>
      </c>
      <c r="N70" s="7">
        <v>0</v>
      </c>
      <c r="O70" s="7">
        <v>0</v>
      </c>
      <c r="P70" s="7">
        <v>0</v>
      </c>
      <c r="Q70" s="7">
        <v>873</v>
      </c>
      <c r="R70" s="7">
        <v>873</v>
      </c>
      <c r="S70" s="7">
        <v>873</v>
      </c>
      <c r="T70" s="7">
        <v>873</v>
      </c>
      <c r="U70" s="7">
        <v>873</v>
      </c>
      <c r="V70" s="7">
        <v>873</v>
      </c>
      <c r="W70" s="7">
        <v>873</v>
      </c>
      <c r="X70" s="7">
        <v>873</v>
      </c>
      <c r="Y70" s="7">
        <v>873</v>
      </c>
      <c r="Z70" s="7">
        <v>0</v>
      </c>
      <c r="AA70" s="7">
        <v>0</v>
      </c>
      <c r="AB70" s="7">
        <v>0</v>
      </c>
      <c r="AC70" s="7">
        <v>0</v>
      </c>
      <c r="AD70" s="7">
        <v>0</v>
      </c>
      <c r="AE70" s="7">
        <v>0</v>
      </c>
      <c r="AF70" s="7">
        <v>0</v>
      </c>
      <c r="AG70" s="7">
        <v>0</v>
      </c>
      <c r="AH70" s="7">
        <v>0</v>
      </c>
      <c r="AI70" s="7">
        <v>0</v>
      </c>
      <c r="AJ70" s="7">
        <v>0</v>
      </c>
      <c r="AK70" s="7">
        <v>0</v>
      </c>
      <c r="AL70" s="7">
        <v>0</v>
      </c>
      <c r="AM70" s="7">
        <v>0</v>
      </c>
      <c r="AN70" s="7">
        <v>0</v>
      </c>
      <c r="AO70" s="7">
        <v>0</v>
      </c>
      <c r="AP70" s="7">
        <v>0</v>
      </c>
      <c r="AQ70" s="7">
        <v>0</v>
      </c>
      <c r="AR70" s="7">
        <v>0</v>
      </c>
      <c r="AS70" s="7">
        <v>0</v>
      </c>
      <c r="AT70" s="7">
        <v>0</v>
      </c>
      <c r="AU70" s="7">
        <v>0</v>
      </c>
      <c r="AV70" s="7">
        <v>0</v>
      </c>
      <c r="AW70" s="7">
        <v>30</v>
      </c>
      <c r="AX70" s="7">
        <v>30</v>
      </c>
      <c r="AY70" s="7">
        <v>30</v>
      </c>
      <c r="AZ70" s="7">
        <v>30</v>
      </c>
      <c r="BA70" s="7">
        <v>80</v>
      </c>
      <c r="BB70" s="7">
        <v>80</v>
      </c>
      <c r="BC70" s="7">
        <v>80</v>
      </c>
      <c r="BD70" s="7">
        <v>108</v>
      </c>
      <c r="BE70" s="7">
        <v>108</v>
      </c>
      <c r="BF70" s="7">
        <v>138</v>
      </c>
      <c r="BG70" s="7">
        <v>138</v>
      </c>
      <c r="BH70" s="7">
        <v>138</v>
      </c>
      <c r="BI70" s="7">
        <v>108</v>
      </c>
      <c r="BJ70" s="7">
        <v>148</v>
      </c>
      <c r="BK70" s="7">
        <v>28148</v>
      </c>
      <c r="BL70" s="7">
        <v>47018</v>
      </c>
      <c r="BM70" s="7">
        <v>50759</v>
      </c>
      <c r="BN70" s="7">
        <v>56009</v>
      </c>
      <c r="BO70" s="7">
        <v>91438</v>
      </c>
      <c r="BP70" s="7">
        <v>40430</v>
      </c>
      <c r="BQ70" s="7">
        <v>51679</v>
      </c>
      <c r="BR70" s="7">
        <v>47714</v>
      </c>
      <c r="BS70" s="7">
        <v>14062</v>
      </c>
      <c r="BT70" s="7">
        <v>40463</v>
      </c>
      <c r="BU70" s="7">
        <v>20350</v>
      </c>
      <c r="BV70" s="7">
        <v>8490</v>
      </c>
      <c r="BW70" s="7">
        <v>15843</v>
      </c>
      <c r="BX70" s="7">
        <v>41848</v>
      </c>
      <c r="BY70" s="7">
        <v>20926</v>
      </c>
      <c r="BZ70" s="7">
        <v>19810</v>
      </c>
      <c r="CA70" s="7">
        <v>24243</v>
      </c>
      <c r="CB70" s="7">
        <v>41838</v>
      </c>
      <c r="CC70" s="7">
        <v>24530</v>
      </c>
      <c r="CD70" s="7">
        <v>22111</v>
      </c>
      <c r="CE70" s="7">
        <v>25272</v>
      </c>
      <c r="CF70" s="7">
        <v>4785</v>
      </c>
      <c r="CG70" s="7">
        <v>3127</v>
      </c>
      <c r="CH70" s="7">
        <v>8142</v>
      </c>
      <c r="CI70" s="7">
        <v>3356</v>
      </c>
      <c r="CJ70" s="7">
        <v>42218</v>
      </c>
      <c r="CK70" s="7">
        <v>1632</v>
      </c>
      <c r="CL70" s="7">
        <v>167</v>
      </c>
      <c r="CM70" s="7">
        <v>1832</v>
      </c>
      <c r="CN70" s="7">
        <v>2454</v>
      </c>
      <c r="CO70" s="7">
        <v>5231</v>
      </c>
      <c r="CP70" s="7">
        <v>2929</v>
      </c>
      <c r="CQ70" s="7">
        <v>6399</v>
      </c>
      <c r="CR70" s="7">
        <v>7253</v>
      </c>
      <c r="CS70" s="7">
        <v>8156</v>
      </c>
      <c r="CT70" s="7">
        <v>8332</v>
      </c>
      <c r="CU70" s="7">
        <v>8998</v>
      </c>
      <c r="CV70" s="7">
        <v>15990</v>
      </c>
      <c r="CW70" s="7">
        <v>14784</v>
      </c>
      <c r="CX70" s="7">
        <v>19243</v>
      </c>
      <c r="CY70" s="7">
        <v>22528</v>
      </c>
      <c r="CZ70" s="7">
        <v>29394</v>
      </c>
      <c r="DA70" s="7">
        <v>26265</v>
      </c>
      <c r="DB70" s="7">
        <v>31406</v>
      </c>
      <c r="DC70" s="7">
        <v>21063</v>
      </c>
      <c r="DD70" s="7">
        <v>28952</v>
      </c>
      <c r="DE70" s="7">
        <v>57868</v>
      </c>
      <c r="DF70" s="7">
        <v>56867</v>
      </c>
      <c r="DG70" s="7">
        <v>62296</v>
      </c>
      <c r="DH70" s="7">
        <v>69451</v>
      </c>
      <c r="DI70" s="7">
        <v>62344</v>
      </c>
      <c r="DJ70" s="7">
        <v>62788</v>
      </c>
      <c r="DK70" s="7">
        <v>62604</v>
      </c>
      <c r="DL70" s="7">
        <v>63029</v>
      </c>
      <c r="DM70" s="7">
        <v>82530</v>
      </c>
      <c r="DN70" s="7">
        <v>83132</v>
      </c>
      <c r="DO70" s="7">
        <v>113361</v>
      </c>
      <c r="DP70" s="7">
        <v>67147</v>
      </c>
      <c r="DQ70" s="7">
        <v>57675</v>
      </c>
      <c r="DR70" s="7">
        <v>63087</v>
      </c>
      <c r="DS70" s="7">
        <v>72059</v>
      </c>
      <c r="DT70" s="7">
        <v>53464</v>
      </c>
      <c r="DU70" s="7">
        <v>54426</v>
      </c>
      <c r="DV70" s="7">
        <v>55986</v>
      </c>
      <c r="DW70" s="7">
        <v>59054</v>
      </c>
      <c r="DX70" s="7">
        <v>78245</v>
      </c>
      <c r="DY70" s="7">
        <v>64371</v>
      </c>
      <c r="DZ70" s="7">
        <v>78838</v>
      </c>
      <c r="EA70" s="7">
        <v>109782</v>
      </c>
      <c r="EB70" s="7">
        <v>93712</v>
      </c>
      <c r="EC70" s="7">
        <v>102220</v>
      </c>
      <c r="ED70" s="7">
        <v>104129</v>
      </c>
      <c r="EE70" s="7">
        <v>104243</v>
      </c>
      <c r="EF70" s="7">
        <v>30240</v>
      </c>
      <c r="EG70" s="7">
        <v>116079</v>
      </c>
      <c r="EH70" s="7">
        <v>170813</v>
      </c>
      <c r="EI70" s="7">
        <v>234506</v>
      </c>
      <c r="EJ70" s="25">
        <f t="shared" si="0"/>
        <v>-17045</v>
      </c>
      <c r="EK70" s="7">
        <v>217461</v>
      </c>
      <c r="EL70" s="25">
        <f t="shared" si="1"/>
        <v>-46740</v>
      </c>
      <c r="EM70" s="7">
        <v>170721</v>
      </c>
      <c r="EN70" s="25">
        <f t="shared" si="2"/>
        <v>-52763</v>
      </c>
      <c r="EO70" s="7">
        <v>117958</v>
      </c>
      <c r="EP70" s="25">
        <f t="shared" si="3"/>
        <v>45688</v>
      </c>
      <c r="EQ70" s="7">
        <v>163646</v>
      </c>
      <c r="ER70" s="25">
        <f t="shared" si="4"/>
        <v>-55186</v>
      </c>
      <c r="ES70" s="7">
        <v>108460</v>
      </c>
      <c r="ET70" s="25">
        <f t="shared" si="5"/>
        <v>-14562</v>
      </c>
      <c r="EU70" s="7">
        <v>93898</v>
      </c>
      <c r="EV70" s="25">
        <f t="shared" si="6"/>
        <v>183831</v>
      </c>
      <c r="EW70" s="7">
        <v>277729</v>
      </c>
      <c r="EX70" s="7">
        <v>276831</v>
      </c>
      <c r="EY70" s="7">
        <v>298905</v>
      </c>
      <c r="EZ70" s="7">
        <v>299602</v>
      </c>
      <c r="FA70" s="7">
        <v>292991</v>
      </c>
      <c r="FB70" s="7">
        <v>336652</v>
      </c>
      <c r="FC70" s="7">
        <v>321031</v>
      </c>
      <c r="FD70" s="7">
        <v>335805</v>
      </c>
      <c r="FE70" s="7">
        <v>381242</v>
      </c>
      <c r="FF70" s="7">
        <v>316462</v>
      </c>
      <c r="FG70" s="7">
        <v>339918</v>
      </c>
      <c r="FH70" s="7">
        <v>266369</v>
      </c>
      <c r="FI70" s="7">
        <v>249910</v>
      </c>
      <c r="FJ70" s="7">
        <v>264412</v>
      </c>
    </row>
    <row r="71" spans="1:166" x14ac:dyDescent="0.4">
      <c r="A71" s="35" t="s">
        <v>14</v>
      </c>
      <c r="B71" s="7">
        <v>1000807</v>
      </c>
      <c r="C71" s="7">
        <v>1004200</v>
      </c>
      <c r="D71" s="7">
        <v>1040003</v>
      </c>
      <c r="E71" s="7">
        <v>1092607</v>
      </c>
      <c r="F71" s="7">
        <v>1104599</v>
      </c>
      <c r="G71" s="7">
        <v>1108197</v>
      </c>
      <c r="H71" s="7">
        <v>1126298</v>
      </c>
      <c r="I71" s="7">
        <v>1126898</v>
      </c>
      <c r="J71" s="7">
        <v>1161562</v>
      </c>
      <c r="K71" s="7">
        <v>1204080</v>
      </c>
      <c r="L71" s="7">
        <v>1244529</v>
      </c>
      <c r="M71" s="7">
        <v>1250218</v>
      </c>
      <c r="N71" s="7">
        <v>1257196</v>
      </c>
      <c r="O71" s="7">
        <v>1371683</v>
      </c>
      <c r="P71" s="7">
        <v>1425820</v>
      </c>
      <c r="Q71" s="7">
        <v>1395846</v>
      </c>
      <c r="R71" s="7">
        <v>1436330</v>
      </c>
      <c r="S71" s="7">
        <v>1422386</v>
      </c>
      <c r="T71" s="7">
        <v>1411065</v>
      </c>
      <c r="U71" s="7">
        <v>1611266</v>
      </c>
      <c r="V71" s="7">
        <v>1593871</v>
      </c>
      <c r="W71" s="7">
        <v>1586896</v>
      </c>
      <c r="X71" s="7">
        <v>1581444</v>
      </c>
      <c r="Y71" s="7">
        <v>1589967</v>
      </c>
      <c r="Z71" s="7">
        <v>1705173</v>
      </c>
      <c r="AA71" s="7">
        <v>1721124</v>
      </c>
      <c r="AB71" s="7">
        <v>1736534</v>
      </c>
      <c r="AC71" s="7">
        <v>1747744</v>
      </c>
      <c r="AD71" s="7">
        <v>1762477</v>
      </c>
      <c r="AE71" s="7">
        <v>1787107</v>
      </c>
      <c r="AF71" s="7">
        <v>1786341</v>
      </c>
      <c r="AG71" s="7">
        <v>1828490</v>
      </c>
      <c r="AH71" s="7">
        <v>1861289</v>
      </c>
      <c r="AI71" s="7">
        <v>1879721</v>
      </c>
      <c r="AJ71" s="7">
        <v>1913230</v>
      </c>
      <c r="AK71" s="7">
        <v>1946283</v>
      </c>
      <c r="AL71" s="7">
        <v>1964864</v>
      </c>
      <c r="AM71" s="7">
        <v>1982057</v>
      </c>
      <c r="AN71" s="7">
        <v>1977812</v>
      </c>
      <c r="AO71" s="7">
        <v>1995318</v>
      </c>
      <c r="AP71" s="7">
        <v>2114748</v>
      </c>
      <c r="AQ71" s="7">
        <v>2129666</v>
      </c>
      <c r="AR71" s="7">
        <v>2119915</v>
      </c>
      <c r="AS71" s="7">
        <v>2124171</v>
      </c>
      <c r="AT71" s="7">
        <v>2122140</v>
      </c>
      <c r="AU71" s="7">
        <v>2128593</v>
      </c>
      <c r="AV71" s="7">
        <v>2178381</v>
      </c>
      <c r="AW71" s="7">
        <v>2177747</v>
      </c>
      <c r="AX71" s="7">
        <v>2202906</v>
      </c>
      <c r="AY71" s="7">
        <v>2212601</v>
      </c>
      <c r="AZ71" s="7">
        <v>2238204</v>
      </c>
      <c r="BA71" s="7">
        <v>2250032</v>
      </c>
      <c r="BB71" s="7">
        <v>2269371</v>
      </c>
      <c r="BC71" s="7">
        <v>2285560</v>
      </c>
      <c r="BD71" s="7">
        <v>2428096</v>
      </c>
      <c r="BE71" s="7">
        <v>2422314</v>
      </c>
      <c r="BF71" s="7">
        <v>2499556</v>
      </c>
      <c r="BG71" s="7">
        <v>2508888</v>
      </c>
      <c r="BH71" s="7">
        <v>2505771</v>
      </c>
      <c r="BI71" s="7">
        <v>2504325</v>
      </c>
      <c r="BJ71" s="7">
        <v>2518705</v>
      </c>
      <c r="BK71" s="7">
        <v>2509155</v>
      </c>
      <c r="BL71" s="7">
        <v>2559436</v>
      </c>
      <c r="BM71" s="7">
        <v>2547121</v>
      </c>
      <c r="BN71" s="7">
        <v>2549147</v>
      </c>
      <c r="BO71" s="7">
        <v>2559440</v>
      </c>
      <c r="BP71" s="7">
        <v>2552119</v>
      </c>
      <c r="BQ71" s="7">
        <v>2539910</v>
      </c>
      <c r="BR71" s="7">
        <v>2529923</v>
      </c>
      <c r="BS71" s="7">
        <v>2486231</v>
      </c>
      <c r="BT71" s="7">
        <v>2477278</v>
      </c>
      <c r="BU71" s="7">
        <v>2458806</v>
      </c>
      <c r="BV71" s="7">
        <v>2482614</v>
      </c>
      <c r="BW71" s="7">
        <v>2543394</v>
      </c>
      <c r="BX71" s="7">
        <v>2561955</v>
      </c>
      <c r="BY71" s="7">
        <v>2565255</v>
      </c>
      <c r="BZ71" s="7">
        <v>2578267</v>
      </c>
      <c r="CA71" s="7">
        <v>2640012</v>
      </c>
      <c r="CB71" s="7">
        <v>2660619</v>
      </c>
      <c r="CC71" s="7">
        <v>2662752</v>
      </c>
      <c r="CD71" s="7">
        <v>2629327</v>
      </c>
      <c r="CE71" s="7">
        <v>2645939</v>
      </c>
      <c r="CF71" s="7">
        <v>2772586</v>
      </c>
      <c r="CG71" s="7">
        <v>2753342</v>
      </c>
      <c r="CH71" s="7">
        <v>2916135</v>
      </c>
      <c r="CI71" s="7">
        <v>2900058</v>
      </c>
      <c r="CJ71" s="7">
        <v>3052017</v>
      </c>
      <c r="CK71" s="7">
        <v>3035708</v>
      </c>
      <c r="CL71" s="7">
        <v>3015959</v>
      </c>
      <c r="CM71" s="7">
        <v>2994889</v>
      </c>
      <c r="CN71" s="7">
        <v>3049778</v>
      </c>
      <c r="CO71" s="7">
        <v>3098273</v>
      </c>
      <c r="CP71" s="7">
        <v>3123002</v>
      </c>
      <c r="CQ71" s="7">
        <v>3139160</v>
      </c>
      <c r="CR71" s="7">
        <v>3088324</v>
      </c>
      <c r="CS71" s="7">
        <v>3212804</v>
      </c>
      <c r="CT71" s="7">
        <v>3558808</v>
      </c>
      <c r="CU71" s="7">
        <v>3519195</v>
      </c>
      <c r="CV71" s="7">
        <v>3508859</v>
      </c>
      <c r="CW71" s="7">
        <v>3463922</v>
      </c>
      <c r="CX71" s="7">
        <v>3458189</v>
      </c>
      <c r="CY71" s="7">
        <v>3547246</v>
      </c>
      <c r="CZ71" s="7">
        <v>3316957</v>
      </c>
      <c r="DA71" s="7">
        <v>3319280</v>
      </c>
      <c r="DB71" s="7">
        <v>3349460</v>
      </c>
      <c r="DC71" s="7">
        <v>3451702</v>
      </c>
      <c r="DD71" s="7">
        <v>3508788</v>
      </c>
      <c r="DE71" s="7">
        <v>3632115</v>
      </c>
      <c r="DF71" s="7">
        <v>3881732</v>
      </c>
      <c r="DG71" s="7">
        <v>3867185</v>
      </c>
      <c r="DH71" s="7">
        <v>3847067</v>
      </c>
      <c r="DI71" s="7">
        <v>3780996</v>
      </c>
      <c r="DJ71" s="7">
        <v>3723069</v>
      </c>
      <c r="DK71" s="7">
        <v>3869784</v>
      </c>
      <c r="DL71" s="7">
        <v>3836943</v>
      </c>
      <c r="DM71" s="7">
        <v>3918322</v>
      </c>
      <c r="DN71" s="7">
        <v>4097450</v>
      </c>
      <c r="DO71" s="7">
        <v>4167963</v>
      </c>
      <c r="DP71" s="7">
        <v>4189709</v>
      </c>
      <c r="DQ71" s="7">
        <v>4458792</v>
      </c>
      <c r="DR71" s="7">
        <v>4838653</v>
      </c>
      <c r="DS71" s="7">
        <v>4832079</v>
      </c>
      <c r="DT71" s="7">
        <v>4817359</v>
      </c>
      <c r="DU71" s="7">
        <v>4844843</v>
      </c>
      <c r="DV71" s="7">
        <v>5107057</v>
      </c>
      <c r="DW71" s="7">
        <v>5105872</v>
      </c>
      <c r="DX71" s="7">
        <v>5164811</v>
      </c>
      <c r="DY71" s="7">
        <v>5548406</v>
      </c>
      <c r="DZ71" s="7">
        <v>6062764</v>
      </c>
      <c r="EA71" s="7">
        <v>6217694</v>
      </c>
      <c r="EB71" s="7">
        <v>6222504</v>
      </c>
      <c r="EC71" s="7">
        <v>6296918</v>
      </c>
      <c r="ED71" s="7">
        <v>7425820</v>
      </c>
      <c r="EE71" s="7">
        <v>7464400</v>
      </c>
      <c r="EF71" s="7">
        <v>7573333</v>
      </c>
      <c r="EG71" s="7">
        <v>7647052</v>
      </c>
      <c r="EH71" s="7">
        <v>7721711</v>
      </c>
      <c r="EI71" s="7">
        <v>7960231</v>
      </c>
      <c r="EJ71" s="25">
        <f t="shared" si="0"/>
        <v>19186</v>
      </c>
      <c r="EK71" s="7">
        <v>7979417</v>
      </c>
      <c r="EL71" s="25">
        <f t="shared" si="1"/>
        <v>302163</v>
      </c>
      <c r="EM71" s="7">
        <v>8281580</v>
      </c>
      <c r="EN71" s="25">
        <f t="shared" si="2"/>
        <v>166245</v>
      </c>
      <c r="EO71" s="7">
        <v>8447825</v>
      </c>
      <c r="EP71" s="25">
        <f t="shared" si="3"/>
        <v>366597</v>
      </c>
      <c r="EQ71" s="7">
        <v>8814422</v>
      </c>
      <c r="ER71" s="25">
        <f t="shared" si="4"/>
        <v>310867</v>
      </c>
      <c r="ES71" s="7">
        <v>9125289</v>
      </c>
      <c r="ET71" s="25">
        <f t="shared" si="5"/>
        <v>-73813</v>
      </c>
      <c r="EU71" s="7">
        <v>9051476</v>
      </c>
      <c r="EV71" s="25">
        <f t="shared" si="6"/>
        <v>1218058</v>
      </c>
      <c r="EW71" s="7">
        <v>10269534</v>
      </c>
      <c r="EX71" s="7">
        <v>10400598</v>
      </c>
      <c r="EY71" s="7">
        <v>10428507</v>
      </c>
      <c r="EZ71" s="7">
        <v>10599453</v>
      </c>
      <c r="FA71" s="7">
        <v>11064047</v>
      </c>
      <c r="FB71" s="7">
        <v>10964927</v>
      </c>
      <c r="FC71" s="7">
        <v>10817076</v>
      </c>
      <c r="FD71" s="7">
        <v>11201796</v>
      </c>
      <c r="FE71" s="7">
        <v>11361691</v>
      </c>
      <c r="FF71" s="7">
        <v>11466211</v>
      </c>
      <c r="FG71" s="7">
        <v>11596754</v>
      </c>
      <c r="FH71" s="7">
        <v>11786328</v>
      </c>
      <c r="FI71" s="7">
        <v>12867935</v>
      </c>
      <c r="FJ71" s="7">
        <v>12816703</v>
      </c>
    </row>
    <row r="72" spans="1:166" x14ac:dyDescent="0.4">
      <c r="A72" s="35" t="s">
        <v>27</v>
      </c>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v>113608</v>
      </c>
      <c r="BW72" s="7">
        <v>107496</v>
      </c>
      <c r="BX72" s="7">
        <v>111187</v>
      </c>
      <c r="BY72" s="7">
        <v>109746</v>
      </c>
      <c r="BZ72" s="7">
        <v>108094</v>
      </c>
      <c r="CA72" s="7">
        <v>103108</v>
      </c>
      <c r="CB72" s="7">
        <v>130664</v>
      </c>
      <c r="CC72" s="7">
        <v>126213</v>
      </c>
      <c r="CD72" s="7">
        <v>119789</v>
      </c>
      <c r="CE72" s="7">
        <v>123703</v>
      </c>
      <c r="CF72" s="7">
        <v>167803</v>
      </c>
      <c r="CG72" s="7">
        <v>141423</v>
      </c>
      <c r="CH72" s="7">
        <v>151606</v>
      </c>
      <c r="CI72" s="7">
        <v>166606</v>
      </c>
      <c r="CJ72" s="7">
        <v>174628</v>
      </c>
      <c r="CK72" s="7">
        <v>215930</v>
      </c>
      <c r="CL72" s="7">
        <v>307916</v>
      </c>
      <c r="CM72" s="7">
        <v>307665</v>
      </c>
      <c r="CN72" s="7">
        <v>539083</v>
      </c>
      <c r="CO72" s="7">
        <v>547040</v>
      </c>
      <c r="CP72" s="7">
        <v>563513</v>
      </c>
      <c r="CQ72" s="7">
        <v>564664</v>
      </c>
      <c r="CR72" s="7">
        <v>524170</v>
      </c>
      <c r="CS72" s="7">
        <v>515064</v>
      </c>
      <c r="CT72" s="7">
        <v>521612</v>
      </c>
      <c r="CU72" s="7">
        <v>508285</v>
      </c>
      <c r="CV72" s="7">
        <v>506397</v>
      </c>
      <c r="CW72" s="7">
        <v>490742</v>
      </c>
      <c r="CX72" s="7">
        <v>421811</v>
      </c>
      <c r="CY72" s="7">
        <v>412389</v>
      </c>
      <c r="CZ72" s="7">
        <v>185875</v>
      </c>
      <c r="DA72" s="7">
        <v>181566</v>
      </c>
      <c r="DB72" s="7">
        <v>163050</v>
      </c>
      <c r="DC72" s="7">
        <v>152532</v>
      </c>
      <c r="DD72" s="7">
        <v>147279</v>
      </c>
      <c r="DE72" s="7">
        <v>143186</v>
      </c>
      <c r="DF72" s="7">
        <v>152160</v>
      </c>
      <c r="DG72" s="7">
        <v>161808</v>
      </c>
      <c r="DH72" s="7">
        <v>156718</v>
      </c>
      <c r="DI72" s="7">
        <v>141245</v>
      </c>
      <c r="DJ72" s="7">
        <v>118167</v>
      </c>
      <c r="DK72" s="7">
        <v>126516</v>
      </c>
      <c r="DL72" s="7">
        <v>133519</v>
      </c>
      <c r="DM72" s="7">
        <v>167130</v>
      </c>
      <c r="DN72" s="7">
        <v>167547</v>
      </c>
      <c r="DO72" s="7">
        <v>163402</v>
      </c>
      <c r="DP72" s="7">
        <v>163419</v>
      </c>
      <c r="DQ72" s="7">
        <v>174928</v>
      </c>
      <c r="DR72" s="7">
        <v>171220</v>
      </c>
      <c r="DS72" s="7">
        <v>171424</v>
      </c>
      <c r="DT72" s="7">
        <v>181088</v>
      </c>
      <c r="DU72" s="7">
        <v>181903</v>
      </c>
      <c r="DV72" s="7">
        <v>197812</v>
      </c>
      <c r="DW72" s="7">
        <v>196764</v>
      </c>
      <c r="DX72" s="7">
        <v>154757</v>
      </c>
      <c r="DY72" s="7">
        <v>193510</v>
      </c>
      <c r="DZ72" s="7">
        <v>237599</v>
      </c>
      <c r="EA72" s="7">
        <v>251131</v>
      </c>
      <c r="EB72" s="7">
        <v>249872</v>
      </c>
      <c r="EC72" s="7">
        <v>243842</v>
      </c>
      <c r="ED72" s="7">
        <v>254800</v>
      </c>
      <c r="EE72" s="7">
        <v>243399</v>
      </c>
      <c r="EF72" s="7">
        <v>265813</v>
      </c>
      <c r="EG72" s="7">
        <v>269144</v>
      </c>
      <c r="EH72" s="7">
        <v>268179</v>
      </c>
      <c r="EI72" s="7">
        <v>312698</v>
      </c>
      <c r="EJ72" s="25">
        <f t="shared" ref="EJ72:EJ130" si="7">EK72-EI72</f>
        <v>27624</v>
      </c>
      <c r="EK72" s="7">
        <v>340322</v>
      </c>
      <c r="EL72" s="25">
        <f t="shared" ref="EL72:EL130" si="8">EM72-EK72</f>
        <v>-49476</v>
      </c>
      <c r="EM72" s="7">
        <v>290846</v>
      </c>
      <c r="EN72" s="25">
        <f t="shared" ref="EN72:EN130" si="9">EO72-EM72</f>
        <v>108958</v>
      </c>
      <c r="EO72" s="7">
        <v>399804</v>
      </c>
      <c r="EP72" s="25">
        <f t="shared" ref="EP72:EP130" si="10">EQ72-EO72</f>
        <v>8234</v>
      </c>
      <c r="EQ72" s="7">
        <v>408038</v>
      </c>
      <c r="ER72" s="25">
        <f t="shared" ref="ER72:ER130" si="11">ES72-EQ72</f>
        <v>25125</v>
      </c>
      <c r="ES72" s="7">
        <v>433163</v>
      </c>
      <c r="ET72" s="25">
        <f t="shared" ref="ET72:ET130" si="12">EU72-ES72</f>
        <v>34077</v>
      </c>
      <c r="EU72" s="7">
        <v>467240</v>
      </c>
      <c r="EV72" s="25">
        <f t="shared" ref="EV72:EV130" si="13">EW72-EU72</f>
        <v>-14675</v>
      </c>
      <c r="EW72" s="7">
        <v>452565</v>
      </c>
      <c r="EX72" s="7">
        <v>450603</v>
      </c>
      <c r="EY72" s="7">
        <v>454453</v>
      </c>
      <c r="EZ72" s="7">
        <v>452499</v>
      </c>
      <c r="FA72" s="7">
        <v>554105</v>
      </c>
      <c r="FB72" s="7">
        <v>521417</v>
      </c>
      <c r="FC72" s="7">
        <v>520301</v>
      </c>
      <c r="FD72" s="7">
        <v>671287</v>
      </c>
      <c r="FE72" s="7">
        <v>777666</v>
      </c>
      <c r="FF72" s="7">
        <v>787766</v>
      </c>
      <c r="FG72" s="7">
        <v>899514</v>
      </c>
      <c r="FH72" s="7">
        <v>874271</v>
      </c>
      <c r="FI72" s="7">
        <v>810784</v>
      </c>
      <c r="FJ72" s="7">
        <v>789366</v>
      </c>
    </row>
    <row r="73" spans="1:166" x14ac:dyDescent="0.4">
      <c r="A73" s="35" t="s">
        <v>30</v>
      </c>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v>2369007</v>
      </c>
      <c r="BW73" s="7">
        <v>2435898</v>
      </c>
      <c r="BX73" s="7">
        <v>2450767</v>
      </c>
      <c r="BY73" s="7">
        <v>2455509</v>
      </c>
      <c r="BZ73" s="7">
        <v>2470173</v>
      </c>
      <c r="CA73" s="7">
        <v>2536904</v>
      </c>
      <c r="CB73" s="7">
        <v>2529955</v>
      </c>
      <c r="CC73" s="7">
        <v>2536539</v>
      </c>
      <c r="CD73" s="7">
        <v>2509538</v>
      </c>
      <c r="CE73" s="7">
        <v>2522235</v>
      </c>
      <c r="CF73" s="7">
        <v>2604783</v>
      </c>
      <c r="CG73" s="7">
        <v>2611919</v>
      </c>
      <c r="CH73" s="7">
        <v>2764529</v>
      </c>
      <c r="CI73" s="7">
        <v>2733453</v>
      </c>
      <c r="CJ73" s="7">
        <v>2877389</v>
      </c>
      <c r="CK73" s="7">
        <v>2819778</v>
      </c>
      <c r="CL73" s="7">
        <v>2708043</v>
      </c>
      <c r="CM73" s="7">
        <v>2687224</v>
      </c>
      <c r="CN73" s="7">
        <v>2510695</v>
      </c>
      <c r="CO73" s="7">
        <v>2551233</v>
      </c>
      <c r="CP73" s="7">
        <v>2559489</v>
      </c>
      <c r="CQ73" s="7">
        <v>2574496</v>
      </c>
      <c r="CR73" s="7">
        <v>2564154</v>
      </c>
      <c r="CS73" s="7">
        <v>2697740</v>
      </c>
      <c r="CT73" s="7">
        <v>3037196</v>
      </c>
      <c r="CU73" s="7">
        <v>3010910</v>
      </c>
      <c r="CV73" s="7">
        <v>3002462</v>
      </c>
      <c r="CW73" s="7">
        <v>2973180</v>
      </c>
      <c r="CX73" s="7">
        <v>3036378</v>
      </c>
      <c r="CY73" s="7">
        <v>3134857</v>
      </c>
      <c r="CZ73" s="7">
        <v>3131081</v>
      </c>
      <c r="DA73" s="7">
        <v>3137714</v>
      </c>
      <c r="DB73" s="7">
        <v>3186410</v>
      </c>
      <c r="DC73" s="7">
        <v>3299170</v>
      </c>
      <c r="DD73" s="7">
        <v>3361510</v>
      </c>
      <c r="DE73" s="7">
        <v>3488929</v>
      </c>
      <c r="DF73" s="7">
        <v>3729571</v>
      </c>
      <c r="DG73" s="7">
        <v>3705376</v>
      </c>
      <c r="DH73" s="7">
        <v>3690349</v>
      </c>
      <c r="DI73" s="7">
        <v>3639750</v>
      </c>
      <c r="DJ73" s="7">
        <v>3604902</v>
      </c>
      <c r="DK73" s="7">
        <v>3743268</v>
      </c>
      <c r="DL73" s="7">
        <v>3703425</v>
      </c>
      <c r="DM73" s="7">
        <v>3751192</v>
      </c>
      <c r="DN73" s="7">
        <v>3929903</v>
      </c>
      <c r="DO73" s="7">
        <v>4004561</v>
      </c>
      <c r="DP73" s="7">
        <v>4026289</v>
      </c>
      <c r="DQ73" s="7">
        <v>4283864</v>
      </c>
      <c r="DR73" s="7">
        <v>4667433</v>
      </c>
      <c r="DS73" s="7">
        <v>4660656</v>
      </c>
      <c r="DT73" s="7">
        <v>4636271</v>
      </c>
      <c r="DU73" s="7">
        <v>4662941</v>
      </c>
      <c r="DV73" s="7">
        <v>4909245</v>
      </c>
      <c r="DW73" s="7">
        <v>4909108</v>
      </c>
      <c r="DX73" s="7">
        <v>5010054</v>
      </c>
      <c r="DY73" s="7">
        <v>5354895</v>
      </c>
      <c r="DZ73" s="7">
        <v>5825166</v>
      </c>
      <c r="EA73" s="7">
        <v>5966563</v>
      </c>
      <c r="EB73" s="7">
        <v>5972632</v>
      </c>
      <c r="EC73" s="7">
        <v>6053076</v>
      </c>
      <c r="ED73" s="7">
        <v>7171021</v>
      </c>
      <c r="EE73" s="7">
        <v>7221000</v>
      </c>
      <c r="EF73" s="7">
        <v>7307520</v>
      </c>
      <c r="EG73" s="7">
        <v>7377908</v>
      </c>
      <c r="EH73" s="7">
        <v>7453532</v>
      </c>
      <c r="EI73" s="7">
        <v>7647532</v>
      </c>
      <c r="EJ73" s="25">
        <f t="shared" si="7"/>
        <v>-8437</v>
      </c>
      <c r="EK73" s="7">
        <v>7639095</v>
      </c>
      <c r="EL73" s="25">
        <f t="shared" si="8"/>
        <v>351639</v>
      </c>
      <c r="EM73" s="7">
        <v>7990734</v>
      </c>
      <c r="EN73" s="25">
        <f t="shared" si="9"/>
        <v>57287</v>
      </c>
      <c r="EO73" s="7">
        <v>8048021</v>
      </c>
      <c r="EP73" s="25">
        <f t="shared" si="10"/>
        <v>358363</v>
      </c>
      <c r="EQ73" s="7">
        <v>8406384</v>
      </c>
      <c r="ER73" s="25">
        <f t="shared" si="11"/>
        <v>285741</v>
      </c>
      <c r="ES73" s="7">
        <v>8692125</v>
      </c>
      <c r="ET73" s="25">
        <f t="shared" si="12"/>
        <v>-107889</v>
      </c>
      <c r="EU73" s="7">
        <v>8584236</v>
      </c>
      <c r="EV73" s="25">
        <f t="shared" si="13"/>
        <v>1232733</v>
      </c>
      <c r="EW73" s="7">
        <v>9816969</v>
      </c>
      <c r="EX73" s="7">
        <v>9949995</v>
      </c>
      <c r="EY73" s="7">
        <v>9974054</v>
      </c>
      <c r="EZ73" s="7">
        <v>10146954</v>
      </c>
      <c r="FA73" s="7">
        <v>10509942</v>
      </c>
      <c r="FB73" s="7">
        <v>10443510</v>
      </c>
      <c r="FC73" s="7">
        <v>10296776</v>
      </c>
      <c r="FD73" s="7">
        <v>10530509</v>
      </c>
      <c r="FE73" s="7">
        <v>10584024</v>
      </c>
      <c r="FF73" s="7">
        <v>10678445</v>
      </c>
      <c r="FG73" s="7">
        <v>10697240</v>
      </c>
      <c r="FH73" s="7">
        <v>10912057</v>
      </c>
      <c r="FI73" s="7">
        <v>12057151</v>
      </c>
      <c r="FJ73" s="7">
        <v>12027337</v>
      </c>
    </row>
    <row r="74" spans="1:166" x14ac:dyDescent="0.4">
      <c r="A74" s="34" t="s">
        <v>6</v>
      </c>
      <c r="B74" s="7">
        <v>4414257</v>
      </c>
      <c r="C74" s="7">
        <v>4335634</v>
      </c>
      <c r="D74" s="7">
        <v>4282403</v>
      </c>
      <c r="E74" s="7">
        <v>4233274</v>
      </c>
      <c r="F74" s="7">
        <v>4369000</v>
      </c>
      <c r="G74" s="7">
        <v>4407631</v>
      </c>
      <c r="H74" s="7">
        <v>4415712</v>
      </c>
      <c r="I74" s="7">
        <v>4450124</v>
      </c>
      <c r="J74" s="7">
        <v>4510771</v>
      </c>
      <c r="K74" s="7">
        <v>4569162</v>
      </c>
      <c r="L74" s="7">
        <v>4695398</v>
      </c>
      <c r="M74" s="7">
        <v>4794914</v>
      </c>
      <c r="N74" s="7">
        <v>4859751</v>
      </c>
      <c r="O74" s="7">
        <v>4871518</v>
      </c>
      <c r="P74" s="7">
        <v>4897365</v>
      </c>
      <c r="Q74" s="7">
        <v>4857140</v>
      </c>
      <c r="R74" s="7">
        <v>4845399</v>
      </c>
      <c r="S74" s="7">
        <v>4872632</v>
      </c>
      <c r="T74" s="7">
        <v>4896539</v>
      </c>
      <c r="U74" s="7">
        <v>4940402</v>
      </c>
      <c r="V74" s="7">
        <v>4891647</v>
      </c>
      <c r="W74" s="7">
        <v>4892619</v>
      </c>
      <c r="X74" s="7">
        <v>4941666</v>
      </c>
      <c r="Y74" s="7">
        <v>4850684</v>
      </c>
      <c r="Z74" s="7">
        <v>5892743</v>
      </c>
      <c r="AA74" s="7">
        <v>5896090</v>
      </c>
      <c r="AB74" s="7">
        <v>5945218</v>
      </c>
      <c r="AC74" s="7">
        <v>5791168</v>
      </c>
      <c r="AD74" s="7">
        <v>5922546</v>
      </c>
      <c r="AE74" s="7">
        <v>6002123</v>
      </c>
      <c r="AF74" s="7">
        <v>5864372</v>
      </c>
      <c r="AG74" s="7">
        <v>6001942</v>
      </c>
      <c r="AH74" s="7">
        <v>5797610</v>
      </c>
      <c r="AI74" s="7">
        <v>5829353</v>
      </c>
      <c r="AJ74" s="7">
        <v>5928899</v>
      </c>
      <c r="AK74" s="7">
        <v>5962523</v>
      </c>
      <c r="AL74" s="7">
        <v>6012760</v>
      </c>
      <c r="AM74" s="7">
        <v>5987965</v>
      </c>
      <c r="AN74" s="7">
        <v>6014974</v>
      </c>
      <c r="AO74" s="7">
        <v>6117163</v>
      </c>
      <c r="AP74" s="7">
        <v>6213669</v>
      </c>
      <c r="AQ74" s="7">
        <v>6185050</v>
      </c>
      <c r="AR74" s="7">
        <v>6258021</v>
      </c>
      <c r="AS74" s="7">
        <v>6327842</v>
      </c>
      <c r="AT74" s="7">
        <v>6234177</v>
      </c>
      <c r="AU74" s="7">
        <v>6272802</v>
      </c>
      <c r="AV74" s="7">
        <v>6304948</v>
      </c>
      <c r="AW74" s="7">
        <v>6452684</v>
      </c>
      <c r="AX74" s="7">
        <v>6586035</v>
      </c>
      <c r="AY74" s="7">
        <v>6705803</v>
      </c>
      <c r="AZ74" s="7">
        <v>6798908</v>
      </c>
      <c r="BA74" s="7">
        <v>6947083</v>
      </c>
      <c r="BB74" s="7">
        <v>6955356</v>
      </c>
      <c r="BC74" s="7">
        <v>7120151</v>
      </c>
      <c r="BD74" s="7">
        <v>7116831</v>
      </c>
      <c r="BE74" s="7">
        <v>7247298</v>
      </c>
      <c r="BF74" s="7">
        <v>7400303</v>
      </c>
      <c r="BG74" s="7">
        <v>7572861</v>
      </c>
      <c r="BH74" s="7">
        <v>7703990</v>
      </c>
      <c r="BI74" s="7">
        <v>7841254</v>
      </c>
      <c r="BJ74" s="7">
        <v>7820146</v>
      </c>
      <c r="BK74" s="7">
        <v>7803508</v>
      </c>
      <c r="BL74" s="7">
        <v>7931789</v>
      </c>
      <c r="BM74" s="7">
        <v>7879971</v>
      </c>
      <c r="BN74" s="7">
        <v>7940867</v>
      </c>
      <c r="BO74" s="7">
        <v>8029824</v>
      </c>
      <c r="BP74" s="7">
        <v>8135309</v>
      </c>
      <c r="BQ74" s="7">
        <v>8263828</v>
      </c>
      <c r="BR74" s="7">
        <v>8261190</v>
      </c>
      <c r="BS74" s="7">
        <v>8261275</v>
      </c>
      <c r="BT74" s="7">
        <v>8332030</v>
      </c>
      <c r="BU74" s="7">
        <v>8386079</v>
      </c>
      <c r="BV74" s="7">
        <v>8462574</v>
      </c>
      <c r="BW74" s="7">
        <v>8526295</v>
      </c>
      <c r="BX74" s="7">
        <v>8535611</v>
      </c>
      <c r="BY74" s="7">
        <v>8804502</v>
      </c>
      <c r="BZ74" s="7">
        <v>9216443</v>
      </c>
      <c r="CA74" s="7">
        <v>9347918</v>
      </c>
      <c r="CB74" s="7">
        <v>9456789</v>
      </c>
      <c r="CC74" s="7">
        <v>9761157</v>
      </c>
      <c r="CD74" s="7">
        <v>9838512</v>
      </c>
      <c r="CE74" s="7">
        <v>9945470</v>
      </c>
      <c r="CF74" s="7">
        <v>10055393</v>
      </c>
      <c r="CG74" s="7">
        <v>10172539</v>
      </c>
      <c r="CH74" s="7">
        <v>10146562</v>
      </c>
      <c r="CI74" s="7">
        <v>10080651</v>
      </c>
      <c r="CJ74" s="7">
        <v>10546866</v>
      </c>
      <c r="CK74" s="7">
        <v>10571931</v>
      </c>
      <c r="CL74" s="7">
        <v>10890323</v>
      </c>
      <c r="CM74" s="7">
        <v>11057824</v>
      </c>
      <c r="CN74" s="7">
        <v>11480294</v>
      </c>
      <c r="CO74" s="7">
        <v>11761318</v>
      </c>
      <c r="CP74" s="7">
        <v>11943343</v>
      </c>
      <c r="CQ74" s="7">
        <v>12796005</v>
      </c>
      <c r="CR74" s="7">
        <v>14292454</v>
      </c>
      <c r="CS74" s="7">
        <v>15161436</v>
      </c>
      <c r="CT74" s="7">
        <v>15325835</v>
      </c>
      <c r="CU74" s="7">
        <v>15362638</v>
      </c>
      <c r="CV74" s="7">
        <v>15450620</v>
      </c>
      <c r="CW74" s="7">
        <v>16012522</v>
      </c>
      <c r="CX74" s="7">
        <v>16398078</v>
      </c>
      <c r="CY74" s="7">
        <v>16634732</v>
      </c>
      <c r="CZ74" s="7">
        <v>16847854</v>
      </c>
      <c r="DA74" s="7">
        <v>17016983</v>
      </c>
      <c r="DB74" s="7">
        <v>17161723</v>
      </c>
      <c r="DC74" s="7">
        <v>17352866</v>
      </c>
      <c r="DD74" s="7">
        <v>17355733</v>
      </c>
      <c r="DE74" s="7">
        <v>17391259</v>
      </c>
      <c r="DF74" s="7">
        <v>17081503</v>
      </c>
      <c r="DG74" s="7">
        <v>17094014</v>
      </c>
      <c r="DH74" s="7">
        <v>17207907</v>
      </c>
      <c r="DI74" s="7">
        <v>17205947</v>
      </c>
      <c r="DJ74" s="7">
        <v>17188490</v>
      </c>
      <c r="DK74" s="7">
        <v>17239628</v>
      </c>
      <c r="DL74" s="7">
        <v>17255435</v>
      </c>
      <c r="DM74" s="7">
        <v>16846975</v>
      </c>
      <c r="DN74" s="7">
        <v>16837031</v>
      </c>
      <c r="DO74" s="7">
        <v>16828191</v>
      </c>
      <c r="DP74" s="7">
        <v>16981939</v>
      </c>
      <c r="DQ74" s="7">
        <v>18001707</v>
      </c>
      <c r="DR74" s="7">
        <v>19559128</v>
      </c>
      <c r="DS74" s="7">
        <v>19643066</v>
      </c>
      <c r="DT74" s="7">
        <v>19920345</v>
      </c>
      <c r="DU74" s="7">
        <v>20118883</v>
      </c>
      <c r="DV74" s="7">
        <v>20356187</v>
      </c>
      <c r="DW74" s="7">
        <v>20568001</v>
      </c>
      <c r="DX74" s="7">
        <v>21002129</v>
      </c>
      <c r="DY74" s="7">
        <v>21156861</v>
      </c>
      <c r="DZ74" s="7">
        <v>21205518</v>
      </c>
      <c r="EA74" s="7">
        <v>21322717</v>
      </c>
      <c r="EB74" s="7">
        <v>21352758</v>
      </c>
      <c r="EC74" s="7">
        <v>21712808</v>
      </c>
      <c r="ED74" s="7">
        <v>21852925</v>
      </c>
      <c r="EE74" s="7">
        <v>22037778</v>
      </c>
      <c r="EF74" s="7">
        <v>22175359</v>
      </c>
      <c r="EG74" s="7">
        <v>22333044</v>
      </c>
      <c r="EH74" s="7">
        <v>22236397</v>
      </c>
      <c r="EI74" s="7">
        <v>22401262</v>
      </c>
      <c r="EJ74" s="25">
        <f t="shared" si="7"/>
        <v>35700</v>
      </c>
      <c r="EK74" s="7">
        <v>22436962</v>
      </c>
      <c r="EL74" s="25">
        <f t="shared" si="8"/>
        <v>-255543</v>
      </c>
      <c r="EM74" s="7">
        <v>22181419</v>
      </c>
      <c r="EN74" s="25">
        <f t="shared" si="9"/>
        <v>410443</v>
      </c>
      <c r="EO74" s="7">
        <v>22591862</v>
      </c>
      <c r="EP74" s="25">
        <f t="shared" si="10"/>
        <v>166860</v>
      </c>
      <c r="EQ74" s="7">
        <v>22758722</v>
      </c>
      <c r="ER74" s="25">
        <f t="shared" si="11"/>
        <v>-237343</v>
      </c>
      <c r="ES74" s="7">
        <v>22521379</v>
      </c>
      <c r="ET74" s="25">
        <f t="shared" si="12"/>
        <v>161828</v>
      </c>
      <c r="EU74" s="7">
        <v>22683207</v>
      </c>
      <c r="EV74" s="25">
        <f t="shared" si="13"/>
        <v>2135510</v>
      </c>
      <c r="EW74" s="7">
        <v>24818717</v>
      </c>
      <c r="EX74" s="7">
        <v>24554436</v>
      </c>
      <c r="EY74" s="7">
        <v>25405725</v>
      </c>
      <c r="EZ74" s="7">
        <v>25835272</v>
      </c>
      <c r="FA74" s="7">
        <v>26134404</v>
      </c>
      <c r="FB74" s="7">
        <v>26735362</v>
      </c>
      <c r="FC74" s="7">
        <v>27296405</v>
      </c>
      <c r="FD74" s="7">
        <v>27678251</v>
      </c>
      <c r="FE74" s="7">
        <v>28219408</v>
      </c>
      <c r="FF74" s="7">
        <v>28414190</v>
      </c>
      <c r="FG74" s="7">
        <v>29352681</v>
      </c>
      <c r="FH74" s="7">
        <v>31155449</v>
      </c>
      <c r="FI74" s="7">
        <v>31655502</v>
      </c>
      <c r="FJ74" s="7">
        <v>31873954</v>
      </c>
    </row>
    <row r="75" spans="1:166" x14ac:dyDescent="0.4">
      <c r="A75" s="35" t="s">
        <v>13</v>
      </c>
      <c r="B75" s="7">
        <v>0</v>
      </c>
      <c r="C75" s="7">
        <v>0</v>
      </c>
      <c r="D75" s="7">
        <v>0</v>
      </c>
      <c r="E75" s="7">
        <v>0</v>
      </c>
      <c r="F75" s="7">
        <v>0</v>
      </c>
      <c r="G75" s="7">
        <v>0</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c r="AF75" s="7">
        <v>0</v>
      </c>
      <c r="AG75" s="7">
        <v>0</v>
      </c>
      <c r="AH75" s="7">
        <v>0</v>
      </c>
      <c r="AI75" s="7">
        <v>0</v>
      </c>
      <c r="AJ75" s="7">
        <v>0</v>
      </c>
      <c r="AK75" s="7">
        <v>0</v>
      </c>
      <c r="AL75" s="7">
        <v>0</v>
      </c>
      <c r="AM75" s="7">
        <v>0</v>
      </c>
      <c r="AN75" s="7">
        <v>0</v>
      </c>
      <c r="AO75" s="7">
        <v>0</v>
      </c>
      <c r="AP75" s="7">
        <v>0</v>
      </c>
      <c r="AQ75" s="7">
        <v>0</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0</v>
      </c>
      <c r="BI75" s="7">
        <v>0</v>
      </c>
      <c r="BJ75" s="7">
        <v>0</v>
      </c>
      <c r="BK75" s="7">
        <v>0</v>
      </c>
      <c r="BL75" s="7">
        <v>0</v>
      </c>
      <c r="BM75" s="7">
        <v>0</v>
      </c>
      <c r="BN75" s="7">
        <v>0</v>
      </c>
      <c r="BO75" s="7">
        <v>0</v>
      </c>
      <c r="BP75" s="7">
        <v>0</v>
      </c>
      <c r="BQ75" s="7">
        <v>0</v>
      </c>
      <c r="BR75" s="7">
        <v>0</v>
      </c>
      <c r="BS75" s="7">
        <v>0</v>
      </c>
      <c r="BT75" s="7">
        <v>3000</v>
      </c>
      <c r="BU75" s="7">
        <v>3000</v>
      </c>
      <c r="BV75" s="7">
        <v>3000</v>
      </c>
      <c r="BW75" s="7">
        <v>3000</v>
      </c>
      <c r="BX75" s="7">
        <v>3000</v>
      </c>
      <c r="BY75" s="7">
        <v>3000</v>
      </c>
      <c r="BZ75" s="7">
        <v>3000</v>
      </c>
      <c r="CA75" s="7">
        <v>3000</v>
      </c>
      <c r="CB75" s="7">
        <v>3000</v>
      </c>
      <c r="CC75" s="7">
        <v>3000</v>
      </c>
      <c r="CD75" s="7">
        <v>3000</v>
      </c>
      <c r="CE75" s="7">
        <v>3000</v>
      </c>
      <c r="CF75" s="7">
        <v>0</v>
      </c>
      <c r="CG75" s="7">
        <v>0</v>
      </c>
      <c r="CH75" s="7">
        <v>0</v>
      </c>
      <c r="CI75" s="7">
        <v>0</v>
      </c>
      <c r="CJ75" s="7">
        <v>0</v>
      </c>
      <c r="CK75" s="7">
        <v>0</v>
      </c>
      <c r="CL75" s="7">
        <v>0</v>
      </c>
      <c r="CM75" s="7">
        <v>0</v>
      </c>
      <c r="CN75" s="7">
        <v>0</v>
      </c>
      <c r="CO75" s="7">
        <v>0</v>
      </c>
      <c r="CP75" s="7">
        <v>0</v>
      </c>
      <c r="CQ75" s="7">
        <v>0</v>
      </c>
      <c r="CR75" s="7">
        <v>0</v>
      </c>
      <c r="CS75" s="7">
        <v>0</v>
      </c>
      <c r="CT75" s="7">
        <v>0</v>
      </c>
      <c r="CU75" s="7">
        <v>0</v>
      </c>
      <c r="CV75" s="7">
        <v>0</v>
      </c>
      <c r="CW75" s="7">
        <v>0</v>
      </c>
      <c r="CX75" s="7">
        <v>0</v>
      </c>
      <c r="CY75" s="7">
        <v>0</v>
      </c>
      <c r="CZ75" s="7">
        <v>0</v>
      </c>
      <c r="DA75" s="7">
        <v>0</v>
      </c>
      <c r="DB75" s="7">
        <v>0</v>
      </c>
      <c r="DC75" s="7">
        <v>0</v>
      </c>
      <c r="DD75" s="7">
        <v>0</v>
      </c>
      <c r="DE75" s="7">
        <v>0</v>
      </c>
      <c r="DF75" s="7">
        <v>0</v>
      </c>
      <c r="DG75" s="7">
        <v>0</v>
      </c>
      <c r="DH75" s="7">
        <v>5363</v>
      </c>
      <c r="DI75" s="7">
        <v>5416</v>
      </c>
      <c r="DJ75" s="7">
        <v>5467</v>
      </c>
      <c r="DK75" s="7">
        <v>5519</v>
      </c>
      <c r="DL75" s="7">
        <v>5570</v>
      </c>
      <c r="DM75" s="7">
        <v>5623</v>
      </c>
      <c r="DN75" s="7">
        <v>5366</v>
      </c>
      <c r="DO75" s="7">
        <v>5417</v>
      </c>
      <c r="DP75" s="7">
        <v>5470</v>
      </c>
      <c r="DQ75" s="7">
        <v>5521</v>
      </c>
      <c r="DR75" s="7">
        <v>5574</v>
      </c>
      <c r="DS75" s="7">
        <v>5626</v>
      </c>
      <c r="DT75" s="7">
        <v>0</v>
      </c>
      <c r="DU75" s="7">
        <v>0</v>
      </c>
      <c r="DV75" s="7">
        <v>0</v>
      </c>
      <c r="DW75" s="7">
        <v>0</v>
      </c>
      <c r="DX75" s="7">
        <v>0</v>
      </c>
      <c r="DY75" s="7">
        <v>0</v>
      </c>
      <c r="DZ75" s="7">
        <v>0</v>
      </c>
      <c r="EA75" s="7">
        <v>15052</v>
      </c>
      <c r="EB75" s="7">
        <v>32994</v>
      </c>
      <c r="EC75" s="7">
        <v>59478</v>
      </c>
      <c r="ED75" s="7">
        <v>60200</v>
      </c>
      <c r="EE75" s="7">
        <v>59454</v>
      </c>
      <c r="EF75" s="7">
        <v>59206</v>
      </c>
      <c r="EG75" s="7">
        <v>59928</v>
      </c>
      <c r="EH75" s="7">
        <v>5413</v>
      </c>
      <c r="EI75" s="7">
        <v>9388</v>
      </c>
      <c r="EJ75" s="25">
        <f t="shared" si="7"/>
        <v>-3025</v>
      </c>
      <c r="EK75" s="7">
        <v>6363</v>
      </c>
      <c r="EL75" s="25">
        <f t="shared" si="8"/>
        <v>-2969</v>
      </c>
      <c r="EM75" s="7">
        <v>3394</v>
      </c>
      <c r="EN75" s="25">
        <f t="shared" si="9"/>
        <v>-80</v>
      </c>
      <c r="EO75" s="7">
        <v>3314</v>
      </c>
      <c r="EP75" s="25">
        <f t="shared" si="10"/>
        <v>1049</v>
      </c>
      <c r="EQ75" s="7">
        <v>4363</v>
      </c>
      <c r="ER75" s="25">
        <f t="shared" si="11"/>
        <v>-970</v>
      </c>
      <c r="ES75" s="7">
        <v>3393</v>
      </c>
      <c r="ET75" s="25">
        <f t="shared" si="12"/>
        <v>-3393</v>
      </c>
      <c r="EU75" s="7">
        <v>0</v>
      </c>
      <c r="EV75" s="25">
        <f t="shared" si="13"/>
        <v>0</v>
      </c>
      <c r="EW75" s="7">
        <v>0</v>
      </c>
      <c r="EX75" s="7">
        <v>0</v>
      </c>
      <c r="EY75" s="7">
        <v>2532</v>
      </c>
      <c r="EZ75" s="7">
        <v>0</v>
      </c>
      <c r="FA75" s="7">
        <v>0</v>
      </c>
      <c r="FB75" s="7">
        <v>2013</v>
      </c>
      <c r="FC75" s="7">
        <v>0</v>
      </c>
      <c r="FD75" s="7">
        <v>0</v>
      </c>
      <c r="FE75" s="7">
        <v>0</v>
      </c>
      <c r="FF75" s="7">
        <v>0</v>
      </c>
      <c r="FG75" s="7">
        <v>0</v>
      </c>
      <c r="FH75" s="7">
        <v>0</v>
      </c>
      <c r="FI75" s="7">
        <v>0</v>
      </c>
      <c r="FJ75" s="7">
        <v>0</v>
      </c>
    </row>
    <row r="76" spans="1:166" x14ac:dyDescent="0.4">
      <c r="A76" s="35" t="s">
        <v>14</v>
      </c>
      <c r="B76" s="7">
        <v>4414257</v>
      </c>
      <c r="C76" s="7">
        <v>4335634</v>
      </c>
      <c r="D76" s="7">
        <v>4282403</v>
      </c>
      <c r="E76" s="7">
        <v>4233274</v>
      </c>
      <c r="F76" s="7">
        <v>4369000</v>
      </c>
      <c r="G76" s="7">
        <v>4407631</v>
      </c>
      <c r="H76" s="7">
        <v>4415712</v>
      </c>
      <c r="I76" s="7">
        <v>4450124</v>
      </c>
      <c r="J76" s="7">
        <v>4510771</v>
      </c>
      <c r="K76" s="7">
        <v>4569162</v>
      </c>
      <c r="L76" s="7">
        <v>4695398</v>
      </c>
      <c r="M76" s="7">
        <v>4794914</v>
      </c>
      <c r="N76" s="7">
        <v>4859751</v>
      </c>
      <c r="O76" s="7">
        <v>4871518</v>
      </c>
      <c r="P76" s="7">
        <v>4897365</v>
      </c>
      <c r="Q76" s="7">
        <v>4857140</v>
      </c>
      <c r="R76" s="7">
        <v>4845399</v>
      </c>
      <c r="S76" s="7">
        <v>4872632</v>
      </c>
      <c r="T76" s="7">
        <v>4896539</v>
      </c>
      <c r="U76" s="7">
        <v>4940402</v>
      </c>
      <c r="V76" s="7">
        <v>4891647</v>
      </c>
      <c r="W76" s="7">
        <v>4892619</v>
      </c>
      <c r="X76" s="7">
        <v>4941666</v>
      </c>
      <c r="Y76" s="7">
        <v>4850684</v>
      </c>
      <c r="Z76" s="7">
        <v>5892743</v>
      </c>
      <c r="AA76" s="7">
        <v>5896090</v>
      </c>
      <c r="AB76" s="7">
        <v>5945218</v>
      </c>
      <c r="AC76" s="7">
        <v>5791168</v>
      </c>
      <c r="AD76" s="7">
        <v>5922546</v>
      </c>
      <c r="AE76" s="7">
        <v>6002123</v>
      </c>
      <c r="AF76" s="7">
        <v>5864372</v>
      </c>
      <c r="AG76" s="7">
        <v>6001942</v>
      </c>
      <c r="AH76" s="7">
        <v>5797610</v>
      </c>
      <c r="AI76" s="7">
        <v>5829353</v>
      </c>
      <c r="AJ76" s="7">
        <v>5928899</v>
      </c>
      <c r="AK76" s="7">
        <v>5962523</v>
      </c>
      <c r="AL76" s="7">
        <v>6012760</v>
      </c>
      <c r="AM76" s="7">
        <v>5987965</v>
      </c>
      <c r="AN76" s="7">
        <v>6014974</v>
      </c>
      <c r="AO76" s="7">
        <v>6117163</v>
      </c>
      <c r="AP76" s="7">
        <v>6213669</v>
      </c>
      <c r="AQ76" s="7">
        <v>6185050</v>
      </c>
      <c r="AR76" s="7">
        <v>6258021</v>
      </c>
      <c r="AS76" s="7">
        <v>6327842</v>
      </c>
      <c r="AT76" s="7">
        <v>6234177</v>
      </c>
      <c r="AU76" s="7">
        <v>6272802</v>
      </c>
      <c r="AV76" s="7">
        <v>6304948</v>
      </c>
      <c r="AW76" s="7">
        <v>6452684</v>
      </c>
      <c r="AX76" s="7">
        <v>6586035</v>
      </c>
      <c r="AY76" s="7">
        <v>6705803</v>
      </c>
      <c r="AZ76" s="7">
        <v>6798908</v>
      </c>
      <c r="BA76" s="7">
        <v>6947083</v>
      </c>
      <c r="BB76" s="7">
        <v>6955356</v>
      </c>
      <c r="BC76" s="7">
        <v>7120151</v>
      </c>
      <c r="BD76" s="7">
        <v>7116831</v>
      </c>
      <c r="BE76" s="7">
        <v>7247298</v>
      </c>
      <c r="BF76" s="7">
        <v>7400303</v>
      </c>
      <c r="BG76" s="7">
        <v>7572861</v>
      </c>
      <c r="BH76" s="7">
        <v>7703990</v>
      </c>
      <c r="BI76" s="7">
        <v>7841254</v>
      </c>
      <c r="BJ76" s="7">
        <v>7820146</v>
      </c>
      <c r="BK76" s="7">
        <v>7803508</v>
      </c>
      <c r="BL76" s="7">
        <v>7931789</v>
      </c>
      <c r="BM76" s="7">
        <v>7879971</v>
      </c>
      <c r="BN76" s="7">
        <v>7940867</v>
      </c>
      <c r="BO76" s="7">
        <v>8029824</v>
      </c>
      <c r="BP76" s="7">
        <v>8135309</v>
      </c>
      <c r="BQ76" s="7">
        <v>8263828</v>
      </c>
      <c r="BR76" s="7">
        <v>8261190</v>
      </c>
      <c r="BS76" s="7">
        <v>8261275</v>
      </c>
      <c r="BT76" s="7">
        <v>8329030</v>
      </c>
      <c r="BU76" s="7">
        <v>8383079</v>
      </c>
      <c r="BV76" s="7">
        <v>8459574</v>
      </c>
      <c r="BW76" s="7">
        <v>8523295</v>
      </c>
      <c r="BX76" s="7">
        <v>8532611</v>
      </c>
      <c r="BY76" s="7">
        <v>8801502</v>
      </c>
      <c r="BZ76" s="7">
        <v>9213443</v>
      </c>
      <c r="CA76" s="7">
        <v>9344918</v>
      </c>
      <c r="CB76" s="7">
        <v>9453789</v>
      </c>
      <c r="CC76" s="7">
        <v>9758157</v>
      </c>
      <c r="CD76" s="7">
        <v>9835512</v>
      </c>
      <c r="CE76" s="7">
        <v>9942470</v>
      </c>
      <c r="CF76" s="7">
        <v>10055393</v>
      </c>
      <c r="CG76" s="7">
        <v>10172539</v>
      </c>
      <c r="CH76" s="7">
        <v>10146562</v>
      </c>
      <c r="CI76" s="7">
        <v>10080651</v>
      </c>
      <c r="CJ76" s="7">
        <v>10546866</v>
      </c>
      <c r="CK76" s="7">
        <v>10571931</v>
      </c>
      <c r="CL76" s="7">
        <v>10890323</v>
      </c>
      <c r="CM76" s="7">
        <v>11057824</v>
      </c>
      <c r="CN76" s="7">
        <v>11480294</v>
      </c>
      <c r="CO76" s="7">
        <v>11761318</v>
      </c>
      <c r="CP76" s="7">
        <v>11943343</v>
      </c>
      <c r="CQ76" s="7">
        <v>12796005</v>
      </c>
      <c r="CR76" s="7">
        <v>14292454</v>
      </c>
      <c r="CS76" s="7">
        <v>15161436</v>
      </c>
      <c r="CT76" s="7">
        <v>15325835</v>
      </c>
      <c r="CU76" s="7">
        <v>15362638</v>
      </c>
      <c r="CV76" s="7">
        <v>15450620</v>
      </c>
      <c r="CW76" s="7">
        <v>16012522</v>
      </c>
      <c r="CX76" s="7">
        <v>16398078</v>
      </c>
      <c r="CY76" s="7">
        <v>16634732</v>
      </c>
      <c r="CZ76" s="7">
        <v>16847854</v>
      </c>
      <c r="DA76" s="7">
        <v>17016983</v>
      </c>
      <c r="DB76" s="7">
        <v>17161723</v>
      </c>
      <c r="DC76" s="7">
        <v>17352866</v>
      </c>
      <c r="DD76" s="7">
        <v>17355733</v>
      </c>
      <c r="DE76" s="7">
        <v>17391259</v>
      </c>
      <c r="DF76" s="7">
        <v>17081503</v>
      </c>
      <c r="DG76" s="7">
        <v>17094014</v>
      </c>
      <c r="DH76" s="7">
        <v>17202544</v>
      </c>
      <c r="DI76" s="7">
        <v>17200532</v>
      </c>
      <c r="DJ76" s="7">
        <v>17183023</v>
      </c>
      <c r="DK76" s="7">
        <v>17234109</v>
      </c>
      <c r="DL76" s="7">
        <v>17249865</v>
      </c>
      <c r="DM76" s="7">
        <v>16841352</v>
      </c>
      <c r="DN76" s="7">
        <v>16831664</v>
      </c>
      <c r="DO76" s="7">
        <v>16822774</v>
      </c>
      <c r="DP76" s="7">
        <v>16976469</v>
      </c>
      <c r="DQ76" s="7">
        <v>17996186</v>
      </c>
      <c r="DR76" s="7">
        <v>19553554</v>
      </c>
      <c r="DS76" s="7">
        <v>19637439</v>
      </c>
      <c r="DT76" s="7">
        <v>19920345</v>
      </c>
      <c r="DU76" s="7">
        <v>20118883</v>
      </c>
      <c r="DV76" s="7">
        <v>20356187</v>
      </c>
      <c r="DW76" s="7">
        <v>20568001</v>
      </c>
      <c r="DX76" s="7">
        <v>21002129</v>
      </c>
      <c r="DY76" s="7">
        <v>21156861</v>
      </c>
      <c r="DZ76" s="7">
        <v>21205518</v>
      </c>
      <c r="EA76" s="7">
        <v>21307665</v>
      </c>
      <c r="EB76" s="7">
        <v>21319764</v>
      </c>
      <c r="EC76" s="7">
        <v>21653330</v>
      </c>
      <c r="ED76" s="7">
        <v>21792726</v>
      </c>
      <c r="EE76" s="7">
        <v>21978324</v>
      </c>
      <c r="EF76" s="7">
        <v>22116152</v>
      </c>
      <c r="EG76" s="7">
        <v>22273116</v>
      </c>
      <c r="EH76" s="7">
        <v>22230985</v>
      </c>
      <c r="EI76" s="7">
        <v>22391875</v>
      </c>
      <c r="EJ76" s="25">
        <f t="shared" si="7"/>
        <v>38724</v>
      </c>
      <c r="EK76" s="7">
        <v>22430599</v>
      </c>
      <c r="EL76" s="25">
        <f t="shared" si="8"/>
        <v>-252574</v>
      </c>
      <c r="EM76" s="7">
        <v>22178025</v>
      </c>
      <c r="EN76" s="25">
        <f t="shared" si="9"/>
        <v>410523</v>
      </c>
      <c r="EO76" s="7">
        <v>22588548</v>
      </c>
      <c r="EP76" s="25">
        <f t="shared" si="10"/>
        <v>165811</v>
      </c>
      <c r="EQ76" s="7">
        <v>22754359</v>
      </c>
      <c r="ER76" s="25">
        <f t="shared" si="11"/>
        <v>-236373</v>
      </c>
      <c r="ES76" s="7">
        <v>22517986</v>
      </c>
      <c r="ET76" s="25">
        <f t="shared" si="12"/>
        <v>165221</v>
      </c>
      <c r="EU76" s="7">
        <v>22683207</v>
      </c>
      <c r="EV76" s="25">
        <f t="shared" si="13"/>
        <v>2135510</v>
      </c>
      <c r="EW76" s="7">
        <v>24818717</v>
      </c>
      <c r="EX76" s="7">
        <v>24554436</v>
      </c>
      <c r="EY76" s="7">
        <v>25403193</v>
      </c>
      <c r="EZ76" s="7">
        <v>25835272</v>
      </c>
      <c r="FA76" s="7">
        <v>26134404</v>
      </c>
      <c r="FB76" s="7">
        <v>26733349</v>
      </c>
      <c r="FC76" s="7">
        <v>27296405</v>
      </c>
      <c r="FD76" s="7">
        <v>27678251</v>
      </c>
      <c r="FE76" s="7">
        <v>28219408</v>
      </c>
      <c r="FF76" s="7">
        <v>28414190</v>
      </c>
      <c r="FG76" s="7">
        <v>29352681</v>
      </c>
      <c r="FH76" s="7">
        <v>31155449</v>
      </c>
      <c r="FI76" s="7">
        <v>31655502</v>
      </c>
      <c r="FJ76" s="7">
        <v>31873954</v>
      </c>
    </row>
    <row r="77" spans="1:166" x14ac:dyDescent="0.4">
      <c r="A77" s="35" t="s">
        <v>27</v>
      </c>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v>728232</v>
      </c>
      <c r="BW77" s="7">
        <v>971271</v>
      </c>
      <c r="BX77" s="7">
        <v>821267</v>
      </c>
      <c r="BY77" s="7">
        <v>818588</v>
      </c>
      <c r="BZ77" s="7">
        <v>825948</v>
      </c>
      <c r="CA77" s="7">
        <v>809482</v>
      </c>
      <c r="CB77" s="7">
        <v>807334</v>
      </c>
      <c r="CC77" s="7">
        <v>809741</v>
      </c>
      <c r="CD77" s="7">
        <v>816015</v>
      </c>
      <c r="CE77" s="7">
        <v>824086</v>
      </c>
      <c r="CF77" s="7">
        <v>708528</v>
      </c>
      <c r="CG77" s="7">
        <v>713564</v>
      </c>
      <c r="CH77" s="7">
        <v>565997</v>
      </c>
      <c r="CI77" s="7">
        <v>315994</v>
      </c>
      <c r="CJ77" s="7">
        <v>394526</v>
      </c>
      <c r="CK77" s="7">
        <v>413026</v>
      </c>
      <c r="CL77" s="7">
        <v>537026</v>
      </c>
      <c r="CM77" s="7">
        <v>301248</v>
      </c>
      <c r="CN77" s="7">
        <v>310002</v>
      </c>
      <c r="CO77" s="7">
        <v>309218</v>
      </c>
      <c r="CP77" s="7">
        <v>596083</v>
      </c>
      <c r="CQ77" s="7">
        <v>583059</v>
      </c>
      <c r="CR77" s="7">
        <v>587781</v>
      </c>
      <c r="CS77" s="7">
        <v>627815</v>
      </c>
      <c r="CT77" s="7">
        <v>1037677</v>
      </c>
      <c r="CU77" s="7">
        <v>1043104</v>
      </c>
      <c r="CV77" s="7">
        <v>961285</v>
      </c>
      <c r="CW77" s="7">
        <v>948081</v>
      </c>
      <c r="CX77" s="7">
        <v>790535</v>
      </c>
      <c r="CY77" s="7">
        <v>792489</v>
      </c>
      <c r="CZ77" s="7">
        <v>809296</v>
      </c>
      <c r="DA77" s="7">
        <v>1259298</v>
      </c>
      <c r="DB77" s="7">
        <v>970760</v>
      </c>
      <c r="DC77" s="7">
        <v>977403</v>
      </c>
      <c r="DD77" s="7">
        <v>1001853</v>
      </c>
      <c r="DE77" s="7">
        <v>1177707</v>
      </c>
      <c r="DF77" s="7">
        <v>1111038</v>
      </c>
      <c r="DG77" s="7">
        <v>1258775</v>
      </c>
      <c r="DH77" s="7">
        <v>1264273</v>
      </c>
      <c r="DI77" s="7">
        <v>1270470</v>
      </c>
      <c r="DJ77" s="7">
        <v>1270266</v>
      </c>
      <c r="DK77" s="7">
        <v>1311769</v>
      </c>
      <c r="DL77" s="7">
        <v>1282520</v>
      </c>
      <c r="DM77" s="7">
        <v>838743</v>
      </c>
      <c r="DN77" s="7">
        <v>1326772</v>
      </c>
      <c r="DO77" s="7">
        <v>1331627</v>
      </c>
      <c r="DP77" s="7">
        <v>1470601</v>
      </c>
      <c r="DQ77" s="7">
        <v>1258869</v>
      </c>
      <c r="DR77" s="7">
        <v>901307</v>
      </c>
      <c r="DS77" s="7">
        <v>746340</v>
      </c>
      <c r="DT77" s="7">
        <v>1116333</v>
      </c>
      <c r="DU77" s="7">
        <v>1129081</v>
      </c>
      <c r="DV77" s="7">
        <v>1473449</v>
      </c>
      <c r="DW77" s="7">
        <v>1449121</v>
      </c>
      <c r="DX77" s="7">
        <v>1471083</v>
      </c>
      <c r="DY77" s="7">
        <v>1862535</v>
      </c>
      <c r="DZ77" s="7">
        <v>1367181</v>
      </c>
      <c r="EA77" s="7">
        <v>1374332</v>
      </c>
      <c r="EB77" s="7">
        <v>1574288</v>
      </c>
      <c r="EC77" s="7">
        <v>1584283</v>
      </c>
      <c r="ED77" s="7">
        <v>1584551</v>
      </c>
      <c r="EE77" s="7">
        <v>1959524</v>
      </c>
      <c r="EF77" s="7">
        <v>1586947</v>
      </c>
      <c r="EG77" s="7">
        <v>1624414</v>
      </c>
      <c r="EH77" s="7">
        <v>1266256</v>
      </c>
      <c r="EI77" s="7">
        <v>1294852</v>
      </c>
      <c r="EJ77" s="25">
        <f t="shared" si="7"/>
        <v>14383</v>
      </c>
      <c r="EK77" s="7">
        <v>1309235</v>
      </c>
      <c r="EL77" s="25">
        <f t="shared" si="8"/>
        <v>69532</v>
      </c>
      <c r="EM77" s="7">
        <v>1378767</v>
      </c>
      <c r="EN77" s="25">
        <f t="shared" si="9"/>
        <v>-5971</v>
      </c>
      <c r="EO77" s="7">
        <v>1372796</v>
      </c>
      <c r="EP77" s="25">
        <f t="shared" si="10"/>
        <v>52377</v>
      </c>
      <c r="EQ77" s="7">
        <v>1425173</v>
      </c>
      <c r="ER77" s="25">
        <f t="shared" si="11"/>
        <v>-361813</v>
      </c>
      <c r="ES77" s="7">
        <v>1063360</v>
      </c>
      <c r="ET77" s="25">
        <f t="shared" si="12"/>
        <v>440744</v>
      </c>
      <c r="EU77" s="7">
        <v>1504104</v>
      </c>
      <c r="EV77" s="25">
        <f t="shared" si="13"/>
        <v>10170</v>
      </c>
      <c r="EW77" s="7">
        <v>1514274</v>
      </c>
      <c r="EX77" s="7">
        <v>1089744</v>
      </c>
      <c r="EY77" s="7">
        <v>1095809</v>
      </c>
      <c r="EZ77" s="7">
        <v>1521987</v>
      </c>
      <c r="FA77" s="7">
        <v>1543496</v>
      </c>
      <c r="FB77" s="7">
        <v>1537973</v>
      </c>
      <c r="FC77" s="7">
        <v>1538813</v>
      </c>
      <c r="FD77" s="7">
        <v>1090268</v>
      </c>
      <c r="FE77" s="7">
        <v>1122571</v>
      </c>
      <c r="FF77" s="7">
        <v>1463511</v>
      </c>
      <c r="FG77" s="7">
        <v>1815209</v>
      </c>
      <c r="FH77" s="7">
        <v>1372486</v>
      </c>
      <c r="FI77" s="7">
        <v>1515317</v>
      </c>
      <c r="FJ77" s="7">
        <v>1523588</v>
      </c>
    </row>
    <row r="78" spans="1:166" x14ac:dyDescent="0.4">
      <c r="A78" s="35" t="s">
        <v>30</v>
      </c>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v>7731342</v>
      </c>
      <c r="BW78" s="7">
        <v>7552024</v>
      </c>
      <c r="BX78" s="7">
        <v>7711344</v>
      </c>
      <c r="BY78" s="7">
        <v>7982915</v>
      </c>
      <c r="BZ78" s="7">
        <v>8387495</v>
      </c>
      <c r="CA78" s="7">
        <v>8535435</v>
      </c>
      <c r="CB78" s="7">
        <v>8646455</v>
      </c>
      <c r="CC78" s="7">
        <v>8948416</v>
      </c>
      <c r="CD78" s="7">
        <v>9019497</v>
      </c>
      <c r="CE78" s="7">
        <v>9118384</v>
      </c>
      <c r="CF78" s="7">
        <v>9346865</v>
      </c>
      <c r="CG78" s="7">
        <v>9458975</v>
      </c>
      <c r="CH78" s="7">
        <v>9580565</v>
      </c>
      <c r="CI78" s="7">
        <v>9764657</v>
      </c>
      <c r="CJ78" s="7">
        <v>10152340</v>
      </c>
      <c r="CK78" s="7">
        <v>10158905</v>
      </c>
      <c r="CL78" s="7">
        <v>10353297</v>
      </c>
      <c r="CM78" s="7">
        <v>10756576</v>
      </c>
      <c r="CN78" s="7">
        <v>11170292</v>
      </c>
      <c r="CO78" s="7">
        <v>11452100</v>
      </c>
      <c r="CP78" s="7">
        <v>11347260</v>
      </c>
      <c r="CQ78" s="7">
        <v>12212945</v>
      </c>
      <c r="CR78" s="7">
        <v>13704673</v>
      </c>
      <c r="CS78" s="7">
        <v>14533621</v>
      </c>
      <c r="CT78" s="7">
        <v>14288158</v>
      </c>
      <c r="CU78" s="7">
        <v>14319533</v>
      </c>
      <c r="CV78" s="7">
        <v>14489334</v>
      </c>
      <c r="CW78" s="7">
        <v>15064441</v>
      </c>
      <c r="CX78" s="7">
        <v>15607543</v>
      </c>
      <c r="CY78" s="7">
        <v>15842243</v>
      </c>
      <c r="CZ78" s="7">
        <v>16038558</v>
      </c>
      <c r="DA78" s="7">
        <v>15757685</v>
      </c>
      <c r="DB78" s="7">
        <v>16190963</v>
      </c>
      <c r="DC78" s="7">
        <v>16375463</v>
      </c>
      <c r="DD78" s="7">
        <v>16353880</v>
      </c>
      <c r="DE78" s="7">
        <v>16213552</v>
      </c>
      <c r="DF78" s="7">
        <v>15970465</v>
      </c>
      <c r="DG78" s="7">
        <v>15835239</v>
      </c>
      <c r="DH78" s="7">
        <v>15938271</v>
      </c>
      <c r="DI78" s="7">
        <v>15930062</v>
      </c>
      <c r="DJ78" s="7">
        <v>15912758</v>
      </c>
      <c r="DK78" s="7">
        <v>15922341</v>
      </c>
      <c r="DL78" s="7">
        <v>15967345</v>
      </c>
      <c r="DM78" s="7">
        <v>16002608</v>
      </c>
      <c r="DN78" s="7">
        <v>15504892</v>
      </c>
      <c r="DO78" s="7">
        <v>15491147</v>
      </c>
      <c r="DP78" s="7">
        <v>15505868</v>
      </c>
      <c r="DQ78" s="7">
        <v>16737317</v>
      </c>
      <c r="DR78" s="7">
        <v>18652247</v>
      </c>
      <c r="DS78" s="7">
        <v>18891099</v>
      </c>
      <c r="DT78" s="7">
        <v>18804012</v>
      </c>
      <c r="DU78" s="7">
        <v>18989802</v>
      </c>
      <c r="DV78" s="7">
        <v>18882738</v>
      </c>
      <c r="DW78" s="7">
        <v>19118881</v>
      </c>
      <c r="DX78" s="7">
        <v>19531046</v>
      </c>
      <c r="DY78" s="7">
        <v>19294326</v>
      </c>
      <c r="DZ78" s="7">
        <v>19838337</v>
      </c>
      <c r="EA78" s="7">
        <v>19933333</v>
      </c>
      <c r="EB78" s="7">
        <v>19745476</v>
      </c>
      <c r="EC78" s="7">
        <v>20069046</v>
      </c>
      <c r="ED78" s="7">
        <v>20208174</v>
      </c>
      <c r="EE78" s="7">
        <v>20018800</v>
      </c>
      <c r="EF78" s="7">
        <v>20529206</v>
      </c>
      <c r="EG78" s="7">
        <v>20648702</v>
      </c>
      <c r="EH78" s="7">
        <v>20964729</v>
      </c>
      <c r="EI78" s="7">
        <v>21097023</v>
      </c>
      <c r="EJ78" s="25">
        <f t="shared" si="7"/>
        <v>24341</v>
      </c>
      <c r="EK78" s="7">
        <v>21121364</v>
      </c>
      <c r="EL78" s="25">
        <f t="shared" si="8"/>
        <v>-322105</v>
      </c>
      <c r="EM78" s="7">
        <v>20799259</v>
      </c>
      <c r="EN78" s="25">
        <f t="shared" si="9"/>
        <v>416494</v>
      </c>
      <c r="EO78" s="7">
        <v>21215753</v>
      </c>
      <c r="EP78" s="25">
        <f t="shared" si="10"/>
        <v>113434</v>
      </c>
      <c r="EQ78" s="7">
        <v>21329187</v>
      </c>
      <c r="ER78" s="25">
        <f t="shared" si="11"/>
        <v>125439</v>
      </c>
      <c r="ES78" s="7">
        <v>21454626</v>
      </c>
      <c r="ET78" s="25">
        <f t="shared" si="12"/>
        <v>-275523</v>
      </c>
      <c r="EU78" s="7">
        <v>21179103</v>
      </c>
      <c r="EV78" s="25">
        <f t="shared" si="13"/>
        <v>2125339</v>
      </c>
      <c r="EW78" s="7">
        <v>23304442</v>
      </c>
      <c r="EX78" s="7">
        <v>23464692</v>
      </c>
      <c r="EY78" s="7">
        <v>24307384</v>
      </c>
      <c r="EZ78" s="7">
        <v>24313285</v>
      </c>
      <c r="FA78" s="7">
        <v>24590908</v>
      </c>
      <c r="FB78" s="7">
        <v>25195376</v>
      </c>
      <c r="FC78" s="7">
        <v>25757592</v>
      </c>
      <c r="FD78" s="7">
        <v>26587983</v>
      </c>
      <c r="FE78" s="7">
        <v>27096837</v>
      </c>
      <c r="FF78" s="7">
        <v>26950679</v>
      </c>
      <c r="FG78" s="7">
        <v>27537472</v>
      </c>
      <c r="FH78" s="7">
        <v>29782962</v>
      </c>
      <c r="FI78" s="7">
        <v>30140186</v>
      </c>
      <c r="FJ78" s="7">
        <v>30350366</v>
      </c>
    </row>
    <row r="79" spans="1:166" x14ac:dyDescent="0.4">
      <c r="A79" s="34" t="s">
        <v>7</v>
      </c>
      <c r="B79" s="7">
        <v>1835416</v>
      </c>
      <c r="C79" s="7">
        <v>1808209</v>
      </c>
      <c r="D79" s="7">
        <v>1867989</v>
      </c>
      <c r="E79" s="7">
        <v>1937148</v>
      </c>
      <c r="F79" s="7">
        <v>1922846</v>
      </c>
      <c r="G79" s="7">
        <v>1918246</v>
      </c>
      <c r="H79" s="7">
        <v>2001546</v>
      </c>
      <c r="I79" s="7">
        <v>2018627</v>
      </c>
      <c r="J79" s="7">
        <v>2007857</v>
      </c>
      <c r="K79" s="7">
        <v>2041163</v>
      </c>
      <c r="L79" s="7">
        <v>2036763</v>
      </c>
      <c r="M79" s="7">
        <v>2126878</v>
      </c>
      <c r="N79" s="7">
        <v>2126927</v>
      </c>
      <c r="O79" s="7">
        <v>2189639</v>
      </c>
      <c r="P79" s="7">
        <v>2213027</v>
      </c>
      <c r="Q79" s="7">
        <v>2162627</v>
      </c>
      <c r="R79" s="7">
        <v>2142382</v>
      </c>
      <c r="S79" s="7">
        <v>2140382</v>
      </c>
      <c r="T79" s="7">
        <v>2159302</v>
      </c>
      <c r="U79" s="7">
        <v>2143650</v>
      </c>
      <c r="V79" s="7">
        <v>2136069</v>
      </c>
      <c r="W79" s="7">
        <v>2167025</v>
      </c>
      <c r="X79" s="7">
        <v>2240374</v>
      </c>
      <c r="Y79" s="7">
        <v>2225239</v>
      </c>
      <c r="Z79" s="7">
        <v>2847022</v>
      </c>
      <c r="AA79" s="7">
        <v>3247666</v>
      </c>
      <c r="AB79" s="7">
        <v>3237166</v>
      </c>
      <c r="AC79" s="7">
        <v>3248706</v>
      </c>
      <c r="AD79" s="7">
        <v>3256030</v>
      </c>
      <c r="AE79" s="7">
        <v>3351807</v>
      </c>
      <c r="AF79" s="7">
        <v>3412307</v>
      </c>
      <c r="AG79" s="7">
        <v>3501407</v>
      </c>
      <c r="AH79" s="7">
        <v>3529371</v>
      </c>
      <c r="AI79" s="7">
        <v>3525571</v>
      </c>
      <c r="AJ79" s="7">
        <v>3570659</v>
      </c>
      <c r="AK79" s="7">
        <v>3617859</v>
      </c>
      <c r="AL79" s="7">
        <v>3603914</v>
      </c>
      <c r="AM79" s="7">
        <v>3621716</v>
      </c>
      <c r="AN79" s="7">
        <v>3565268</v>
      </c>
      <c r="AO79" s="7">
        <v>3572887</v>
      </c>
      <c r="AP79" s="7">
        <v>3677868</v>
      </c>
      <c r="AQ79" s="7">
        <v>3737223</v>
      </c>
      <c r="AR79" s="7">
        <v>3808679</v>
      </c>
      <c r="AS79" s="7">
        <v>3813359</v>
      </c>
      <c r="AT79" s="7">
        <v>3871129</v>
      </c>
      <c r="AU79" s="7">
        <v>3977265</v>
      </c>
      <c r="AV79" s="7">
        <v>4027489</v>
      </c>
      <c r="AW79" s="7">
        <v>4065589</v>
      </c>
      <c r="AX79" s="7">
        <v>4755415</v>
      </c>
      <c r="AY79" s="7">
        <v>4757369</v>
      </c>
      <c r="AZ79" s="7">
        <v>4809052</v>
      </c>
      <c r="BA79" s="7">
        <v>4874572</v>
      </c>
      <c r="BB79" s="7">
        <v>4964925</v>
      </c>
      <c r="BC79" s="7">
        <v>5113636</v>
      </c>
      <c r="BD79" s="7">
        <v>5115585</v>
      </c>
      <c r="BE79" s="7">
        <v>5401092</v>
      </c>
      <c r="BF79" s="7">
        <v>5428875</v>
      </c>
      <c r="BG79" s="7">
        <v>5422443</v>
      </c>
      <c r="BH79" s="7">
        <v>5520498</v>
      </c>
      <c r="BI79" s="7">
        <v>5522206</v>
      </c>
      <c r="BJ79" s="7">
        <v>6202969</v>
      </c>
      <c r="BK79" s="7">
        <v>6180219</v>
      </c>
      <c r="BL79" s="7">
        <v>6263833</v>
      </c>
      <c r="BM79" s="7">
        <v>6317419</v>
      </c>
      <c r="BN79" s="7">
        <v>6336438</v>
      </c>
      <c r="BO79" s="7">
        <v>6294092</v>
      </c>
      <c r="BP79" s="7">
        <v>6321916</v>
      </c>
      <c r="BQ79" s="7">
        <v>6316260</v>
      </c>
      <c r="BR79" s="7">
        <v>6313046</v>
      </c>
      <c r="BS79" s="7">
        <v>6298115</v>
      </c>
      <c r="BT79" s="7">
        <v>6283985</v>
      </c>
      <c r="BU79" s="7">
        <v>6375716</v>
      </c>
      <c r="BV79" s="7">
        <v>6368556</v>
      </c>
      <c r="BW79" s="7">
        <v>6379729</v>
      </c>
      <c r="BX79" s="7">
        <v>6442617</v>
      </c>
      <c r="BY79" s="7">
        <v>6498646</v>
      </c>
      <c r="BZ79" s="7">
        <v>6648951</v>
      </c>
      <c r="CA79" s="7">
        <v>6624512</v>
      </c>
      <c r="CB79" s="7">
        <v>6668527</v>
      </c>
      <c r="CC79" s="7">
        <v>6779483</v>
      </c>
      <c r="CD79" s="7">
        <v>6777916</v>
      </c>
      <c r="CE79" s="7">
        <v>6721789</v>
      </c>
      <c r="CF79" s="7">
        <v>6837840</v>
      </c>
      <c r="CG79" s="7">
        <v>6955514</v>
      </c>
      <c r="CH79" s="7">
        <v>7082445</v>
      </c>
      <c r="CI79" s="7">
        <v>7089581</v>
      </c>
      <c r="CJ79" s="7">
        <v>7272405</v>
      </c>
      <c r="CK79" s="7">
        <v>7306252</v>
      </c>
      <c r="CL79" s="7">
        <v>7347717</v>
      </c>
      <c r="CM79" s="7">
        <v>7410944</v>
      </c>
      <c r="CN79" s="7">
        <v>7399329</v>
      </c>
      <c r="CO79" s="7">
        <v>7453961</v>
      </c>
      <c r="CP79" s="7">
        <v>7522014</v>
      </c>
      <c r="CQ79" s="7">
        <v>7483494</v>
      </c>
      <c r="CR79" s="7">
        <v>7576544</v>
      </c>
      <c r="CS79" s="7">
        <v>8491932</v>
      </c>
      <c r="CT79" s="7">
        <v>8672923</v>
      </c>
      <c r="CU79" s="7">
        <v>8251260</v>
      </c>
      <c r="CV79" s="7">
        <v>8352020</v>
      </c>
      <c r="CW79" s="7">
        <v>8397716</v>
      </c>
      <c r="CX79" s="7">
        <v>8362705</v>
      </c>
      <c r="CY79" s="7">
        <v>8355611</v>
      </c>
      <c r="CZ79" s="7">
        <v>8335681</v>
      </c>
      <c r="DA79" s="7">
        <v>8391184</v>
      </c>
      <c r="DB79" s="7">
        <v>8488574</v>
      </c>
      <c r="DC79" s="7">
        <v>8514807</v>
      </c>
      <c r="DD79" s="7">
        <v>8519646</v>
      </c>
      <c r="DE79" s="7">
        <v>8528936</v>
      </c>
      <c r="DF79" s="7">
        <v>8531840</v>
      </c>
      <c r="DG79" s="7">
        <v>8499187</v>
      </c>
      <c r="DH79" s="7">
        <v>8474073</v>
      </c>
      <c r="DI79" s="7">
        <v>8447396</v>
      </c>
      <c r="DJ79" s="7">
        <v>8390209</v>
      </c>
      <c r="DK79" s="7">
        <v>8381937</v>
      </c>
      <c r="DL79" s="7">
        <v>8413114</v>
      </c>
      <c r="DM79" s="7">
        <v>8416367</v>
      </c>
      <c r="DN79" s="7">
        <v>8484802</v>
      </c>
      <c r="DO79" s="7">
        <v>8571452</v>
      </c>
      <c r="DP79" s="7">
        <v>8529952</v>
      </c>
      <c r="DQ79" s="7">
        <v>8420081</v>
      </c>
      <c r="DR79" s="7">
        <v>8367074</v>
      </c>
      <c r="DS79" s="7">
        <v>8316393</v>
      </c>
      <c r="DT79" s="7">
        <v>8313160</v>
      </c>
      <c r="DU79" s="7">
        <v>8307582</v>
      </c>
      <c r="DV79" s="7">
        <v>8402974</v>
      </c>
      <c r="DW79" s="7">
        <v>8457568</v>
      </c>
      <c r="DX79" s="7">
        <v>8406737</v>
      </c>
      <c r="DY79" s="7">
        <v>8473293</v>
      </c>
      <c r="DZ79" s="7">
        <v>8254972</v>
      </c>
      <c r="EA79" s="7">
        <v>8254353</v>
      </c>
      <c r="EB79" s="7">
        <v>8305088</v>
      </c>
      <c r="EC79" s="7">
        <v>8343827</v>
      </c>
      <c r="ED79" s="7">
        <v>8499268</v>
      </c>
      <c r="EE79" s="7">
        <v>8469302</v>
      </c>
      <c r="EF79" s="7">
        <v>8509467</v>
      </c>
      <c r="EG79" s="7">
        <v>8583115</v>
      </c>
      <c r="EH79" s="7">
        <v>8598796</v>
      </c>
      <c r="EI79" s="7">
        <v>8548596</v>
      </c>
      <c r="EJ79" s="25">
        <f t="shared" si="7"/>
        <v>162388</v>
      </c>
      <c r="EK79" s="7">
        <v>8710984</v>
      </c>
      <c r="EL79" s="25">
        <f t="shared" si="8"/>
        <v>66676</v>
      </c>
      <c r="EM79" s="7">
        <v>8777660</v>
      </c>
      <c r="EN79" s="25">
        <f t="shared" si="9"/>
        <v>142784</v>
      </c>
      <c r="EO79" s="7">
        <v>8920444</v>
      </c>
      <c r="EP79" s="25">
        <f t="shared" si="10"/>
        <v>110987</v>
      </c>
      <c r="EQ79" s="7">
        <v>9031431</v>
      </c>
      <c r="ER79" s="25">
        <f t="shared" si="11"/>
        <v>97497</v>
      </c>
      <c r="ES79" s="7">
        <v>9128928</v>
      </c>
      <c r="ET79" s="25">
        <f t="shared" si="12"/>
        <v>580260</v>
      </c>
      <c r="EU79" s="7">
        <v>9709188</v>
      </c>
      <c r="EV79" s="25">
        <f t="shared" si="13"/>
        <v>418818</v>
      </c>
      <c r="EW79" s="7">
        <v>10128006</v>
      </c>
      <c r="EX79" s="7">
        <v>10551287</v>
      </c>
      <c r="EY79" s="7">
        <v>10737562</v>
      </c>
      <c r="EZ79" s="7">
        <v>11136066</v>
      </c>
      <c r="FA79" s="7">
        <v>11643305</v>
      </c>
      <c r="FB79" s="7">
        <v>11722107</v>
      </c>
      <c r="FC79" s="7">
        <v>11951747</v>
      </c>
      <c r="FD79" s="7">
        <v>12041704</v>
      </c>
      <c r="FE79" s="7">
        <v>12306750</v>
      </c>
      <c r="FF79" s="7">
        <v>12401459</v>
      </c>
      <c r="FG79" s="7">
        <v>12565501</v>
      </c>
      <c r="FH79" s="7">
        <v>12543925</v>
      </c>
      <c r="FI79" s="7">
        <v>12773651</v>
      </c>
      <c r="FJ79" s="7">
        <v>12849864</v>
      </c>
    </row>
    <row r="80" spans="1:166" x14ac:dyDescent="0.4">
      <c r="A80" s="35" t="s">
        <v>13</v>
      </c>
      <c r="B80" s="7">
        <v>0</v>
      </c>
      <c r="C80" s="7">
        <v>0</v>
      </c>
      <c r="D80" s="7">
        <v>2000</v>
      </c>
      <c r="E80" s="7">
        <v>2000</v>
      </c>
      <c r="F80" s="7">
        <v>2000</v>
      </c>
      <c r="G80" s="7">
        <v>2000</v>
      </c>
      <c r="H80" s="7">
        <v>2000</v>
      </c>
      <c r="I80" s="7">
        <v>2000</v>
      </c>
      <c r="J80" s="7">
        <v>2000</v>
      </c>
      <c r="K80" s="7">
        <v>2000</v>
      </c>
      <c r="L80" s="7">
        <v>2000</v>
      </c>
      <c r="M80" s="7">
        <v>2000</v>
      </c>
      <c r="N80" s="7">
        <v>2000</v>
      </c>
      <c r="O80" s="7">
        <v>0</v>
      </c>
      <c r="P80" s="7">
        <v>0</v>
      </c>
      <c r="Q80" s="7">
        <v>0</v>
      </c>
      <c r="R80" s="7">
        <v>0</v>
      </c>
      <c r="S80" s="7">
        <v>15000</v>
      </c>
      <c r="T80" s="7">
        <v>15000</v>
      </c>
      <c r="U80" s="7">
        <v>15000</v>
      </c>
      <c r="V80" s="7">
        <v>15000</v>
      </c>
      <c r="W80" s="7">
        <v>15000</v>
      </c>
      <c r="X80" s="7">
        <v>30000</v>
      </c>
      <c r="Y80" s="7">
        <v>30000</v>
      </c>
      <c r="Z80" s="7">
        <v>0</v>
      </c>
      <c r="AA80" s="7">
        <v>0</v>
      </c>
      <c r="AB80" s="7">
        <v>0</v>
      </c>
      <c r="AC80" s="7">
        <v>0</v>
      </c>
      <c r="AD80" s="7">
        <v>0</v>
      </c>
      <c r="AE80" s="7">
        <v>0</v>
      </c>
      <c r="AF80" s="7">
        <v>0</v>
      </c>
      <c r="AG80" s="7">
        <v>0</v>
      </c>
      <c r="AH80" s="7">
        <v>0</v>
      </c>
      <c r="AI80" s="7">
        <v>0</v>
      </c>
      <c r="AJ80" s="7">
        <v>0</v>
      </c>
      <c r="AK80" s="7">
        <v>0</v>
      </c>
      <c r="AL80" s="7">
        <v>0</v>
      </c>
      <c r="AM80" s="7">
        <v>0</v>
      </c>
      <c r="AN80" s="7">
        <v>0</v>
      </c>
      <c r="AO80" s="7">
        <v>0</v>
      </c>
      <c r="AP80" s="7">
        <v>0</v>
      </c>
      <c r="AQ80" s="7">
        <v>0</v>
      </c>
      <c r="AR80" s="7">
        <v>0</v>
      </c>
      <c r="AS80" s="7">
        <v>0</v>
      </c>
      <c r="AT80" s="7">
        <v>0</v>
      </c>
      <c r="AU80" s="7">
        <v>100</v>
      </c>
      <c r="AV80" s="7">
        <v>100</v>
      </c>
      <c r="AW80" s="7">
        <v>100</v>
      </c>
      <c r="AX80" s="7">
        <v>100</v>
      </c>
      <c r="AY80" s="7">
        <v>100</v>
      </c>
      <c r="AZ80" s="7">
        <v>100</v>
      </c>
      <c r="BA80" s="7">
        <v>100</v>
      </c>
      <c r="BB80" s="7">
        <v>130</v>
      </c>
      <c r="BC80" s="7">
        <v>130</v>
      </c>
      <c r="BD80" s="7">
        <v>130</v>
      </c>
      <c r="BE80" s="7">
        <v>130</v>
      </c>
      <c r="BF80" s="7">
        <v>130</v>
      </c>
      <c r="BG80" s="7">
        <v>60</v>
      </c>
      <c r="BH80" s="7">
        <v>560</v>
      </c>
      <c r="BI80" s="7">
        <v>560</v>
      </c>
      <c r="BJ80" s="7">
        <v>10060</v>
      </c>
      <c r="BK80" s="7">
        <v>15060</v>
      </c>
      <c r="BL80" s="7">
        <v>10060</v>
      </c>
      <c r="BM80" s="7">
        <v>11770</v>
      </c>
      <c r="BN80" s="7">
        <v>10040</v>
      </c>
      <c r="BO80" s="7">
        <v>10790</v>
      </c>
      <c r="BP80" s="7">
        <v>10990</v>
      </c>
      <c r="BQ80" s="7">
        <v>10990</v>
      </c>
      <c r="BR80" s="7">
        <v>10990</v>
      </c>
      <c r="BS80" s="7">
        <v>10960</v>
      </c>
      <c r="BT80" s="7">
        <v>10960</v>
      </c>
      <c r="BU80" s="7">
        <v>10210</v>
      </c>
      <c r="BV80" s="7">
        <v>210</v>
      </c>
      <c r="BW80" s="7">
        <v>210</v>
      </c>
      <c r="BX80" s="7">
        <v>210</v>
      </c>
      <c r="BY80" s="7">
        <v>200</v>
      </c>
      <c r="BZ80" s="7">
        <v>0</v>
      </c>
      <c r="CA80" s="7">
        <v>0</v>
      </c>
      <c r="CB80" s="7">
        <v>0</v>
      </c>
      <c r="CC80" s="7">
        <v>0</v>
      </c>
      <c r="CD80" s="7">
        <v>0</v>
      </c>
      <c r="CE80" s="7">
        <v>50</v>
      </c>
      <c r="CF80" s="7">
        <v>50</v>
      </c>
      <c r="CG80" s="7">
        <v>90</v>
      </c>
      <c r="CH80" s="7">
        <v>90</v>
      </c>
      <c r="CI80" s="7">
        <v>190</v>
      </c>
      <c r="CJ80" s="7">
        <v>195</v>
      </c>
      <c r="CK80" s="7">
        <v>192</v>
      </c>
      <c r="CL80" s="7">
        <v>194</v>
      </c>
      <c r="CM80" s="7">
        <v>195</v>
      </c>
      <c r="CN80" s="7">
        <v>191</v>
      </c>
      <c r="CO80" s="7">
        <v>295</v>
      </c>
      <c r="CP80" s="7">
        <v>296</v>
      </c>
      <c r="CQ80" s="7">
        <v>242</v>
      </c>
      <c r="CR80" s="7">
        <v>264</v>
      </c>
      <c r="CS80" s="7">
        <v>427</v>
      </c>
      <c r="CT80" s="7">
        <v>464</v>
      </c>
      <c r="CU80" s="7">
        <v>465</v>
      </c>
      <c r="CV80" s="7">
        <v>469</v>
      </c>
      <c r="CW80" s="7">
        <v>464</v>
      </c>
      <c r="CX80" s="7">
        <v>465</v>
      </c>
      <c r="CY80" s="7">
        <v>467</v>
      </c>
      <c r="CZ80" s="7">
        <v>404</v>
      </c>
      <c r="DA80" s="7">
        <v>385</v>
      </c>
      <c r="DB80" s="7">
        <v>385</v>
      </c>
      <c r="DC80" s="7">
        <v>214</v>
      </c>
      <c r="DD80" s="7">
        <v>133</v>
      </c>
      <c r="DE80" s="7">
        <v>94</v>
      </c>
      <c r="DF80" s="7">
        <v>40</v>
      </c>
      <c r="DG80" s="7">
        <v>41</v>
      </c>
      <c r="DH80" s="7">
        <v>41</v>
      </c>
      <c r="DI80" s="7">
        <v>0</v>
      </c>
      <c r="DJ80" s="7">
        <v>0</v>
      </c>
      <c r="DK80" s="7">
        <v>0</v>
      </c>
      <c r="DL80" s="7">
        <v>0</v>
      </c>
      <c r="DM80" s="7">
        <v>0</v>
      </c>
      <c r="DN80" s="7">
        <v>0</v>
      </c>
      <c r="DO80" s="7">
        <v>0</v>
      </c>
      <c r="DP80" s="7">
        <v>0</v>
      </c>
      <c r="DQ80" s="7">
        <v>0</v>
      </c>
      <c r="DR80" s="7">
        <v>0</v>
      </c>
      <c r="DS80" s="7">
        <v>0</v>
      </c>
      <c r="DT80" s="7">
        <v>0</v>
      </c>
      <c r="DU80" s="7">
        <v>0</v>
      </c>
      <c r="DV80" s="7">
        <v>0</v>
      </c>
      <c r="DW80" s="7">
        <v>0</v>
      </c>
      <c r="DX80" s="7">
        <v>0</v>
      </c>
      <c r="DY80" s="7">
        <v>0</v>
      </c>
      <c r="DZ80" s="7">
        <v>166</v>
      </c>
      <c r="EA80" s="7">
        <v>211</v>
      </c>
      <c r="EB80" s="7">
        <v>213</v>
      </c>
      <c r="EC80" s="7">
        <v>216</v>
      </c>
      <c r="ED80" s="7">
        <v>2106</v>
      </c>
      <c r="EE80" s="7">
        <v>2106</v>
      </c>
      <c r="EF80" s="7">
        <v>2107</v>
      </c>
      <c r="EG80" s="7">
        <v>2107</v>
      </c>
      <c r="EH80" s="7">
        <v>2107</v>
      </c>
      <c r="EI80" s="7">
        <v>2108</v>
      </c>
      <c r="EJ80" s="25">
        <f t="shared" si="7"/>
        <v>-16</v>
      </c>
      <c r="EK80" s="7">
        <v>2092</v>
      </c>
      <c r="EL80" s="25">
        <f t="shared" si="8"/>
        <v>4</v>
      </c>
      <c r="EM80" s="7">
        <v>2096</v>
      </c>
      <c r="EN80" s="25">
        <f t="shared" si="9"/>
        <v>-2</v>
      </c>
      <c r="EO80" s="7">
        <v>2094</v>
      </c>
      <c r="EP80" s="25">
        <f t="shared" si="10"/>
        <v>51</v>
      </c>
      <c r="EQ80" s="7">
        <v>2145</v>
      </c>
      <c r="ER80" s="25">
        <f t="shared" si="11"/>
        <v>-10</v>
      </c>
      <c r="ES80" s="7">
        <v>2135</v>
      </c>
      <c r="ET80" s="25">
        <f t="shared" si="12"/>
        <v>18096</v>
      </c>
      <c r="EU80" s="7">
        <v>20231</v>
      </c>
      <c r="EV80" s="25">
        <f t="shared" si="13"/>
        <v>242</v>
      </c>
      <c r="EW80" s="7">
        <v>20473</v>
      </c>
      <c r="EX80" s="7">
        <v>27558</v>
      </c>
      <c r="EY80" s="7">
        <v>28117</v>
      </c>
      <c r="EZ80" s="7">
        <v>28145</v>
      </c>
      <c r="FA80" s="7">
        <v>28182</v>
      </c>
      <c r="FB80" s="7">
        <v>28158</v>
      </c>
      <c r="FC80" s="7">
        <v>28118</v>
      </c>
      <c r="FD80" s="7">
        <v>27999</v>
      </c>
      <c r="FE80" s="7">
        <v>28042</v>
      </c>
      <c r="FF80" s="7">
        <v>28159</v>
      </c>
      <c r="FG80" s="7">
        <v>30559</v>
      </c>
      <c r="FH80" s="7">
        <v>10532</v>
      </c>
      <c r="FI80" s="7">
        <v>10495</v>
      </c>
      <c r="FJ80" s="7">
        <v>3296</v>
      </c>
    </row>
    <row r="81" spans="1:166" x14ac:dyDescent="0.4">
      <c r="A81" s="35" t="s">
        <v>14</v>
      </c>
      <c r="B81" s="7">
        <v>1835416</v>
      </c>
      <c r="C81" s="7">
        <v>1808209</v>
      </c>
      <c r="D81" s="7">
        <v>1865989</v>
      </c>
      <c r="E81" s="7">
        <v>1935148</v>
      </c>
      <c r="F81" s="7">
        <v>1920846</v>
      </c>
      <c r="G81" s="7">
        <v>1916246</v>
      </c>
      <c r="H81" s="7">
        <v>1999546</v>
      </c>
      <c r="I81" s="7">
        <v>2016627</v>
      </c>
      <c r="J81" s="7">
        <v>2005857</v>
      </c>
      <c r="K81" s="7">
        <v>2039163</v>
      </c>
      <c r="L81" s="7">
        <v>2034763</v>
      </c>
      <c r="M81" s="7">
        <v>2124878</v>
      </c>
      <c r="N81" s="7">
        <v>2124927</v>
      </c>
      <c r="O81" s="7">
        <v>2189639</v>
      </c>
      <c r="P81" s="7">
        <v>2213027</v>
      </c>
      <c r="Q81" s="7">
        <v>2162627</v>
      </c>
      <c r="R81" s="7">
        <v>2142382</v>
      </c>
      <c r="S81" s="7">
        <v>2125382</v>
      </c>
      <c r="T81" s="7">
        <v>2144302</v>
      </c>
      <c r="U81" s="7">
        <v>2128650</v>
      </c>
      <c r="V81" s="7">
        <v>2121069</v>
      </c>
      <c r="W81" s="7">
        <v>2152025</v>
      </c>
      <c r="X81" s="7">
        <v>2210374</v>
      </c>
      <c r="Y81" s="7">
        <v>2195239</v>
      </c>
      <c r="Z81" s="7">
        <v>2847022</v>
      </c>
      <c r="AA81" s="7">
        <v>3247666</v>
      </c>
      <c r="AB81" s="7">
        <v>3237166</v>
      </c>
      <c r="AC81" s="7">
        <v>3248706</v>
      </c>
      <c r="AD81" s="7">
        <v>3256030</v>
      </c>
      <c r="AE81" s="7">
        <v>3351807</v>
      </c>
      <c r="AF81" s="7">
        <v>3412307</v>
      </c>
      <c r="AG81" s="7">
        <v>3501407</v>
      </c>
      <c r="AH81" s="7">
        <v>3529371</v>
      </c>
      <c r="AI81" s="7">
        <v>3525571</v>
      </c>
      <c r="AJ81" s="7">
        <v>3570659</v>
      </c>
      <c r="AK81" s="7">
        <v>3617859</v>
      </c>
      <c r="AL81" s="7">
        <v>3603914</v>
      </c>
      <c r="AM81" s="7">
        <v>3621716</v>
      </c>
      <c r="AN81" s="7">
        <v>3565268</v>
      </c>
      <c r="AO81" s="7">
        <v>3572887</v>
      </c>
      <c r="AP81" s="7">
        <v>3677868</v>
      </c>
      <c r="AQ81" s="7">
        <v>3737223</v>
      </c>
      <c r="AR81" s="7">
        <v>3808679</v>
      </c>
      <c r="AS81" s="7">
        <v>3813359</v>
      </c>
      <c r="AT81" s="7">
        <v>3871129</v>
      </c>
      <c r="AU81" s="7">
        <v>3977165</v>
      </c>
      <c r="AV81" s="7">
        <v>4027389</v>
      </c>
      <c r="AW81" s="7">
        <v>4065489</v>
      </c>
      <c r="AX81" s="7">
        <v>4755315</v>
      </c>
      <c r="AY81" s="7">
        <v>4757269</v>
      </c>
      <c r="AZ81" s="7">
        <v>4808952</v>
      </c>
      <c r="BA81" s="7">
        <v>4874472</v>
      </c>
      <c r="BB81" s="7">
        <v>4964795</v>
      </c>
      <c r="BC81" s="7">
        <v>5113506</v>
      </c>
      <c r="BD81" s="7">
        <v>5115455</v>
      </c>
      <c r="BE81" s="7">
        <v>5400962</v>
      </c>
      <c r="BF81" s="7">
        <v>5428745</v>
      </c>
      <c r="BG81" s="7">
        <v>5422383</v>
      </c>
      <c r="BH81" s="7">
        <v>5519938</v>
      </c>
      <c r="BI81" s="7">
        <v>5521646</v>
      </c>
      <c r="BJ81" s="7">
        <v>6192909</v>
      </c>
      <c r="BK81" s="7">
        <v>6165159</v>
      </c>
      <c r="BL81" s="7">
        <v>6253773</v>
      </c>
      <c r="BM81" s="7">
        <v>6305649</v>
      </c>
      <c r="BN81" s="7">
        <v>6326398</v>
      </c>
      <c r="BO81" s="7">
        <v>6283302</v>
      </c>
      <c r="BP81" s="7">
        <v>6310926</v>
      </c>
      <c r="BQ81" s="7">
        <v>6305270</v>
      </c>
      <c r="BR81" s="7">
        <v>6302056</v>
      </c>
      <c r="BS81" s="7">
        <v>6287155</v>
      </c>
      <c r="BT81" s="7">
        <v>6273025</v>
      </c>
      <c r="BU81" s="7">
        <v>6365506</v>
      </c>
      <c r="BV81" s="7">
        <v>6368346</v>
      </c>
      <c r="BW81" s="7">
        <v>6379519</v>
      </c>
      <c r="BX81" s="7">
        <v>6442407</v>
      </c>
      <c r="BY81" s="7">
        <v>6498446</v>
      </c>
      <c r="BZ81" s="7">
        <v>6648951</v>
      </c>
      <c r="CA81" s="7">
        <v>6624512</v>
      </c>
      <c r="CB81" s="7">
        <v>6668527</v>
      </c>
      <c r="CC81" s="7">
        <v>6779483</v>
      </c>
      <c r="CD81" s="7">
        <v>6777916</v>
      </c>
      <c r="CE81" s="7">
        <v>6721739</v>
      </c>
      <c r="CF81" s="7">
        <v>6837790</v>
      </c>
      <c r="CG81" s="7">
        <v>6955424</v>
      </c>
      <c r="CH81" s="7">
        <v>7082355</v>
      </c>
      <c r="CI81" s="7">
        <v>7089391</v>
      </c>
      <c r="CJ81" s="7">
        <v>7272209</v>
      </c>
      <c r="CK81" s="7">
        <v>7306060</v>
      </c>
      <c r="CL81" s="7">
        <v>7347523</v>
      </c>
      <c r="CM81" s="7">
        <v>7410748</v>
      </c>
      <c r="CN81" s="7">
        <v>7399137</v>
      </c>
      <c r="CO81" s="7">
        <v>7453666</v>
      </c>
      <c r="CP81" s="7">
        <v>7521717</v>
      </c>
      <c r="CQ81" s="7">
        <v>7483252</v>
      </c>
      <c r="CR81" s="7">
        <v>7576280</v>
      </c>
      <c r="CS81" s="7">
        <v>8491505</v>
      </c>
      <c r="CT81" s="7">
        <v>8672459</v>
      </c>
      <c r="CU81" s="7">
        <v>8250794</v>
      </c>
      <c r="CV81" s="7">
        <v>8351552</v>
      </c>
      <c r="CW81" s="7">
        <v>8397252</v>
      </c>
      <c r="CX81" s="7">
        <v>8362240</v>
      </c>
      <c r="CY81" s="7">
        <v>8355144</v>
      </c>
      <c r="CZ81" s="7">
        <v>8335278</v>
      </c>
      <c r="DA81" s="7">
        <v>8390799</v>
      </c>
      <c r="DB81" s="7">
        <v>8488189</v>
      </c>
      <c r="DC81" s="7">
        <v>8514593</v>
      </c>
      <c r="DD81" s="7">
        <v>8519513</v>
      </c>
      <c r="DE81" s="7">
        <v>8528842</v>
      </c>
      <c r="DF81" s="7">
        <v>8531799</v>
      </c>
      <c r="DG81" s="7">
        <v>8499146</v>
      </c>
      <c r="DH81" s="7">
        <v>8474031</v>
      </c>
      <c r="DI81" s="7">
        <v>8447396</v>
      </c>
      <c r="DJ81" s="7">
        <v>8390209</v>
      </c>
      <c r="DK81" s="7">
        <v>8381937</v>
      </c>
      <c r="DL81" s="7">
        <v>8413114</v>
      </c>
      <c r="DM81" s="7">
        <v>8416367</v>
      </c>
      <c r="DN81" s="7">
        <v>8484802</v>
      </c>
      <c r="DO81" s="7">
        <v>8571452</v>
      </c>
      <c r="DP81" s="7">
        <v>8529952</v>
      </c>
      <c r="DQ81" s="7">
        <v>8420081</v>
      </c>
      <c r="DR81" s="7">
        <v>8367074</v>
      </c>
      <c r="DS81" s="7">
        <v>8316393</v>
      </c>
      <c r="DT81" s="7">
        <v>8313160</v>
      </c>
      <c r="DU81" s="7">
        <v>8307582</v>
      </c>
      <c r="DV81" s="7">
        <v>8402974</v>
      </c>
      <c r="DW81" s="7">
        <v>8457568</v>
      </c>
      <c r="DX81" s="7">
        <v>8406737</v>
      </c>
      <c r="DY81" s="7">
        <v>8473293</v>
      </c>
      <c r="DZ81" s="7">
        <v>8254807</v>
      </c>
      <c r="EA81" s="7">
        <v>8254142</v>
      </c>
      <c r="EB81" s="7">
        <v>8304875</v>
      </c>
      <c r="EC81" s="7">
        <v>8343611</v>
      </c>
      <c r="ED81" s="7">
        <v>8497162</v>
      </c>
      <c r="EE81" s="7">
        <v>8467196</v>
      </c>
      <c r="EF81" s="7">
        <v>8507360</v>
      </c>
      <c r="EG81" s="7">
        <v>8581008</v>
      </c>
      <c r="EH81" s="7">
        <v>8596689</v>
      </c>
      <c r="EI81" s="7">
        <v>8546488</v>
      </c>
      <c r="EJ81" s="25">
        <f t="shared" si="7"/>
        <v>162404</v>
      </c>
      <c r="EK81" s="7">
        <v>8708892</v>
      </c>
      <c r="EL81" s="25">
        <f t="shared" si="8"/>
        <v>66672</v>
      </c>
      <c r="EM81" s="7">
        <v>8775564</v>
      </c>
      <c r="EN81" s="25">
        <f t="shared" si="9"/>
        <v>142786</v>
      </c>
      <c r="EO81" s="7">
        <v>8918350</v>
      </c>
      <c r="EP81" s="25">
        <f t="shared" si="10"/>
        <v>110936</v>
      </c>
      <c r="EQ81" s="7">
        <v>9029286</v>
      </c>
      <c r="ER81" s="25">
        <f t="shared" si="11"/>
        <v>97507</v>
      </c>
      <c r="ES81" s="7">
        <v>9126793</v>
      </c>
      <c r="ET81" s="25">
        <f t="shared" si="12"/>
        <v>562164</v>
      </c>
      <c r="EU81" s="7">
        <v>9688957</v>
      </c>
      <c r="EV81" s="25">
        <f t="shared" si="13"/>
        <v>418576</v>
      </c>
      <c r="EW81" s="7">
        <v>10107533</v>
      </c>
      <c r="EX81" s="7">
        <v>10523729</v>
      </c>
      <c r="EY81" s="7">
        <v>10709445</v>
      </c>
      <c r="EZ81" s="7">
        <v>11107921</v>
      </c>
      <c r="FA81" s="7">
        <v>11615123</v>
      </c>
      <c r="FB81" s="7">
        <v>11693949</v>
      </c>
      <c r="FC81" s="7">
        <v>11923629</v>
      </c>
      <c r="FD81" s="7">
        <v>12013705</v>
      </c>
      <c r="FE81" s="7">
        <v>12278709</v>
      </c>
      <c r="FF81" s="7">
        <v>12373300</v>
      </c>
      <c r="FG81" s="7">
        <v>12534943</v>
      </c>
      <c r="FH81" s="7">
        <v>12533393</v>
      </c>
      <c r="FI81" s="7">
        <v>12763157</v>
      </c>
      <c r="FJ81" s="7">
        <v>12846568</v>
      </c>
    </row>
    <row r="82" spans="1:166" x14ac:dyDescent="0.4">
      <c r="A82" s="35" t="s">
        <v>27</v>
      </c>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v>219196</v>
      </c>
      <c r="BW82" s="7">
        <v>219146</v>
      </c>
      <c r="BX82" s="7">
        <v>230296</v>
      </c>
      <c r="BY82" s="7">
        <v>283075</v>
      </c>
      <c r="BZ82" s="7">
        <v>251331</v>
      </c>
      <c r="CA82" s="7">
        <v>267431</v>
      </c>
      <c r="CB82" s="7">
        <v>262721</v>
      </c>
      <c r="CC82" s="7">
        <v>255211</v>
      </c>
      <c r="CD82" s="7">
        <v>257891</v>
      </c>
      <c r="CE82" s="7">
        <v>202891</v>
      </c>
      <c r="CF82" s="7">
        <v>263441</v>
      </c>
      <c r="CG82" s="7">
        <v>306771</v>
      </c>
      <c r="CH82" s="7">
        <v>727316</v>
      </c>
      <c r="CI82" s="7">
        <v>1140316</v>
      </c>
      <c r="CJ82" s="7">
        <v>1184717</v>
      </c>
      <c r="CK82" s="7">
        <v>1159422</v>
      </c>
      <c r="CL82" s="7">
        <v>1176765</v>
      </c>
      <c r="CM82" s="7">
        <v>1158237</v>
      </c>
      <c r="CN82" s="7">
        <v>1187414</v>
      </c>
      <c r="CO82" s="7">
        <v>1175142</v>
      </c>
      <c r="CP82" s="7">
        <v>1194790</v>
      </c>
      <c r="CQ82" s="7">
        <v>1186910</v>
      </c>
      <c r="CR82" s="7">
        <v>1143776</v>
      </c>
      <c r="CS82" s="7">
        <v>1135733</v>
      </c>
      <c r="CT82" s="7">
        <v>710306</v>
      </c>
      <c r="CU82" s="7">
        <v>330935</v>
      </c>
      <c r="CV82" s="7">
        <v>351105</v>
      </c>
      <c r="CW82" s="7">
        <v>329491</v>
      </c>
      <c r="CX82" s="7">
        <v>362263</v>
      </c>
      <c r="CY82" s="7">
        <v>376754</v>
      </c>
      <c r="CZ82" s="7">
        <v>365457</v>
      </c>
      <c r="DA82" s="7">
        <v>418354</v>
      </c>
      <c r="DB82" s="7">
        <v>411034</v>
      </c>
      <c r="DC82" s="7">
        <v>404112</v>
      </c>
      <c r="DD82" s="7">
        <v>466091</v>
      </c>
      <c r="DE82" s="7">
        <v>458458</v>
      </c>
      <c r="DF82" s="7">
        <v>500862</v>
      </c>
      <c r="DG82" s="7">
        <v>536513</v>
      </c>
      <c r="DH82" s="7">
        <v>515126</v>
      </c>
      <c r="DI82" s="7">
        <v>604841</v>
      </c>
      <c r="DJ82" s="7">
        <v>553652</v>
      </c>
      <c r="DK82" s="7">
        <v>611439</v>
      </c>
      <c r="DL82" s="7">
        <v>656252</v>
      </c>
      <c r="DM82" s="7">
        <v>607123</v>
      </c>
      <c r="DN82" s="7">
        <v>651031</v>
      </c>
      <c r="DO82" s="7">
        <v>617243</v>
      </c>
      <c r="DP82" s="7">
        <v>570478</v>
      </c>
      <c r="DQ82" s="7">
        <v>575951</v>
      </c>
      <c r="DR82" s="7">
        <v>596739</v>
      </c>
      <c r="DS82" s="7">
        <v>581857</v>
      </c>
      <c r="DT82" s="7">
        <v>597938</v>
      </c>
      <c r="DU82" s="7">
        <v>583728</v>
      </c>
      <c r="DV82" s="7">
        <v>584364</v>
      </c>
      <c r="DW82" s="7">
        <v>549871</v>
      </c>
      <c r="DX82" s="7">
        <v>474805</v>
      </c>
      <c r="DY82" s="7">
        <v>489273</v>
      </c>
      <c r="DZ82" s="7">
        <v>493830</v>
      </c>
      <c r="EA82" s="7">
        <v>539752</v>
      </c>
      <c r="EB82" s="7">
        <v>513222</v>
      </c>
      <c r="EC82" s="7">
        <v>767261</v>
      </c>
      <c r="ED82" s="7">
        <v>786081</v>
      </c>
      <c r="EE82" s="7">
        <v>753718</v>
      </c>
      <c r="EF82" s="7">
        <v>765843</v>
      </c>
      <c r="EG82" s="7">
        <v>787700</v>
      </c>
      <c r="EH82" s="7">
        <v>853729</v>
      </c>
      <c r="EI82" s="7">
        <v>841599</v>
      </c>
      <c r="EJ82" s="25">
        <f t="shared" si="7"/>
        <v>64931</v>
      </c>
      <c r="EK82" s="7">
        <v>906530</v>
      </c>
      <c r="EL82" s="25">
        <f t="shared" si="8"/>
        <v>-4748</v>
      </c>
      <c r="EM82" s="7">
        <v>901782</v>
      </c>
      <c r="EN82" s="25">
        <f t="shared" si="9"/>
        <v>-33694</v>
      </c>
      <c r="EO82" s="7">
        <v>868088</v>
      </c>
      <c r="EP82" s="25">
        <f t="shared" si="10"/>
        <v>-30026</v>
      </c>
      <c r="EQ82" s="7">
        <v>838062</v>
      </c>
      <c r="ER82" s="25">
        <f t="shared" si="11"/>
        <v>115623</v>
      </c>
      <c r="ES82" s="7">
        <v>953685</v>
      </c>
      <c r="ET82" s="25">
        <f t="shared" si="12"/>
        <v>-203912</v>
      </c>
      <c r="EU82" s="7">
        <v>749773</v>
      </c>
      <c r="EV82" s="25">
        <f t="shared" si="13"/>
        <v>32275</v>
      </c>
      <c r="EW82" s="7">
        <v>782048</v>
      </c>
      <c r="EX82" s="7">
        <v>855667</v>
      </c>
      <c r="EY82" s="7">
        <v>827825</v>
      </c>
      <c r="EZ82" s="7">
        <v>821812</v>
      </c>
      <c r="FA82" s="7">
        <v>895678</v>
      </c>
      <c r="FB82" s="7">
        <v>982552</v>
      </c>
      <c r="FC82" s="7">
        <v>1065216</v>
      </c>
      <c r="FD82" s="7">
        <v>1144093</v>
      </c>
      <c r="FE82" s="7">
        <v>1252082</v>
      </c>
      <c r="FF82" s="7">
        <v>1446290</v>
      </c>
      <c r="FG82" s="7">
        <v>1388695</v>
      </c>
      <c r="FH82" s="7">
        <v>2004283</v>
      </c>
      <c r="FI82" s="7">
        <v>2071551</v>
      </c>
      <c r="FJ82" s="7">
        <v>2009486</v>
      </c>
    </row>
    <row r="83" spans="1:166" x14ac:dyDescent="0.4">
      <c r="A83" s="35" t="s">
        <v>30</v>
      </c>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v>6149150</v>
      </c>
      <c r="BW83" s="7">
        <v>6160373</v>
      </c>
      <c r="BX83" s="7">
        <v>6212111</v>
      </c>
      <c r="BY83" s="7">
        <v>6215371</v>
      </c>
      <c r="BZ83" s="7">
        <v>6397620</v>
      </c>
      <c r="CA83" s="7">
        <v>6357081</v>
      </c>
      <c r="CB83" s="7">
        <v>6405806</v>
      </c>
      <c r="CC83" s="7">
        <v>6524272</v>
      </c>
      <c r="CD83" s="7">
        <v>6520025</v>
      </c>
      <c r="CE83" s="7">
        <v>6518848</v>
      </c>
      <c r="CF83" s="7">
        <v>6574349</v>
      </c>
      <c r="CG83" s="7">
        <v>6648653</v>
      </c>
      <c r="CH83" s="7">
        <v>6355039</v>
      </c>
      <c r="CI83" s="7">
        <v>5949075</v>
      </c>
      <c r="CJ83" s="7">
        <v>6087492</v>
      </c>
      <c r="CK83" s="7">
        <v>6146638</v>
      </c>
      <c r="CL83" s="7">
        <v>6170758</v>
      </c>
      <c r="CM83" s="7">
        <v>6252511</v>
      </c>
      <c r="CN83" s="7">
        <v>6211724</v>
      </c>
      <c r="CO83" s="7">
        <v>6278524</v>
      </c>
      <c r="CP83" s="7">
        <v>6326927</v>
      </c>
      <c r="CQ83" s="7">
        <v>6296342</v>
      </c>
      <c r="CR83" s="7">
        <v>6432504</v>
      </c>
      <c r="CS83" s="7">
        <v>7355772</v>
      </c>
      <c r="CT83" s="7">
        <v>7962153</v>
      </c>
      <c r="CU83" s="7">
        <v>7919860</v>
      </c>
      <c r="CV83" s="7">
        <v>8000447</v>
      </c>
      <c r="CW83" s="7">
        <v>8067761</v>
      </c>
      <c r="CX83" s="7">
        <v>7999977</v>
      </c>
      <c r="CY83" s="7">
        <v>7978390</v>
      </c>
      <c r="CZ83" s="7">
        <v>7969821</v>
      </c>
      <c r="DA83" s="7">
        <v>7972445</v>
      </c>
      <c r="DB83" s="7">
        <v>8077156</v>
      </c>
      <c r="DC83" s="7">
        <v>8110481</v>
      </c>
      <c r="DD83" s="7">
        <v>8053423</v>
      </c>
      <c r="DE83" s="7">
        <v>8070385</v>
      </c>
      <c r="DF83" s="7">
        <v>8030937</v>
      </c>
      <c r="DG83" s="7">
        <v>7962633</v>
      </c>
      <c r="DH83" s="7">
        <v>7958905</v>
      </c>
      <c r="DI83" s="7">
        <v>7842554</v>
      </c>
      <c r="DJ83" s="7">
        <v>7836557</v>
      </c>
      <c r="DK83" s="7">
        <v>7770498</v>
      </c>
      <c r="DL83" s="7">
        <v>7756862</v>
      </c>
      <c r="DM83" s="7">
        <v>7809244</v>
      </c>
      <c r="DN83" s="7">
        <v>7833771</v>
      </c>
      <c r="DO83" s="7">
        <v>7954208</v>
      </c>
      <c r="DP83" s="7">
        <v>7959474</v>
      </c>
      <c r="DQ83" s="7">
        <v>7844130</v>
      </c>
      <c r="DR83" s="7">
        <v>7770335</v>
      </c>
      <c r="DS83" s="7">
        <v>7734536</v>
      </c>
      <c r="DT83" s="7">
        <v>7715222</v>
      </c>
      <c r="DU83" s="7">
        <v>7723854</v>
      </c>
      <c r="DV83" s="7">
        <v>7818610</v>
      </c>
      <c r="DW83" s="7">
        <v>7907697</v>
      </c>
      <c r="DX83" s="7">
        <v>7931932</v>
      </c>
      <c r="DY83" s="7">
        <v>7984020</v>
      </c>
      <c r="DZ83" s="7">
        <v>7760976</v>
      </c>
      <c r="EA83" s="7">
        <v>7714390</v>
      </c>
      <c r="EB83" s="7">
        <v>7791653</v>
      </c>
      <c r="EC83" s="7">
        <v>7576350</v>
      </c>
      <c r="ED83" s="7">
        <v>7711081</v>
      </c>
      <c r="EE83" s="7">
        <v>7713478</v>
      </c>
      <c r="EF83" s="7">
        <v>7741517</v>
      </c>
      <c r="EG83" s="7">
        <v>7793308</v>
      </c>
      <c r="EH83" s="7">
        <v>7742960</v>
      </c>
      <c r="EI83" s="7">
        <v>7704889</v>
      </c>
      <c r="EJ83" s="25">
        <f t="shared" si="7"/>
        <v>97473</v>
      </c>
      <c r="EK83" s="7">
        <v>7802362</v>
      </c>
      <c r="EL83" s="25">
        <f t="shared" si="8"/>
        <v>71421</v>
      </c>
      <c r="EM83" s="7">
        <v>7873783</v>
      </c>
      <c r="EN83" s="25">
        <f t="shared" si="9"/>
        <v>176478</v>
      </c>
      <c r="EO83" s="7">
        <v>8050261</v>
      </c>
      <c r="EP83" s="25">
        <f t="shared" si="10"/>
        <v>140962</v>
      </c>
      <c r="EQ83" s="7">
        <v>8191223</v>
      </c>
      <c r="ER83" s="25">
        <f t="shared" si="11"/>
        <v>-18116</v>
      </c>
      <c r="ES83" s="7">
        <v>8173107</v>
      </c>
      <c r="ET83" s="25">
        <f t="shared" si="12"/>
        <v>766077</v>
      </c>
      <c r="EU83" s="7">
        <v>8939184</v>
      </c>
      <c r="EV83" s="25">
        <f t="shared" si="13"/>
        <v>386301</v>
      </c>
      <c r="EW83" s="7">
        <v>9325485</v>
      </c>
      <c r="EX83" s="7">
        <v>9668062</v>
      </c>
      <c r="EY83" s="7">
        <v>9881620</v>
      </c>
      <c r="EZ83" s="7">
        <v>10286108</v>
      </c>
      <c r="FA83" s="7">
        <v>10719445</v>
      </c>
      <c r="FB83" s="7">
        <v>10711397</v>
      </c>
      <c r="FC83" s="7">
        <v>10858412</v>
      </c>
      <c r="FD83" s="7">
        <v>10869612</v>
      </c>
      <c r="FE83" s="7">
        <v>11026626</v>
      </c>
      <c r="FF83" s="7">
        <v>10927010</v>
      </c>
      <c r="FG83" s="7">
        <v>11146248</v>
      </c>
      <c r="FH83" s="7">
        <v>10529109</v>
      </c>
      <c r="FI83" s="7">
        <v>10691605</v>
      </c>
      <c r="FJ83" s="7">
        <v>10837082</v>
      </c>
    </row>
    <row r="84" spans="1:166" x14ac:dyDescent="0.4">
      <c r="A84" s="34" t="s">
        <v>8</v>
      </c>
      <c r="B84" s="7">
        <v>70300</v>
      </c>
      <c r="C84" s="7">
        <v>70300</v>
      </c>
      <c r="D84" s="7">
        <v>70300</v>
      </c>
      <c r="E84" s="7">
        <v>70300</v>
      </c>
      <c r="F84" s="7">
        <v>70300</v>
      </c>
      <c r="G84" s="7">
        <v>70300</v>
      </c>
      <c r="H84" s="7">
        <v>70300</v>
      </c>
      <c r="I84" s="7">
        <v>70300</v>
      </c>
      <c r="J84" s="7">
        <v>70300</v>
      </c>
      <c r="K84" s="7">
        <v>87800</v>
      </c>
      <c r="L84" s="7">
        <v>102800</v>
      </c>
      <c r="M84" s="7">
        <v>102800</v>
      </c>
      <c r="N84" s="7">
        <v>102800</v>
      </c>
      <c r="O84" s="7">
        <v>102800</v>
      </c>
      <c r="P84" s="7">
        <v>102800</v>
      </c>
      <c r="Q84" s="7">
        <v>102800</v>
      </c>
      <c r="R84" s="7">
        <v>99800</v>
      </c>
      <c r="S84" s="7">
        <v>99800</v>
      </c>
      <c r="T84" s="7">
        <v>101800</v>
      </c>
      <c r="U84" s="7">
        <v>101800</v>
      </c>
      <c r="V84" s="7">
        <v>101800</v>
      </c>
      <c r="W84" s="7">
        <v>101800</v>
      </c>
      <c r="X84" s="7">
        <v>101800</v>
      </c>
      <c r="Y84" s="7">
        <v>101800</v>
      </c>
      <c r="Z84" s="7">
        <v>105800</v>
      </c>
      <c r="AA84" s="7">
        <v>105800</v>
      </c>
      <c r="AB84" s="7">
        <v>105800</v>
      </c>
      <c r="AC84" s="7">
        <v>105800</v>
      </c>
      <c r="AD84" s="7">
        <v>108800</v>
      </c>
      <c r="AE84" s="7">
        <v>108800</v>
      </c>
      <c r="AF84" s="7">
        <v>108800</v>
      </c>
      <c r="AG84" s="7">
        <v>108800</v>
      </c>
      <c r="AH84" s="7">
        <v>108800</v>
      </c>
      <c r="AI84" s="7">
        <v>108800</v>
      </c>
      <c r="AJ84" s="7">
        <v>108800</v>
      </c>
      <c r="AK84" s="7">
        <v>113800</v>
      </c>
      <c r="AL84" s="7">
        <v>113800</v>
      </c>
      <c r="AM84" s="7">
        <v>113800</v>
      </c>
      <c r="AN84" s="7">
        <v>115800</v>
      </c>
      <c r="AO84" s="7">
        <v>115800</v>
      </c>
      <c r="AP84" s="7">
        <v>115800</v>
      </c>
      <c r="AQ84" s="7">
        <v>115800</v>
      </c>
      <c r="AR84" s="7">
        <v>114800</v>
      </c>
      <c r="AS84" s="7">
        <v>114800</v>
      </c>
      <c r="AT84" s="7">
        <v>114800</v>
      </c>
      <c r="AU84" s="7">
        <v>114800</v>
      </c>
      <c r="AV84" s="7">
        <v>109800</v>
      </c>
      <c r="AW84" s="7">
        <v>109800</v>
      </c>
      <c r="AX84" s="7">
        <v>109800</v>
      </c>
      <c r="AY84" s="7">
        <v>109800</v>
      </c>
      <c r="AZ84" s="7">
        <v>109800</v>
      </c>
      <c r="BA84" s="7">
        <v>109800</v>
      </c>
      <c r="BB84" s="7">
        <v>109800</v>
      </c>
      <c r="BC84" s="7">
        <v>109800</v>
      </c>
      <c r="BD84" s="7">
        <v>119800</v>
      </c>
      <c r="BE84" s="7">
        <v>119800</v>
      </c>
      <c r="BF84" s="7">
        <v>119800</v>
      </c>
      <c r="BG84" s="7">
        <v>119800</v>
      </c>
      <c r="BH84" s="7">
        <v>119800</v>
      </c>
      <c r="BI84" s="7">
        <v>106800</v>
      </c>
      <c r="BJ84" s="7">
        <v>106800</v>
      </c>
      <c r="BK84" s="7">
        <v>106800</v>
      </c>
      <c r="BL84" s="7">
        <v>106800</v>
      </c>
      <c r="BM84" s="7">
        <v>106800</v>
      </c>
      <c r="BN84" s="7">
        <v>106800</v>
      </c>
      <c r="BO84" s="7">
        <v>106800</v>
      </c>
      <c r="BP84" s="7">
        <v>106800</v>
      </c>
      <c r="BQ84" s="7">
        <v>116800</v>
      </c>
      <c r="BR84" s="7">
        <v>116800</v>
      </c>
      <c r="BS84" s="7">
        <v>109800</v>
      </c>
      <c r="BT84" s="7">
        <v>102800</v>
      </c>
      <c r="BU84" s="7">
        <v>107800</v>
      </c>
      <c r="BV84" s="7">
        <v>107800</v>
      </c>
      <c r="BW84" s="7">
        <v>102800</v>
      </c>
      <c r="BX84" s="7">
        <v>97800</v>
      </c>
      <c r="BY84" s="7">
        <v>102800</v>
      </c>
      <c r="BZ84" s="7">
        <v>102800</v>
      </c>
      <c r="CA84" s="7">
        <v>102800</v>
      </c>
      <c r="CB84" s="7">
        <v>102800</v>
      </c>
      <c r="CC84" s="7">
        <v>107800</v>
      </c>
      <c r="CD84" s="7">
        <v>107800</v>
      </c>
      <c r="CE84" s="7">
        <v>109800</v>
      </c>
      <c r="CF84" s="7">
        <v>116800</v>
      </c>
      <c r="CG84" s="7">
        <v>110800</v>
      </c>
      <c r="CH84" s="7">
        <v>121800</v>
      </c>
      <c r="CI84" s="7">
        <v>121800</v>
      </c>
      <c r="CJ84" s="7">
        <v>120929</v>
      </c>
      <c r="CK84" s="7">
        <v>120521</v>
      </c>
      <c r="CL84" s="7">
        <v>137659</v>
      </c>
      <c r="CM84" s="7">
        <v>154770</v>
      </c>
      <c r="CN84" s="7">
        <v>160310</v>
      </c>
      <c r="CO84" s="7">
        <v>155137</v>
      </c>
      <c r="CP84" s="7">
        <v>154988</v>
      </c>
      <c r="CQ84" s="7">
        <v>152064</v>
      </c>
      <c r="CR84" s="7">
        <v>146579</v>
      </c>
      <c r="CS84" s="7">
        <v>133767</v>
      </c>
      <c r="CT84" s="7">
        <v>133844</v>
      </c>
      <c r="CU84" s="7">
        <v>133639</v>
      </c>
      <c r="CV84" s="7">
        <v>133922</v>
      </c>
      <c r="CW84" s="7">
        <v>131637</v>
      </c>
      <c r="CX84" s="7">
        <v>131278</v>
      </c>
      <c r="CY84" s="7">
        <v>121118</v>
      </c>
      <c r="CZ84" s="7">
        <v>121085</v>
      </c>
      <c r="DA84" s="7">
        <v>120787</v>
      </c>
      <c r="DB84" s="7">
        <v>121034</v>
      </c>
      <c r="DC84" s="7">
        <v>121314</v>
      </c>
      <c r="DD84" s="7">
        <v>120896</v>
      </c>
      <c r="DE84" s="7">
        <v>106826</v>
      </c>
      <c r="DF84" s="7">
        <v>106808</v>
      </c>
      <c r="DG84" s="7">
        <v>106519</v>
      </c>
      <c r="DH84" s="7">
        <v>106716</v>
      </c>
      <c r="DI84" s="7">
        <v>107014</v>
      </c>
      <c r="DJ84" s="7">
        <v>106580</v>
      </c>
      <c r="DK84" s="7">
        <v>113827</v>
      </c>
      <c r="DL84" s="7">
        <v>113859</v>
      </c>
      <c r="DM84" s="7">
        <v>113637</v>
      </c>
      <c r="DN84" s="7">
        <v>166920</v>
      </c>
      <c r="DO84" s="7">
        <v>167647</v>
      </c>
      <c r="DP84" s="7">
        <v>167703</v>
      </c>
      <c r="DQ84" s="7">
        <v>168193</v>
      </c>
      <c r="DR84" s="7">
        <v>173684</v>
      </c>
      <c r="DS84" s="7">
        <v>166416</v>
      </c>
      <c r="DT84" s="7">
        <v>129949</v>
      </c>
      <c r="DU84" s="7">
        <v>123460</v>
      </c>
      <c r="DV84" s="7">
        <v>118126</v>
      </c>
      <c r="DW84" s="7">
        <v>126453</v>
      </c>
      <c r="DX84" s="7">
        <v>120196</v>
      </c>
      <c r="DY84" s="7">
        <v>125901</v>
      </c>
      <c r="DZ84" s="7">
        <v>125967</v>
      </c>
      <c r="EA84" s="7">
        <v>126654</v>
      </c>
      <c r="EB84" s="7">
        <v>125862</v>
      </c>
      <c r="EC84" s="7">
        <v>126443</v>
      </c>
      <c r="ED84" s="7">
        <v>142539</v>
      </c>
      <c r="EE84" s="7">
        <v>142137</v>
      </c>
      <c r="EF84" s="7">
        <v>142530</v>
      </c>
      <c r="EG84" s="7">
        <v>143560</v>
      </c>
      <c r="EH84" s="7">
        <v>140491</v>
      </c>
      <c r="EI84" s="7">
        <v>131285</v>
      </c>
      <c r="EJ84" s="25">
        <f t="shared" si="7"/>
        <v>4344</v>
      </c>
      <c r="EK84" s="7">
        <v>135629</v>
      </c>
      <c r="EL84" s="25">
        <f t="shared" si="8"/>
        <v>-258</v>
      </c>
      <c r="EM84" s="7">
        <v>135371</v>
      </c>
      <c r="EN84" s="25">
        <f t="shared" si="9"/>
        <v>579</v>
      </c>
      <c r="EO84" s="7">
        <v>135950</v>
      </c>
      <c r="EP84" s="25">
        <f t="shared" si="10"/>
        <v>298</v>
      </c>
      <c r="EQ84" s="7">
        <v>136248</v>
      </c>
      <c r="ER84" s="25">
        <f t="shared" si="11"/>
        <v>-939</v>
      </c>
      <c r="ES84" s="7">
        <v>135309</v>
      </c>
      <c r="ET84" s="25">
        <f t="shared" si="12"/>
        <v>1122</v>
      </c>
      <c r="EU84" s="7">
        <v>136431</v>
      </c>
      <c r="EV84" s="25">
        <f t="shared" si="13"/>
        <v>-1120</v>
      </c>
      <c r="EW84" s="7">
        <v>135311</v>
      </c>
      <c r="EX84" s="7">
        <v>129924</v>
      </c>
      <c r="EY84" s="7">
        <v>130705</v>
      </c>
      <c r="EZ84" s="7">
        <v>131013</v>
      </c>
      <c r="FA84" s="7">
        <v>114645</v>
      </c>
      <c r="FB84" s="7">
        <v>115892</v>
      </c>
      <c r="FC84" s="7">
        <v>114382</v>
      </c>
      <c r="FD84" s="7">
        <v>104083</v>
      </c>
      <c r="FE84" s="7">
        <v>104797</v>
      </c>
      <c r="FF84" s="7">
        <v>110510</v>
      </c>
      <c r="FG84" s="7">
        <v>109994</v>
      </c>
      <c r="FH84" s="7">
        <v>105632</v>
      </c>
      <c r="FI84" s="7">
        <v>104278</v>
      </c>
      <c r="FJ84" s="7">
        <v>104388</v>
      </c>
    </row>
    <row r="85" spans="1:166" x14ac:dyDescent="0.4">
      <c r="A85" s="34" t="s">
        <v>13</v>
      </c>
      <c r="B85" s="7">
        <v>13000</v>
      </c>
      <c r="C85" s="7">
        <v>13000</v>
      </c>
      <c r="D85" s="7">
        <v>13000</v>
      </c>
      <c r="E85" s="7">
        <v>13000</v>
      </c>
      <c r="F85" s="7">
        <v>13000</v>
      </c>
      <c r="G85" s="7">
        <v>13000</v>
      </c>
      <c r="H85" s="7">
        <v>13000</v>
      </c>
      <c r="I85" s="7">
        <v>13000</v>
      </c>
      <c r="J85" s="7">
        <v>13000</v>
      </c>
      <c r="K85" s="7">
        <v>13000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c r="AF85" s="7">
        <v>0</v>
      </c>
      <c r="AG85" s="7">
        <v>0</v>
      </c>
      <c r="AH85" s="7">
        <v>0</v>
      </c>
      <c r="AI85" s="7">
        <v>0</v>
      </c>
      <c r="AJ85" s="7">
        <v>0</v>
      </c>
      <c r="AK85" s="7">
        <v>0</v>
      </c>
      <c r="AL85" s="7">
        <v>0</v>
      </c>
      <c r="AM85" s="7">
        <v>3000</v>
      </c>
      <c r="AN85" s="7">
        <v>3000</v>
      </c>
      <c r="AO85" s="7">
        <v>3000</v>
      </c>
      <c r="AP85" s="7">
        <v>3000</v>
      </c>
      <c r="AQ85" s="7">
        <v>3000</v>
      </c>
      <c r="AR85" s="7">
        <v>3000</v>
      </c>
      <c r="AS85" s="7">
        <v>3000</v>
      </c>
      <c r="AT85" s="7">
        <v>3000</v>
      </c>
      <c r="AU85" s="7">
        <v>3000</v>
      </c>
      <c r="AV85" s="7">
        <v>3000</v>
      </c>
      <c r="AW85" s="7">
        <v>3000</v>
      </c>
      <c r="AX85" s="7">
        <v>3000</v>
      </c>
      <c r="AY85" s="7">
        <v>3000</v>
      </c>
      <c r="AZ85" s="7">
        <v>3000</v>
      </c>
      <c r="BA85" s="7">
        <v>13000</v>
      </c>
      <c r="BB85" s="7">
        <v>13000</v>
      </c>
      <c r="BC85" s="7">
        <v>13000</v>
      </c>
      <c r="BD85" s="7">
        <v>0</v>
      </c>
      <c r="BE85" s="7">
        <v>3000</v>
      </c>
      <c r="BF85" s="7">
        <v>3000</v>
      </c>
      <c r="BG85" s="7">
        <v>3000</v>
      </c>
      <c r="BH85" s="7">
        <v>0</v>
      </c>
      <c r="BI85" s="7">
        <v>0</v>
      </c>
      <c r="BJ85" s="7">
        <v>0</v>
      </c>
      <c r="BK85" s="7">
        <v>0</v>
      </c>
      <c r="BL85" s="7">
        <v>0</v>
      </c>
      <c r="BM85" s="7">
        <v>0</v>
      </c>
      <c r="BN85" s="7">
        <v>0</v>
      </c>
      <c r="BO85" s="7">
        <v>0</v>
      </c>
      <c r="BP85" s="7">
        <v>0</v>
      </c>
      <c r="BQ85" s="7">
        <v>0</v>
      </c>
      <c r="BR85" s="7">
        <v>0</v>
      </c>
      <c r="BS85" s="7">
        <v>0</v>
      </c>
      <c r="BT85" s="7">
        <v>0</v>
      </c>
      <c r="BU85" s="7">
        <v>0</v>
      </c>
      <c r="BV85" s="7">
        <v>0</v>
      </c>
      <c r="BW85" s="7">
        <v>0</v>
      </c>
      <c r="BX85" s="7">
        <v>0</v>
      </c>
      <c r="BY85" s="7">
        <v>0</v>
      </c>
      <c r="BZ85" s="7">
        <v>0</v>
      </c>
      <c r="CA85" s="7">
        <v>0</v>
      </c>
      <c r="CB85" s="7">
        <v>0</v>
      </c>
      <c r="CC85" s="7">
        <v>0</v>
      </c>
      <c r="CD85" s="7">
        <v>0</v>
      </c>
      <c r="CE85" s="7">
        <v>2000</v>
      </c>
      <c r="CF85" s="7">
        <v>2000</v>
      </c>
      <c r="CG85" s="7">
        <v>0</v>
      </c>
      <c r="CH85" s="7">
        <v>3000</v>
      </c>
      <c r="CI85" s="7">
        <v>3000</v>
      </c>
      <c r="CJ85" s="7">
        <v>0</v>
      </c>
      <c r="CK85" s="7">
        <v>0</v>
      </c>
      <c r="CL85" s="7">
        <v>0</v>
      </c>
      <c r="CM85" s="7">
        <v>0</v>
      </c>
      <c r="CN85" s="7">
        <v>0</v>
      </c>
      <c r="CO85" s="7">
        <v>0</v>
      </c>
      <c r="CP85" s="7">
        <v>0</v>
      </c>
      <c r="CQ85" s="7">
        <v>0</v>
      </c>
      <c r="CR85" s="7">
        <v>0</v>
      </c>
      <c r="CS85" s="7">
        <v>0</v>
      </c>
      <c r="CT85" s="7">
        <v>0</v>
      </c>
      <c r="CU85" s="7">
        <v>0</v>
      </c>
      <c r="CV85" s="7">
        <v>0</v>
      </c>
      <c r="CW85" s="7">
        <v>0</v>
      </c>
      <c r="CX85" s="7">
        <v>0</v>
      </c>
      <c r="CY85" s="7">
        <v>0</v>
      </c>
      <c r="CZ85" s="7">
        <v>0</v>
      </c>
      <c r="DA85" s="7">
        <v>0</v>
      </c>
      <c r="DB85" s="7">
        <v>0</v>
      </c>
      <c r="DC85" s="7">
        <v>0</v>
      </c>
      <c r="DD85" s="7">
        <v>0</v>
      </c>
      <c r="DE85" s="7">
        <v>0</v>
      </c>
      <c r="DF85" s="7">
        <v>0</v>
      </c>
      <c r="DG85" s="7">
        <v>0</v>
      </c>
      <c r="DH85" s="7">
        <v>0</v>
      </c>
      <c r="DI85" s="7">
        <v>0</v>
      </c>
      <c r="DJ85" s="7">
        <v>0</v>
      </c>
      <c r="DK85" s="7">
        <v>0</v>
      </c>
      <c r="DL85" s="7">
        <v>0</v>
      </c>
      <c r="DM85" s="7">
        <v>0</v>
      </c>
      <c r="DN85" s="7">
        <v>43091</v>
      </c>
      <c r="DO85" s="7">
        <v>43395</v>
      </c>
      <c r="DP85" s="7">
        <v>43709</v>
      </c>
      <c r="DQ85" s="7">
        <v>44013</v>
      </c>
      <c r="DR85" s="7">
        <v>44327</v>
      </c>
      <c r="DS85" s="7">
        <v>44641</v>
      </c>
      <c r="DT85" s="7">
        <v>0</v>
      </c>
      <c r="DU85" s="7">
        <v>0</v>
      </c>
      <c r="DV85" s="7">
        <v>0</v>
      </c>
      <c r="DW85" s="7">
        <v>0</v>
      </c>
      <c r="DX85" s="7">
        <v>0</v>
      </c>
      <c r="DY85" s="7">
        <v>0</v>
      </c>
      <c r="DZ85" s="7">
        <v>0</v>
      </c>
      <c r="EA85" s="7">
        <v>0</v>
      </c>
      <c r="EB85" s="7">
        <v>0</v>
      </c>
      <c r="EC85" s="7">
        <v>0</v>
      </c>
      <c r="ED85" s="7">
        <v>0</v>
      </c>
      <c r="EE85" s="7">
        <v>0</v>
      </c>
      <c r="EF85" s="7">
        <v>0</v>
      </c>
      <c r="EG85" s="7">
        <v>0</v>
      </c>
      <c r="EH85" s="7">
        <v>0</v>
      </c>
      <c r="EI85" s="7">
        <v>0</v>
      </c>
      <c r="EJ85" s="25">
        <f t="shared" si="7"/>
        <v>0</v>
      </c>
      <c r="EK85" s="7">
        <v>0</v>
      </c>
      <c r="EL85" s="25">
        <f t="shared" si="8"/>
        <v>0</v>
      </c>
      <c r="EM85" s="7">
        <v>0</v>
      </c>
      <c r="EN85" s="25">
        <f t="shared" si="9"/>
        <v>0</v>
      </c>
      <c r="EO85" s="7">
        <v>0</v>
      </c>
      <c r="EP85" s="25">
        <f t="shared" si="10"/>
        <v>0</v>
      </c>
      <c r="EQ85" s="7">
        <v>0</v>
      </c>
      <c r="ER85" s="25">
        <f t="shared" si="11"/>
        <v>0</v>
      </c>
      <c r="ES85" s="7">
        <v>0</v>
      </c>
      <c r="ET85" s="25">
        <f t="shared" si="12"/>
        <v>0</v>
      </c>
      <c r="EU85" s="7">
        <v>0</v>
      </c>
      <c r="EV85" s="25">
        <f t="shared" si="13"/>
        <v>0</v>
      </c>
      <c r="EW85" s="7">
        <v>0</v>
      </c>
      <c r="EX85" s="7">
        <v>0</v>
      </c>
      <c r="EY85" s="7">
        <v>0</v>
      </c>
      <c r="EZ85" s="7">
        <v>0</v>
      </c>
      <c r="FA85" s="7">
        <v>0</v>
      </c>
      <c r="FB85" s="7">
        <v>0</v>
      </c>
      <c r="FC85" s="7">
        <v>0</v>
      </c>
      <c r="FD85" s="7">
        <v>0</v>
      </c>
      <c r="FE85" s="7">
        <v>0</v>
      </c>
      <c r="FF85" s="7">
        <v>0</v>
      </c>
      <c r="FG85" s="7">
        <v>0</v>
      </c>
      <c r="FH85" s="7">
        <v>0</v>
      </c>
      <c r="FI85" s="7">
        <v>0</v>
      </c>
      <c r="FJ85" s="7">
        <v>0</v>
      </c>
    </row>
    <row r="86" spans="1:166" x14ac:dyDescent="0.4">
      <c r="A86" s="34" t="s">
        <v>14</v>
      </c>
      <c r="B86" s="7">
        <v>57300</v>
      </c>
      <c r="C86" s="7">
        <v>57300</v>
      </c>
      <c r="D86" s="7">
        <v>57300</v>
      </c>
      <c r="E86" s="7">
        <v>57300</v>
      </c>
      <c r="F86" s="7">
        <v>57300</v>
      </c>
      <c r="G86" s="7">
        <v>57300</v>
      </c>
      <c r="H86" s="7">
        <v>57300</v>
      </c>
      <c r="I86" s="7">
        <v>57300</v>
      </c>
      <c r="J86" s="7">
        <v>57300</v>
      </c>
      <c r="K86" s="7">
        <v>74800</v>
      </c>
      <c r="L86" s="7">
        <v>102800</v>
      </c>
      <c r="M86" s="7">
        <v>102800</v>
      </c>
      <c r="N86" s="7">
        <v>102800</v>
      </c>
      <c r="O86" s="7">
        <v>102800</v>
      </c>
      <c r="P86" s="7">
        <v>102800</v>
      </c>
      <c r="Q86" s="7">
        <v>102800</v>
      </c>
      <c r="R86" s="7">
        <v>99800</v>
      </c>
      <c r="S86" s="7">
        <v>99800</v>
      </c>
      <c r="T86" s="7">
        <v>101800</v>
      </c>
      <c r="U86" s="7">
        <v>101800</v>
      </c>
      <c r="V86" s="7">
        <v>101800</v>
      </c>
      <c r="W86" s="7">
        <v>101800</v>
      </c>
      <c r="X86" s="7">
        <v>101800</v>
      </c>
      <c r="Y86" s="7">
        <v>101800</v>
      </c>
      <c r="Z86" s="7">
        <v>105800</v>
      </c>
      <c r="AA86" s="7">
        <v>105800</v>
      </c>
      <c r="AB86" s="7">
        <v>105800</v>
      </c>
      <c r="AC86" s="7">
        <v>105800</v>
      </c>
      <c r="AD86" s="7">
        <v>108800</v>
      </c>
      <c r="AE86" s="7">
        <v>108800</v>
      </c>
      <c r="AF86" s="7">
        <v>108800</v>
      </c>
      <c r="AG86" s="7">
        <v>108800</v>
      </c>
      <c r="AH86" s="7">
        <v>108800</v>
      </c>
      <c r="AI86" s="7">
        <v>108800</v>
      </c>
      <c r="AJ86" s="7">
        <v>108800</v>
      </c>
      <c r="AK86" s="7">
        <v>113800</v>
      </c>
      <c r="AL86" s="7">
        <v>113800</v>
      </c>
      <c r="AM86" s="7">
        <v>110800</v>
      </c>
      <c r="AN86" s="7">
        <v>112800</v>
      </c>
      <c r="AO86" s="7">
        <v>112800</v>
      </c>
      <c r="AP86" s="7">
        <v>112800</v>
      </c>
      <c r="AQ86" s="7">
        <v>112800</v>
      </c>
      <c r="AR86" s="7">
        <v>111800</v>
      </c>
      <c r="AS86" s="7">
        <v>111800</v>
      </c>
      <c r="AT86" s="7">
        <v>111800</v>
      </c>
      <c r="AU86" s="7">
        <v>111800</v>
      </c>
      <c r="AV86" s="7">
        <v>106800</v>
      </c>
      <c r="AW86" s="7">
        <v>106800</v>
      </c>
      <c r="AX86" s="7">
        <v>106800</v>
      </c>
      <c r="AY86" s="7">
        <v>106800</v>
      </c>
      <c r="AZ86" s="7">
        <v>106800</v>
      </c>
      <c r="BA86" s="7">
        <v>96800</v>
      </c>
      <c r="BB86" s="7">
        <v>96800</v>
      </c>
      <c r="BC86" s="7">
        <v>96800</v>
      </c>
      <c r="BD86" s="7">
        <v>119800</v>
      </c>
      <c r="BE86" s="7">
        <v>116800</v>
      </c>
      <c r="BF86" s="7">
        <v>116800</v>
      </c>
      <c r="BG86" s="7">
        <v>116800</v>
      </c>
      <c r="BH86" s="7">
        <v>119800</v>
      </c>
      <c r="BI86" s="7">
        <v>106800</v>
      </c>
      <c r="BJ86" s="7">
        <v>106800</v>
      </c>
      <c r="BK86" s="7">
        <v>106800</v>
      </c>
      <c r="BL86" s="7">
        <v>106800</v>
      </c>
      <c r="BM86" s="7">
        <v>106800</v>
      </c>
      <c r="BN86" s="7">
        <v>106800</v>
      </c>
      <c r="BO86" s="7">
        <v>106800</v>
      </c>
      <c r="BP86" s="7">
        <v>106800</v>
      </c>
      <c r="BQ86" s="7">
        <v>116800</v>
      </c>
      <c r="BR86" s="7">
        <v>116800</v>
      </c>
      <c r="BS86" s="7">
        <v>109800</v>
      </c>
      <c r="BT86" s="7">
        <v>102800</v>
      </c>
      <c r="BU86" s="7">
        <v>107800</v>
      </c>
      <c r="BV86" s="7">
        <v>107800</v>
      </c>
      <c r="BW86" s="7">
        <v>102800</v>
      </c>
      <c r="BX86" s="7">
        <v>97800</v>
      </c>
      <c r="BY86" s="7">
        <v>102800</v>
      </c>
      <c r="BZ86" s="7">
        <v>102800</v>
      </c>
      <c r="CA86" s="7">
        <v>102800</v>
      </c>
      <c r="CB86" s="7">
        <v>102800</v>
      </c>
      <c r="CC86" s="7">
        <v>107800</v>
      </c>
      <c r="CD86" s="7">
        <v>107800</v>
      </c>
      <c r="CE86" s="7">
        <v>107800</v>
      </c>
      <c r="CF86" s="7">
        <v>114800</v>
      </c>
      <c r="CG86" s="7">
        <v>110800</v>
      </c>
      <c r="CH86" s="7">
        <v>118800</v>
      </c>
      <c r="CI86" s="7">
        <v>118800</v>
      </c>
      <c r="CJ86" s="7">
        <v>120929</v>
      </c>
      <c r="CK86" s="7">
        <v>120521</v>
      </c>
      <c r="CL86" s="7">
        <v>137659</v>
      </c>
      <c r="CM86" s="7">
        <v>154770</v>
      </c>
      <c r="CN86" s="7">
        <v>160310</v>
      </c>
      <c r="CO86" s="7">
        <v>155137</v>
      </c>
      <c r="CP86" s="7">
        <v>154988</v>
      </c>
      <c r="CQ86" s="7">
        <v>152064</v>
      </c>
      <c r="CR86" s="7">
        <v>146579</v>
      </c>
      <c r="CS86" s="7">
        <v>133767</v>
      </c>
      <c r="CT86" s="7">
        <v>133844</v>
      </c>
      <c r="CU86" s="7">
        <v>133639</v>
      </c>
      <c r="CV86" s="7">
        <v>133922</v>
      </c>
      <c r="CW86" s="7">
        <v>131637</v>
      </c>
      <c r="CX86" s="7">
        <v>131278</v>
      </c>
      <c r="CY86" s="7">
        <v>121118</v>
      </c>
      <c r="CZ86" s="7">
        <v>121085</v>
      </c>
      <c r="DA86" s="7">
        <v>120787</v>
      </c>
      <c r="DB86" s="7">
        <v>121034</v>
      </c>
      <c r="DC86" s="7">
        <v>121314</v>
      </c>
      <c r="DD86" s="7">
        <v>120896</v>
      </c>
      <c r="DE86" s="7">
        <v>106826</v>
      </c>
      <c r="DF86" s="7">
        <v>106808</v>
      </c>
      <c r="DG86" s="7">
        <v>106519</v>
      </c>
      <c r="DH86" s="7">
        <v>106716</v>
      </c>
      <c r="DI86" s="7">
        <v>107014</v>
      </c>
      <c r="DJ86" s="7">
        <v>106580</v>
      </c>
      <c r="DK86" s="7">
        <v>113827</v>
      </c>
      <c r="DL86" s="7">
        <v>113859</v>
      </c>
      <c r="DM86" s="7">
        <v>113637</v>
      </c>
      <c r="DN86" s="7">
        <v>123829</v>
      </c>
      <c r="DO86" s="7">
        <v>124252</v>
      </c>
      <c r="DP86" s="7">
        <v>123994</v>
      </c>
      <c r="DQ86" s="7">
        <v>124180</v>
      </c>
      <c r="DR86" s="7">
        <v>129357</v>
      </c>
      <c r="DS86" s="7">
        <v>121774</v>
      </c>
      <c r="DT86" s="7">
        <v>129949</v>
      </c>
      <c r="DU86" s="7">
        <v>123460</v>
      </c>
      <c r="DV86" s="7">
        <v>118126</v>
      </c>
      <c r="DW86" s="7">
        <v>126453</v>
      </c>
      <c r="DX86" s="7">
        <v>120196</v>
      </c>
      <c r="DY86" s="7">
        <v>125901</v>
      </c>
      <c r="DZ86" s="7">
        <v>125967</v>
      </c>
      <c r="EA86" s="7">
        <v>126654</v>
      </c>
      <c r="EB86" s="7">
        <v>125862</v>
      </c>
      <c r="EC86" s="7">
        <v>126443</v>
      </c>
      <c r="ED86" s="7">
        <v>142539</v>
      </c>
      <c r="EE86" s="7">
        <v>142137</v>
      </c>
      <c r="EF86" s="7">
        <v>142530</v>
      </c>
      <c r="EG86" s="7">
        <v>143560</v>
      </c>
      <c r="EH86" s="7">
        <v>140491</v>
      </c>
      <c r="EI86" s="7">
        <v>131285</v>
      </c>
      <c r="EJ86" s="25">
        <f t="shared" si="7"/>
        <v>4344</v>
      </c>
      <c r="EK86" s="7">
        <v>135629</v>
      </c>
      <c r="EL86" s="25">
        <f t="shared" si="8"/>
        <v>-258</v>
      </c>
      <c r="EM86" s="7">
        <v>135371</v>
      </c>
      <c r="EN86" s="25">
        <f t="shared" si="9"/>
        <v>579</v>
      </c>
      <c r="EO86" s="7">
        <v>135950</v>
      </c>
      <c r="EP86" s="25">
        <f t="shared" si="10"/>
        <v>298</v>
      </c>
      <c r="EQ86" s="7">
        <v>136248</v>
      </c>
      <c r="ER86" s="25">
        <f t="shared" si="11"/>
        <v>-939</v>
      </c>
      <c r="ES86" s="7">
        <v>135309</v>
      </c>
      <c r="ET86" s="25">
        <f t="shared" si="12"/>
        <v>1122</v>
      </c>
      <c r="EU86" s="7">
        <v>136431</v>
      </c>
      <c r="EV86" s="25">
        <f t="shared" si="13"/>
        <v>-1120</v>
      </c>
      <c r="EW86" s="7">
        <v>135311</v>
      </c>
      <c r="EX86" s="7">
        <v>129924</v>
      </c>
      <c r="EY86" s="7">
        <v>130705</v>
      </c>
      <c r="EZ86" s="7">
        <v>131013</v>
      </c>
      <c r="FA86" s="7">
        <v>114645</v>
      </c>
      <c r="FB86" s="7">
        <v>115892</v>
      </c>
      <c r="FC86" s="7">
        <v>114382</v>
      </c>
      <c r="FD86" s="7">
        <v>104083</v>
      </c>
      <c r="FE86" s="7">
        <v>104797</v>
      </c>
      <c r="FF86" s="7">
        <v>110510</v>
      </c>
      <c r="FG86" s="7">
        <v>109994</v>
      </c>
      <c r="FH86" s="7">
        <v>105632</v>
      </c>
      <c r="FI86" s="7">
        <v>104278</v>
      </c>
      <c r="FJ86" s="7">
        <v>104388</v>
      </c>
    </row>
    <row r="87" spans="1:166" x14ac:dyDescent="0.4">
      <c r="A87" s="35" t="s">
        <v>27</v>
      </c>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v>10000</v>
      </c>
      <c r="BW87" s="7">
        <v>5000</v>
      </c>
      <c r="BX87" s="7">
        <v>0</v>
      </c>
      <c r="BY87" s="7">
        <v>0</v>
      </c>
      <c r="BZ87" s="7">
        <v>0</v>
      </c>
      <c r="CA87" s="7">
        <v>0</v>
      </c>
      <c r="CB87" s="7">
        <v>0</v>
      </c>
      <c r="CC87" s="7">
        <v>5000</v>
      </c>
      <c r="CD87" s="7">
        <v>5000</v>
      </c>
      <c r="CE87" s="7">
        <v>15000</v>
      </c>
      <c r="CF87" s="7">
        <v>20000</v>
      </c>
      <c r="CG87" s="7">
        <v>20000</v>
      </c>
      <c r="CH87" s="7">
        <v>20000</v>
      </c>
      <c r="CI87" s="7">
        <v>20000</v>
      </c>
      <c r="CJ87" s="7">
        <v>20558</v>
      </c>
      <c r="CK87" s="7">
        <v>25320</v>
      </c>
      <c r="CL87" s="7">
        <v>25283</v>
      </c>
      <c r="CM87" s="7">
        <v>35493</v>
      </c>
      <c r="CN87" s="7">
        <v>35733</v>
      </c>
      <c r="CO87" s="7">
        <v>30769</v>
      </c>
      <c r="CP87" s="7">
        <v>30984</v>
      </c>
      <c r="CQ87" s="7">
        <v>20560</v>
      </c>
      <c r="CR87" s="7">
        <v>15474</v>
      </c>
      <c r="CS87" s="7">
        <v>29439</v>
      </c>
      <c r="CT87" s="7">
        <v>29551</v>
      </c>
      <c r="CU87" s="7">
        <v>29663</v>
      </c>
      <c r="CV87" s="7">
        <v>29765</v>
      </c>
      <c r="CW87" s="7">
        <v>24635</v>
      </c>
      <c r="CX87" s="7">
        <v>24708</v>
      </c>
      <c r="CY87" s="7">
        <v>14300</v>
      </c>
      <c r="CZ87" s="7">
        <v>14300</v>
      </c>
      <c r="DA87" s="7">
        <v>14300</v>
      </c>
      <c r="DB87" s="7">
        <v>14300</v>
      </c>
      <c r="DC87" s="7">
        <v>14300</v>
      </c>
      <c r="DD87" s="7">
        <v>14300</v>
      </c>
      <c r="DE87" s="7">
        <v>0</v>
      </c>
      <c r="DF87" s="7">
        <v>0</v>
      </c>
      <c r="DG87" s="7">
        <v>7037</v>
      </c>
      <c r="DH87" s="7">
        <v>7087</v>
      </c>
      <c r="DI87" s="7">
        <v>14165</v>
      </c>
      <c r="DJ87" s="7">
        <v>19265</v>
      </c>
      <c r="DK87" s="7">
        <v>26407</v>
      </c>
      <c r="DL87" s="7">
        <v>34492</v>
      </c>
      <c r="DM87" s="7">
        <v>34379</v>
      </c>
      <c r="DN87" s="7">
        <v>34470</v>
      </c>
      <c r="DO87" s="7">
        <v>34568</v>
      </c>
      <c r="DP87" s="7">
        <v>34587</v>
      </c>
      <c r="DQ87" s="7">
        <v>34671</v>
      </c>
      <c r="DR87" s="7">
        <v>34505</v>
      </c>
      <c r="DS87" s="7">
        <v>27353</v>
      </c>
      <c r="DT87" s="7">
        <v>27375</v>
      </c>
      <c r="DU87" s="7">
        <v>20400</v>
      </c>
      <c r="DV87" s="7">
        <v>17312</v>
      </c>
      <c r="DW87" s="7">
        <v>20271</v>
      </c>
      <c r="DX87" s="7">
        <v>12060</v>
      </c>
      <c r="DY87" s="7">
        <v>12110</v>
      </c>
      <c r="DZ87" s="7">
        <v>12013</v>
      </c>
      <c r="EA87" s="7">
        <v>12062</v>
      </c>
      <c r="EB87" s="7">
        <v>12110</v>
      </c>
      <c r="EC87" s="7">
        <v>19017</v>
      </c>
      <c r="ED87" s="7">
        <v>19136</v>
      </c>
      <c r="EE87" s="7">
        <v>24257</v>
      </c>
      <c r="EF87" s="7">
        <v>24063</v>
      </c>
      <c r="EG87" s="7">
        <v>24222</v>
      </c>
      <c r="EH87" s="7">
        <v>37393</v>
      </c>
      <c r="EI87" s="7">
        <v>27263</v>
      </c>
      <c r="EJ87" s="25">
        <f t="shared" si="7"/>
        <v>181</v>
      </c>
      <c r="EK87" s="7">
        <v>27444</v>
      </c>
      <c r="EL87" s="25">
        <f t="shared" si="8"/>
        <v>9980</v>
      </c>
      <c r="EM87" s="7">
        <v>37424</v>
      </c>
      <c r="EN87" s="25">
        <f t="shared" si="9"/>
        <v>40</v>
      </c>
      <c r="EO87" s="7">
        <v>37464</v>
      </c>
      <c r="EP87" s="25">
        <f t="shared" si="10"/>
        <v>259</v>
      </c>
      <c r="EQ87" s="7">
        <v>37723</v>
      </c>
      <c r="ER87" s="25">
        <f t="shared" si="11"/>
        <v>-7332</v>
      </c>
      <c r="ES87" s="7">
        <v>30391</v>
      </c>
      <c r="ET87" s="25">
        <f t="shared" si="12"/>
        <v>5186</v>
      </c>
      <c r="EU87" s="7">
        <v>35577</v>
      </c>
      <c r="EV87" s="25">
        <f t="shared" si="13"/>
        <v>205</v>
      </c>
      <c r="EW87" s="7">
        <v>35782</v>
      </c>
      <c r="EX87" s="7">
        <v>30268</v>
      </c>
      <c r="EY87" s="7">
        <v>38445</v>
      </c>
      <c r="EZ87" s="7">
        <v>39901</v>
      </c>
      <c r="FA87" s="7">
        <v>24647</v>
      </c>
      <c r="FB87" s="7">
        <v>24806</v>
      </c>
      <c r="FC87" s="7">
        <v>24960</v>
      </c>
      <c r="FD87" s="7">
        <v>14645</v>
      </c>
      <c r="FE87" s="7">
        <v>14312</v>
      </c>
      <c r="FF87" s="7">
        <v>13722</v>
      </c>
      <c r="FG87" s="7">
        <v>13795</v>
      </c>
      <c r="FH87" s="7">
        <v>8867</v>
      </c>
      <c r="FI87" s="7">
        <v>14491</v>
      </c>
      <c r="FJ87" s="7">
        <v>14652</v>
      </c>
    </row>
    <row r="88" spans="1:166" x14ac:dyDescent="0.4">
      <c r="A88" s="35" t="s">
        <v>30</v>
      </c>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v>97800</v>
      </c>
      <c r="BW88" s="7">
        <v>97800</v>
      </c>
      <c r="BX88" s="7">
        <v>97800</v>
      </c>
      <c r="BY88" s="7">
        <v>102800</v>
      </c>
      <c r="BZ88" s="7">
        <v>102800</v>
      </c>
      <c r="CA88" s="7">
        <v>102800</v>
      </c>
      <c r="CB88" s="7">
        <v>102800</v>
      </c>
      <c r="CC88" s="7">
        <v>102800</v>
      </c>
      <c r="CD88" s="7">
        <v>102800</v>
      </c>
      <c r="CE88" s="7">
        <v>92800</v>
      </c>
      <c r="CF88" s="7">
        <v>94800</v>
      </c>
      <c r="CG88" s="7">
        <v>90800</v>
      </c>
      <c r="CH88" s="7">
        <v>98800</v>
      </c>
      <c r="CI88" s="7">
        <v>98800</v>
      </c>
      <c r="CJ88" s="7">
        <v>100371</v>
      </c>
      <c r="CK88" s="7">
        <v>95201</v>
      </c>
      <c r="CL88" s="7">
        <v>112376</v>
      </c>
      <c r="CM88" s="7">
        <v>119277</v>
      </c>
      <c r="CN88" s="7">
        <v>124577</v>
      </c>
      <c r="CO88" s="7">
        <v>124368</v>
      </c>
      <c r="CP88" s="7">
        <v>124004</v>
      </c>
      <c r="CQ88" s="7">
        <v>131504</v>
      </c>
      <c r="CR88" s="7">
        <v>131104</v>
      </c>
      <c r="CS88" s="7">
        <v>104327</v>
      </c>
      <c r="CT88" s="7">
        <v>104292</v>
      </c>
      <c r="CU88" s="7">
        <v>103976</v>
      </c>
      <c r="CV88" s="7">
        <v>104158</v>
      </c>
      <c r="CW88" s="7">
        <v>107002</v>
      </c>
      <c r="CX88" s="7">
        <v>106569</v>
      </c>
      <c r="CY88" s="7">
        <v>106818</v>
      </c>
      <c r="CZ88" s="7">
        <v>106785</v>
      </c>
      <c r="DA88" s="7">
        <v>106487</v>
      </c>
      <c r="DB88" s="7">
        <v>106734</v>
      </c>
      <c r="DC88" s="7">
        <v>107014</v>
      </c>
      <c r="DD88" s="7">
        <v>106596</v>
      </c>
      <c r="DE88" s="7">
        <v>106826</v>
      </c>
      <c r="DF88" s="7">
        <v>106808</v>
      </c>
      <c r="DG88" s="7">
        <v>99482</v>
      </c>
      <c r="DH88" s="7">
        <v>99629</v>
      </c>
      <c r="DI88" s="7">
        <v>92849</v>
      </c>
      <c r="DJ88" s="7">
        <v>87315</v>
      </c>
      <c r="DK88" s="7">
        <v>87420</v>
      </c>
      <c r="DL88" s="7">
        <v>79367</v>
      </c>
      <c r="DM88" s="7">
        <v>79258</v>
      </c>
      <c r="DN88" s="7">
        <v>89359</v>
      </c>
      <c r="DO88" s="7">
        <v>89684</v>
      </c>
      <c r="DP88" s="7">
        <v>89407</v>
      </c>
      <c r="DQ88" s="7">
        <v>89509</v>
      </c>
      <c r="DR88" s="7">
        <v>94852</v>
      </c>
      <c r="DS88" s="7">
        <v>94421</v>
      </c>
      <c r="DT88" s="7">
        <v>102575</v>
      </c>
      <c r="DU88" s="7">
        <v>103060</v>
      </c>
      <c r="DV88" s="7">
        <v>100815</v>
      </c>
      <c r="DW88" s="7">
        <v>106182</v>
      </c>
      <c r="DX88" s="7">
        <v>108136</v>
      </c>
      <c r="DY88" s="7">
        <v>113791</v>
      </c>
      <c r="DZ88" s="7">
        <v>113954</v>
      </c>
      <c r="EA88" s="7">
        <v>114592</v>
      </c>
      <c r="EB88" s="7">
        <v>113752</v>
      </c>
      <c r="EC88" s="7">
        <v>107426</v>
      </c>
      <c r="ED88" s="7">
        <v>123403</v>
      </c>
      <c r="EE88" s="7">
        <v>117880</v>
      </c>
      <c r="EF88" s="7">
        <v>118467</v>
      </c>
      <c r="EG88" s="7">
        <v>119338</v>
      </c>
      <c r="EH88" s="7">
        <v>103098</v>
      </c>
      <c r="EI88" s="7">
        <v>104022</v>
      </c>
      <c r="EJ88" s="25">
        <f t="shared" si="7"/>
        <v>4162</v>
      </c>
      <c r="EK88" s="7">
        <v>108184</v>
      </c>
      <c r="EL88" s="25">
        <f t="shared" si="8"/>
        <v>-10237</v>
      </c>
      <c r="EM88" s="7">
        <v>97947</v>
      </c>
      <c r="EN88" s="25">
        <f t="shared" si="9"/>
        <v>539</v>
      </c>
      <c r="EO88" s="7">
        <v>98486</v>
      </c>
      <c r="EP88" s="25">
        <f t="shared" si="10"/>
        <v>40</v>
      </c>
      <c r="EQ88" s="7">
        <v>98526</v>
      </c>
      <c r="ER88" s="25">
        <f t="shared" si="11"/>
        <v>6392</v>
      </c>
      <c r="ES88" s="7">
        <v>104918</v>
      </c>
      <c r="ET88" s="25">
        <f t="shared" si="12"/>
        <v>-4064</v>
      </c>
      <c r="EU88" s="7">
        <v>100854</v>
      </c>
      <c r="EV88" s="25">
        <f t="shared" si="13"/>
        <v>-1326</v>
      </c>
      <c r="EW88" s="7">
        <v>99528</v>
      </c>
      <c r="EX88" s="7">
        <v>99656</v>
      </c>
      <c r="EY88" s="7">
        <v>92260</v>
      </c>
      <c r="EZ88" s="7">
        <v>91112</v>
      </c>
      <c r="FA88" s="7">
        <v>89998</v>
      </c>
      <c r="FB88" s="7">
        <v>91086</v>
      </c>
      <c r="FC88" s="7">
        <v>89422</v>
      </c>
      <c r="FD88" s="7">
        <v>89438</v>
      </c>
      <c r="FE88" s="7">
        <v>90485</v>
      </c>
      <c r="FF88" s="7">
        <v>96788</v>
      </c>
      <c r="FG88" s="7">
        <v>96199</v>
      </c>
      <c r="FH88" s="7">
        <v>96765</v>
      </c>
      <c r="FI88" s="7">
        <v>89787</v>
      </c>
      <c r="FJ88" s="7">
        <v>89735</v>
      </c>
    </row>
    <row r="89" spans="1:166" x14ac:dyDescent="0.4">
      <c r="EJ89" s="25">
        <f t="shared" si="7"/>
        <v>0</v>
      </c>
      <c r="EL89" s="25">
        <f t="shared" si="8"/>
        <v>0</v>
      </c>
      <c r="EN89" s="25">
        <f t="shared" si="9"/>
        <v>0</v>
      </c>
      <c r="EP89" s="25">
        <f t="shared" si="10"/>
        <v>0</v>
      </c>
      <c r="ER89" s="25">
        <f t="shared" si="11"/>
        <v>0</v>
      </c>
      <c r="ET89" s="25">
        <f t="shared" si="12"/>
        <v>0</v>
      </c>
      <c r="EV89" s="25">
        <f t="shared" si="13"/>
        <v>0</v>
      </c>
    </row>
    <row r="90" spans="1:166" x14ac:dyDescent="0.4">
      <c r="A90" s="31" t="s">
        <v>17</v>
      </c>
      <c r="EJ90" s="25">
        <f t="shared" si="7"/>
        <v>0</v>
      </c>
      <c r="EL90" s="25">
        <f t="shared" si="8"/>
        <v>0</v>
      </c>
      <c r="EN90" s="25">
        <f t="shared" si="9"/>
        <v>0</v>
      </c>
      <c r="EP90" s="25">
        <f t="shared" si="10"/>
        <v>0</v>
      </c>
      <c r="ER90" s="25">
        <f t="shared" si="11"/>
        <v>0</v>
      </c>
      <c r="ET90" s="25">
        <f t="shared" si="12"/>
        <v>0</v>
      </c>
      <c r="EV90" s="25">
        <f t="shared" si="13"/>
        <v>0</v>
      </c>
    </row>
    <row r="91" spans="1:166" x14ac:dyDescent="0.4">
      <c r="A91" s="32" t="s">
        <v>2</v>
      </c>
      <c r="B91" s="22">
        <v>44334</v>
      </c>
      <c r="C91" s="22">
        <v>43830</v>
      </c>
      <c r="D91" s="22">
        <v>44695</v>
      </c>
      <c r="E91" s="22">
        <v>45244</v>
      </c>
      <c r="F91" s="22">
        <v>45623</v>
      </c>
      <c r="G91" s="22">
        <v>46110</v>
      </c>
      <c r="H91" s="22">
        <v>47989</v>
      </c>
      <c r="I91" s="22">
        <v>61164</v>
      </c>
      <c r="J91" s="22">
        <v>61700</v>
      </c>
      <c r="K91" s="22">
        <v>60151</v>
      </c>
      <c r="L91" s="22">
        <v>59623</v>
      </c>
      <c r="M91" s="22">
        <v>61616</v>
      </c>
      <c r="N91" s="22">
        <v>60865</v>
      </c>
      <c r="O91" s="22">
        <v>65543</v>
      </c>
      <c r="P91" s="22">
        <v>67041</v>
      </c>
      <c r="Q91" s="22">
        <v>80641</v>
      </c>
      <c r="R91" s="22">
        <v>80666</v>
      </c>
      <c r="S91" s="22">
        <v>95617</v>
      </c>
      <c r="T91" s="22">
        <v>92809</v>
      </c>
      <c r="U91" s="22">
        <v>98595</v>
      </c>
      <c r="V91" s="22">
        <v>100190</v>
      </c>
      <c r="W91" s="22">
        <v>108694</v>
      </c>
      <c r="X91" s="22">
        <v>119753</v>
      </c>
      <c r="Y91" s="22">
        <v>131533</v>
      </c>
      <c r="Z91" s="22">
        <v>155254</v>
      </c>
      <c r="AA91" s="22">
        <v>189672</v>
      </c>
      <c r="AB91" s="22">
        <v>137186</v>
      </c>
      <c r="AC91" s="22">
        <v>132109</v>
      </c>
      <c r="AD91" s="22">
        <v>116831</v>
      </c>
      <c r="AE91" s="22">
        <v>120614</v>
      </c>
      <c r="AF91" s="22">
        <v>128072</v>
      </c>
      <c r="AG91" s="22">
        <v>145097</v>
      </c>
      <c r="AH91" s="22">
        <v>163513</v>
      </c>
      <c r="AI91" s="22">
        <v>162920</v>
      </c>
      <c r="AJ91" s="22">
        <v>157833</v>
      </c>
      <c r="AK91" s="22">
        <v>162926</v>
      </c>
      <c r="AL91" s="22">
        <v>306811</v>
      </c>
      <c r="AM91" s="22">
        <v>325690</v>
      </c>
      <c r="AN91" s="22">
        <v>316104</v>
      </c>
      <c r="AO91" s="22">
        <v>366209</v>
      </c>
      <c r="AP91" s="22">
        <v>429103</v>
      </c>
      <c r="AQ91" s="22">
        <v>435677</v>
      </c>
      <c r="AR91" s="22">
        <v>423691</v>
      </c>
      <c r="AS91" s="22">
        <v>475589</v>
      </c>
      <c r="AT91" s="22">
        <v>467243</v>
      </c>
      <c r="AU91" s="22">
        <v>505169</v>
      </c>
      <c r="AV91" s="22">
        <v>503135</v>
      </c>
      <c r="AW91" s="22">
        <v>519461</v>
      </c>
      <c r="AX91" s="22">
        <v>493959</v>
      </c>
      <c r="AY91" s="22">
        <v>489927</v>
      </c>
      <c r="AZ91" s="22">
        <v>491219</v>
      </c>
      <c r="BA91" s="22">
        <v>477999</v>
      </c>
      <c r="BB91" s="22">
        <v>483025</v>
      </c>
      <c r="BC91" s="22">
        <v>459396</v>
      </c>
      <c r="BD91" s="22">
        <v>489139</v>
      </c>
      <c r="BE91" s="22">
        <v>493945</v>
      </c>
      <c r="BF91" s="22">
        <v>497185</v>
      </c>
      <c r="BG91" s="22">
        <v>494602</v>
      </c>
      <c r="BH91" s="22">
        <v>478339</v>
      </c>
      <c r="BI91" s="22">
        <v>483666</v>
      </c>
      <c r="BJ91" s="22">
        <v>477616</v>
      </c>
      <c r="BK91" s="22">
        <v>466808</v>
      </c>
      <c r="BL91" s="22">
        <v>461667</v>
      </c>
      <c r="BM91" s="22">
        <v>489194</v>
      </c>
      <c r="BN91" s="22">
        <v>539042</v>
      </c>
      <c r="BO91" s="22">
        <v>544139</v>
      </c>
      <c r="BP91" s="22">
        <v>534373</v>
      </c>
      <c r="BQ91" s="22">
        <v>530077</v>
      </c>
      <c r="BR91" s="22">
        <v>575390</v>
      </c>
      <c r="BS91" s="22">
        <v>556297</v>
      </c>
      <c r="BT91" s="22">
        <v>555735</v>
      </c>
      <c r="BU91" s="22">
        <v>563004</v>
      </c>
      <c r="BV91" s="22">
        <v>590449</v>
      </c>
      <c r="BW91" s="22">
        <v>561790</v>
      </c>
      <c r="BX91" s="22">
        <v>559818</v>
      </c>
      <c r="BY91" s="22">
        <v>500721</v>
      </c>
      <c r="BZ91" s="22">
        <v>499656</v>
      </c>
      <c r="CA91" s="22">
        <v>503065</v>
      </c>
      <c r="CB91" s="22">
        <v>487766</v>
      </c>
      <c r="CC91" s="22">
        <v>490081</v>
      </c>
      <c r="CD91" s="22">
        <v>513612</v>
      </c>
      <c r="CE91" s="22">
        <v>497472</v>
      </c>
      <c r="CF91" s="22">
        <v>494396</v>
      </c>
      <c r="CG91" s="22">
        <v>495650</v>
      </c>
      <c r="CH91" s="22">
        <v>489103</v>
      </c>
      <c r="CI91" s="22">
        <v>497830</v>
      </c>
      <c r="CJ91" s="22">
        <v>522501</v>
      </c>
      <c r="CK91" s="22">
        <v>619820</v>
      </c>
      <c r="CL91" s="22">
        <v>588574</v>
      </c>
      <c r="CM91" s="22">
        <v>540747</v>
      </c>
      <c r="CN91" s="22">
        <v>532515</v>
      </c>
      <c r="CO91" s="22">
        <v>577479</v>
      </c>
      <c r="CP91" s="22">
        <v>586141</v>
      </c>
      <c r="CQ91" s="22">
        <v>625962</v>
      </c>
      <c r="CR91" s="22">
        <v>624420</v>
      </c>
      <c r="CS91" s="22">
        <v>598098</v>
      </c>
      <c r="CT91" s="22">
        <v>606489</v>
      </c>
      <c r="CU91" s="22">
        <v>625139</v>
      </c>
      <c r="CV91" s="22">
        <v>603332</v>
      </c>
      <c r="CW91" s="22">
        <v>708399</v>
      </c>
      <c r="CX91" s="22">
        <v>698544</v>
      </c>
      <c r="CY91" s="22">
        <v>700945</v>
      </c>
      <c r="CZ91" s="22">
        <v>699301</v>
      </c>
      <c r="DA91" s="22">
        <v>891833</v>
      </c>
      <c r="DB91" s="22">
        <v>927242</v>
      </c>
      <c r="DC91" s="22">
        <v>920740</v>
      </c>
      <c r="DD91" s="22">
        <v>1106322</v>
      </c>
      <c r="DE91" s="22">
        <v>1202864</v>
      </c>
      <c r="DF91" s="22">
        <v>1217573</v>
      </c>
      <c r="DG91" s="22">
        <v>1273888</v>
      </c>
      <c r="DH91" s="22">
        <v>1317678</v>
      </c>
      <c r="DI91" s="22">
        <v>1228487</v>
      </c>
      <c r="DJ91" s="25">
        <v>1035267</v>
      </c>
      <c r="DK91" s="25">
        <v>918542</v>
      </c>
      <c r="DL91" s="25">
        <v>738723</v>
      </c>
      <c r="DM91" s="25">
        <v>883599</v>
      </c>
      <c r="DN91" s="25">
        <v>989851</v>
      </c>
      <c r="DO91" s="25">
        <v>1109098</v>
      </c>
      <c r="DP91" s="25">
        <v>1696172</v>
      </c>
      <c r="DQ91" s="25">
        <v>1892594</v>
      </c>
      <c r="DR91" s="25">
        <v>2540242</v>
      </c>
      <c r="DS91" s="25">
        <v>2723259</v>
      </c>
      <c r="DT91" s="25">
        <v>3073255</v>
      </c>
      <c r="DU91" s="25">
        <v>3501343</v>
      </c>
      <c r="DV91" s="25">
        <v>3669380</v>
      </c>
      <c r="DW91" s="25">
        <v>3676155</v>
      </c>
      <c r="DX91" s="25">
        <v>3991952</v>
      </c>
      <c r="DY91" s="25">
        <v>4301906</v>
      </c>
      <c r="DZ91" s="25">
        <v>4456949</v>
      </c>
      <c r="EA91" s="25">
        <v>4524132</v>
      </c>
      <c r="EB91" s="25">
        <v>4371836</v>
      </c>
      <c r="EC91" s="25">
        <v>4228695</v>
      </c>
      <c r="ED91" s="25">
        <v>4627306</v>
      </c>
      <c r="EE91" s="25">
        <v>4610904</v>
      </c>
      <c r="EF91" s="25">
        <v>4872281</v>
      </c>
      <c r="EG91" s="25">
        <v>5266572</v>
      </c>
      <c r="EH91" s="25">
        <v>5261264</v>
      </c>
      <c r="EI91" s="25">
        <v>5295138</v>
      </c>
      <c r="EJ91" s="25">
        <f t="shared" si="7"/>
        <v>83529</v>
      </c>
      <c r="EK91" s="25">
        <v>5378667</v>
      </c>
      <c r="EL91" s="25">
        <f t="shared" si="8"/>
        <v>133025</v>
      </c>
      <c r="EM91" s="25">
        <v>5511692</v>
      </c>
      <c r="EN91" s="25">
        <f t="shared" si="9"/>
        <v>314121</v>
      </c>
      <c r="EO91" s="25">
        <v>5825813</v>
      </c>
      <c r="EP91" s="25">
        <f t="shared" si="10"/>
        <v>384611</v>
      </c>
      <c r="EQ91" s="25">
        <v>6210424</v>
      </c>
      <c r="ER91" s="25">
        <f t="shared" si="11"/>
        <v>244082</v>
      </c>
      <c r="ES91" s="25">
        <v>6454506</v>
      </c>
      <c r="ET91" s="25">
        <f t="shared" si="12"/>
        <v>593951</v>
      </c>
      <c r="EU91" s="25">
        <v>7048457</v>
      </c>
      <c r="EV91" s="25">
        <f t="shared" si="13"/>
        <v>1651932</v>
      </c>
      <c r="EW91" s="25">
        <v>8700389</v>
      </c>
      <c r="EX91" s="25">
        <v>8413243</v>
      </c>
      <c r="EY91" s="25">
        <v>7629375</v>
      </c>
      <c r="EZ91" s="25">
        <v>7349788</v>
      </c>
      <c r="FA91" s="25">
        <v>7186210</v>
      </c>
      <c r="FB91" s="25">
        <v>7148811</v>
      </c>
      <c r="FC91" s="25">
        <v>7369725</v>
      </c>
      <c r="FD91" s="25">
        <v>7820223</v>
      </c>
      <c r="FE91" s="25">
        <v>7880574</v>
      </c>
      <c r="FF91" s="25">
        <v>8415224</v>
      </c>
      <c r="FG91" s="25">
        <v>8243025</v>
      </c>
      <c r="FH91" s="25">
        <v>8038010</v>
      </c>
      <c r="FI91" s="25">
        <v>7657326</v>
      </c>
      <c r="FJ91" s="25">
        <v>7347602</v>
      </c>
    </row>
    <row r="92" spans="1:166" x14ac:dyDescent="0.4">
      <c r="A92" s="33" t="s">
        <v>13</v>
      </c>
      <c r="B92" s="22">
        <v>0</v>
      </c>
      <c r="C92" s="22">
        <v>0</v>
      </c>
      <c r="D92" s="22">
        <v>0</v>
      </c>
      <c r="E92" s="22">
        <v>0</v>
      </c>
      <c r="F92" s="22">
        <v>0</v>
      </c>
      <c r="G92" s="22">
        <v>0</v>
      </c>
      <c r="H92" s="22">
        <v>0</v>
      </c>
      <c r="I92" s="22">
        <v>0</v>
      </c>
      <c r="J92" s="22">
        <v>0</v>
      </c>
      <c r="K92" s="22">
        <v>0</v>
      </c>
      <c r="L92" s="22">
        <v>0</v>
      </c>
      <c r="M92" s="22">
        <v>0</v>
      </c>
      <c r="N92" s="22">
        <v>0</v>
      </c>
      <c r="O92" s="22">
        <v>0</v>
      </c>
      <c r="P92" s="22">
        <v>0</v>
      </c>
      <c r="Q92" s="22">
        <v>0</v>
      </c>
      <c r="R92" s="22">
        <v>0</v>
      </c>
      <c r="S92" s="22">
        <v>0</v>
      </c>
      <c r="T92" s="22">
        <v>0</v>
      </c>
      <c r="U92" s="22">
        <v>0</v>
      </c>
      <c r="V92" s="22">
        <v>0</v>
      </c>
      <c r="W92" s="22">
        <v>0</v>
      </c>
      <c r="X92" s="22">
        <v>0</v>
      </c>
      <c r="Y92" s="22">
        <v>0</v>
      </c>
      <c r="Z92" s="22">
        <v>0</v>
      </c>
      <c r="AA92" s="22">
        <v>0</v>
      </c>
      <c r="AB92" s="22">
        <v>0</v>
      </c>
      <c r="AC92" s="22">
        <v>0</v>
      </c>
      <c r="AD92" s="22">
        <v>0</v>
      </c>
      <c r="AE92" s="22">
        <v>0</v>
      </c>
      <c r="AF92" s="22">
        <v>0</v>
      </c>
      <c r="AG92" s="22">
        <v>0</v>
      </c>
      <c r="AH92" s="22">
        <v>0</v>
      </c>
      <c r="AI92" s="22">
        <v>0</v>
      </c>
      <c r="AJ92" s="22">
        <v>0</v>
      </c>
      <c r="AK92" s="22">
        <v>0</v>
      </c>
      <c r="AL92" s="22">
        <v>0</v>
      </c>
      <c r="AM92" s="22">
        <v>0</v>
      </c>
      <c r="AN92" s="22">
        <v>0</v>
      </c>
      <c r="AO92" s="22">
        <v>0</v>
      </c>
      <c r="AP92" s="22">
        <v>0</v>
      </c>
      <c r="AQ92" s="22">
        <v>0</v>
      </c>
      <c r="AR92" s="22">
        <v>10</v>
      </c>
      <c r="AS92" s="22">
        <v>10</v>
      </c>
      <c r="AT92" s="22">
        <v>334</v>
      </c>
      <c r="AU92" s="22">
        <v>316</v>
      </c>
      <c r="AV92" s="22">
        <v>315</v>
      </c>
      <c r="AW92" s="22">
        <v>325</v>
      </c>
      <c r="AX92" s="22">
        <v>0</v>
      </c>
      <c r="AY92" s="22">
        <v>0</v>
      </c>
      <c r="AZ92" s="22">
        <v>0</v>
      </c>
      <c r="BA92" s="22">
        <v>0</v>
      </c>
      <c r="BB92" s="22">
        <v>0</v>
      </c>
      <c r="BC92" s="22">
        <v>0</v>
      </c>
      <c r="BD92" s="22">
        <v>0</v>
      </c>
      <c r="BE92" s="22">
        <v>0</v>
      </c>
      <c r="BF92" s="22">
        <v>0</v>
      </c>
      <c r="BG92" s="22">
        <v>0</v>
      </c>
      <c r="BH92" s="22">
        <v>0</v>
      </c>
      <c r="BI92" s="22">
        <v>0</v>
      </c>
      <c r="BJ92" s="22">
        <v>0</v>
      </c>
      <c r="BK92" s="22">
        <v>0</v>
      </c>
      <c r="BL92" s="22">
        <v>0</v>
      </c>
      <c r="BM92" s="22">
        <v>0</v>
      </c>
      <c r="BN92" s="22">
        <v>0</v>
      </c>
      <c r="BO92" s="22">
        <v>0</v>
      </c>
      <c r="BP92" s="22">
        <v>0</v>
      </c>
      <c r="BQ92" s="22">
        <v>0</v>
      </c>
      <c r="BR92" s="22">
        <v>0</v>
      </c>
      <c r="BS92" s="22">
        <v>0</v>
      </c>
      <c r="BT92" s="22">
        <v>0</v>
      </c>
      <c r="BU92" s="22">
        <v>0</v>
      </c>
      <c r="BV92" s="22">
        <v>0</v>
      </c>
      <c r="BW92" s="22">
        <v>0</v>
      </c>
      <c r="BX92" s="22">
        <v>0</v>
      </c>
      <c r="BY92" s="22">
        <v>0</v>
      </c>
      <c r="BZ92" s="22">
        <v>0</v>
      </c>
      <c r="CA92" s="22">
        <v>0</v>
      </c>
      <c r="CB92" s="22">
        <v>0</v>
      </c>
      <c r="CC92" s="22">
        <v>0</v>
      </c>
      <c r="CD92" s="22">
        <v>0</v>
      </c>
      <c r="CE92" s="22">
        <v>0</v>
      </c>
      <c r="CF92" s="22">
        <v>0</v>
      </c>
      <c r="CG92" s="22">
        <v>0</v>
      </c>
      <c r="CH92" s="22">
        <v>0</v>
      </c>
      <c r="CI92" s="22">
        <v>0</v>
      </c>
      <c r="CJ92" s="22">
        <v>0</v>
      </c>
      <c r="CK92" s="22">
        <v>0</v>
      </c>
      <c r="CL92" s="22">
        <v>0</v>
      </c>
      <c r="CM92" s="22">
        <v>0</v>
      </c>
      <c r="CN92" s="22">
        <v>0</v>
      </c>
      <c r="CO92" s="22">
        <v>0</v>
      </c>
      <c r="CP92" s="22">
        <v>0</v>
      </c>
      <c r="CQ92" s="22">
        <v>0</v>
      </c>
      <c r="CR92" s="22">
        <v>0</v>
      </c>
      <c r="CS92" s="22">
        <v>0</v>
      </c>
      <c r="CT92" s="22">
        <v>0</v>
      </c>
      <c r="CU92" s="22">
        <v>0</v>
      </c>
      <c r="CV92" s="22">
        <v>0</v>
      </c>
      <c r="CW92" s="22">
        <v>0</v>
      </c>
      <c r="CX92" s="22">
        <v>0</v>
      </c>
      <c r="CY92" s="22">
        <v>0</v>
      </c>
      <c r="CZ92" s="22">
        <v>0</v>
      </c>
      <c r="DA92" s="22">
        <v>0</v>
      </c>
      <c r="DB92" s="22">
        <v>0</v>
      </c>
      <c r="DC92" s="22">
        <v>0</v>
      </c>
      <c r="DD92" s="22">
        <v>6284</v>
      </c>
      <c r="DE92" s="22">
        <v>6689</v>
      </c>
      <c r="DF92" s="22">
        <v>6636</v>
      </c>
      <c r="DG92" s="22">
        <v>6960</v>
      </c>
      <c r="DH92" s="22">
        <v>7481</v>
      </c>
      <c r="DI92" s="22">
        <v>7539</v>
      </c>
      <c r="DJ92" s="25">
        <v>6375</v>
      </c>
      <c r="DK92" s="25">
        <v>5671</v>
      </c>
      <c r="DL92" s="25">
        <v>4604</v>
      </c>
      <c r="DM92" s="25">
        <v>5524</v>
      </c>
      <c r="DN92" s="25">
        <v>5446</v>
      </c>
      <c r="DO92" s="25">
        <v>5186</v>
      </c>
      <c r="DP92" s="25">
        <v>34656</v>
      </c>
      <c r="DQ92" s="25">
        <v>34528</v>
      </c>
      <c r="DR92" s="25">
        <v>66500</v>
      </c>
      <c r="DS92" s="25">
        <v>66062</v>
      </c>
      <c r="DT92" s="25">
        <v>71895</v>
      </c>
      <c r="DU92" s="25">
        <v>73801</v>
      </c>
      <c r="DV92" s="25">
        <v>71</v>
      </c>
      <c r="DW92" s="25">
        <v>2151</v>
      </c>
      <c r="DX92" s="25">
        <v>2375</v>
      </c>
      <c r="DY92" s="25">
        <v>3397</v>
      </c>
      <c r="DZ92" s="25">
        <v>4416</v>
      </c>
      <c r="EA92" s="25">
        <v>4938</v>
      </c>
      <c r="EB92" s="25">
        <v>5160</v>
      </c>
      <c r="EC92" s="25">
        <v>27372</v>
      </c>
      <c r="ED92" s="25">
        <v>58511</v>
      </c>
      <c r="EE92" s="25">
        <v>82723</v>
      </c>
      <c r="EF92" s="25">
        <v>86237</v>
      </c>
      <c r="EG92" s="25">
        <v>91102</v>
      </c>
      <c r="EH92" s="25">
        <v>104787</v>
      </c>
      <c r="EI92" s="25">
        <v>98910</v>
      </c>
      <c r="EJ92" s="25">
        <f t="shared" si="7"/>
        <v>2951</v>
      </c>
      <c r="EK92" s="25">
        <v>101861</v>
      </c>
      <c r="EL92" s="25">
        <f t="shared" si="8"/>
        <v>1525</v>
      </c>
      <c r="EM92" s="25">
        <v>103386</v>
      </c>
      <c r="EN92" s="25">
        <f t="shared" si="9"/>
        <v>6683</v>
      </c>
      <c r="EO92" s="25">
        <v>110069</v>
      </c>
      <c r="EP92" s="25">
        <f t="shared" si="10"/>
        <v>-35446</v>
      </c>
      <c r="EQ92" s="25">
        <v>74623</v>
      </c>
      <c r="ER92" s="25">
        <f t="shared" si="11"/>
        <v>-51657</v>
      </c>
      <c r="ES92" s="25">
        <v>22966</v>
      </c>
      <c r="ET92" s="25">
        <f t="shared" si="12"/>
        <v>1072</v>
      </c>
      <c r="EU92" s="25">
        <v>24038</v>
      </c>
      <c r="EV92" s="25">
        <f t="shared" si="13"/>
        <v>-1670</v>
      </c>
      <c r="EW92" s="25">
        <v>22368</v>
      </c>
      <c r="EX92" s="25">
        <v>6455</v>
      </c>
      <c r="EY92" s="25">
        <v>12168</v>
      </c>
      <c r="EZ92" s="25">
        <v>36346</v>
      </c>
      <c r="FA92" s="25">
        <v>62740</v>
      </c>
      <c r="FB92" s="25">
        <v>59411</v>
      </c>
      <c r="FC92" s="25">
        <v>58169</v>
      </c>
      <c r="FD92" s="25">
        <v>111673</v>
      </c>
      <c r="FE92" s="25">
        <v>110392</v>
      </c>
      <c r="FF92" s="25">
        <v>113687</v>
      </c>
      <c r="FG92" s="25">
        <v>110650</v>
      </c>
      <c r="FH92" s="25">
        <v>107852</v>
      </c>
      <c r="FI92" s="25">
        <v>108475</v>
      </c>
      <c r="FJ92" s="25">
        <v>105514</v>
      </c>
    </row>
    <row r="93" spans="1:166" x14ac:dyDescent="0.4">
      <c r="A93" s="33" t="s">
        <v>14</v>
      </c>
      <c r="B93" s="22">
        <v>44334</v>
      </c>
      <c r="C93" s="22">
        <v>43830</v>
      </c>
      <c r="D93" s="22">
        <v>44695</v>
      </c>
      <c r="E93" s="22">
        <v>45244</v>
      </c>
      <c r="F93" s="22">
        <v>45623</v>
      </c>
      <c r="G93" s="22">
        <v>46110</v>
      </c>
      <c r="H93" s="22">
        <v>47989</v>
      </c>
      <c r="I93" s="22">
        <v>61164</v>
      </c>
      <c r="J93" s="22">
        <v>61700</v>
      </c>
      <c r="K93" s="22">
        <v>60151</v>
      </c>
      <c r="L93" s="22">
        <v>59623</v>
      </c>
      <c r="M93" s="22">
        <v>61616</v>
      </c>
      <c r="N93" s="22">
        <v>60865</v>
      </c>
      <c r="O93" s="22">
        <v>65543</v>
      </c>
      <c r="P93" s="22">
        <v>67041</v>
      </c>
      <c r="Q93" s="22">
        <v>80641</v>
      </c>
      <c r="R93" s="22">
        <v>80666</v>
      </c>
      <c r="S93" s="22">
        <v>95617</v>
      </c>
      <c r="T93" s="22">
        <v>92809</v>
      </c>
      <c r="U93" s="22">
        <v>98595</v>
      </c>
      <c r="V93" s="22">
        <v>100190</v>
      </c>
      <c r="W93" s="22">
        <v>108694</v>
      </c>
      <c r="X93" s="22">
        <v>119753</v>
      </c>
      <c r="Y93" s="22">
        <v>131533</v>
      </c>
      <c r="Z93" s="22">
        <v>155254</v>
      </c>
      <c r="AA93" s="22">
        <v>189672</v>
      </c>
      <c r="AB93" s="22">
        <v>137186</v>
      </c>
      <c r="AC93" s="22">
        <v>132109</v>
      </c>
      <c r="AD93" s="22">
        <v>116831</v>
      </c>
      <c r="AE93" s="22">
        <v>120614</v>
      </c>
      <c r="AF93" s="22">
        <v>128072</v>
      </c>
      <c r="AG93" s="22">
        <v>145097</v>
      </c>
      <c r="AH93" s="22">
        <v>163513</v>
      </c>
      <c r="AI93" s="22">
        <v>162920</v>
      </c>
      <c r="AJ93" s="22">
        <v>157833</v>
      </c>
      <c r="AK93" s="22">
        <v>162926</v>
      </c>
      <c r="AL93" s="22">
        <v>306811</v>
      </c>
      <c r="AM93" s="22">
        <v>325690</v>
      </c>
      <c r="AN93" s="22">
        <v>316104</v>
      </c>
      <c r="AO93" s="22">
        <v>366209</v>
      </c>
      <c r="AP93" s="22">
        <v>429103</v>
      </c>
      <c r="AQ93" s="22">
        <v>435677</v>
      </c>
      <c r="AR93" s="22">
        <v>423681</v>
      </c>
      <c r="AS93" s="22">
        <v>475579</v>
      </c>
      <c r="AT93" s="22">
        <v>466909</v>
      </c>
      <c r="AU93" s="22">
        <v>504854</v>
      </c>
      <c r="AV93" s="22">
        <v>502820</v>
      </c>
      <c r="AW93" s="22">
        <v>519136</v>
      </c>
      <c r="AX93" s="22">
        <v>493959</v>
      </c>
      <c r="AY93" s="22">
        <v>489927</v>
      </c>
      <c r="AZ93" s="22">
        <v>491219</v>
      </c>
      <c r="BA93" s="22">
        <v>477999</v>
      </c>
      <c r="BB93" s="22">
        <v>483025</v>
      </c>
      <c r="BC93" s="22">
        <v>459396</v>
      </c>
      <c r="BD93" s="22">
        <v>489139</v>
      </c>
      <c r="BE93" s="22">
        <v>493945</v>
      </c>
      <c r="BF93" s="22">
        <v>497185</v>
      </c>
      <c r="BG93" s="22">
        <v>494602</v>
      </c>
      <c r="BH93" s="22">
        <v>478339</v>
      </c>
      <c r="BI93" s="22">
        <v>483666</v>
      </c>
      <c r="BJ93" s="22">
        <v>477616</v>
      </c>
      <c r="BK93" s="22">
        <v>466808</v>
      </c>
      <c r="BL93" s="22">
        <v>461667</v>
      </c>
      <c r="BM93" s="22">
        <v>489194</v>
      </c>
      <c r="BN93" s="22">
        <v>539042</v>
      </c>
      <c r="BO93" s="22">
        <v>544139</v>
      </c>
      <c r="BP93" s="22">
        <v>534373</v>
      </c>
      <c r="BQ93" s="22">
        <v>530077</v>
      </c>
      <c r="BR93" s="22">
        <v>575390</v>
      </c>
      <c r="BS93" s="22">
        <v>556297</v>
      </c>
      <c r="BT93" s="22">
        <v>555735</v>
      </c>
      <c r="BU93" s="22">
        <v>563004</v>
      </c>
      <c r="BV93" s="22">
        <v>590449</v>
      </c>
      <c r="BW93" s="22">
        <v>561790</v>
      </c>
      <c r="BX93" s="22">
        <v>559818</v>
      </c>
      <c r="BY93" s="22">
        <v>500721</v>
      </c>
      <c r="BZ93" s="22">
        <v>499656</v>
      </c>
      <c r="CA93" s="22">
        <v>503065</v>
      </c>
      <c r="CB93" s="22">
        <v>487766</v>
      </c>
      <c r="CC93" s="22">
        <v>490081</v>
      </c>
      <c r="CD93" s="22">
        <v>513612</v>
      </c>
      <c r="CE93" s="22">
        <v>497472</v>
      </c>
      <c r="CF93" s="22">
        <v>494396</v>
      </c>
      <c r="CG93" s="22">
        <v>495650</v>
      </c>
      <c r="CH93" s="22">
        <v>489103</v>
      </c>
      <c r="CI93" s="22">
        <v>497830</v>
      </c>
      <c r="CJ93" s="22">
        <v>522501</v>
      </c>
      <c r="CK93" s="22">
        <v>619820</v>
      </c>
      <c r="CL93" s="22">
        <v>588574</v>
      </c>
      <c r="CM93" s="22">
        <v>540747</v>
      </c>
      <c r="CN93" s="22">
        <v>532515</v>
      </c>
      <c r="CO93" s="22">
        <v>577479</v>
      </c>
      <c r="CP93" s="22">
        <v>586141</v>
      </c>
      <c r="CQ93" s="22">
        <v>625962</v>
      </c>
      <c r="CR93" s="22">
        <v>624420</v>
      </c>
      <c r="CS93" s="22">
        <v>598098</v>
      </c>
      <c r="CT93" s="22">
        <v>606489</v>
      </c>
      <c r="CU93" s="22">
        <v>625139</v>
      </c>
      <c r="CV93" s="22">
        <v>603332</v>
      </c>
      <c r="CW93" s="22">
        <v>708399</v>
      </c>
      <c r="CX93" s="22">
        <v>698544</v>
      </c>
      <c r="CY93" s="22">
        <v>700945</v>
      </c>
      <c r="CZ93" s="22">
        <v>699301</v>
      </c>
      <c r="DA93" s="22">
        <v>891833</v>
      </c>
      <c r="DB93" s="22">
        <v>927242</v>
      </c>
      <c r="DC93" s="22">
        <v>920740</v>
      </c>
      <c r="DD93" s="22">
        <v>1100038</v>
      </c>
      <c r="DE93" s="22">
        <v>1196175</v>
      </c>
      <c r="DF93" s="22">
        <v>1210937</v>
      </c>
      <c r="DG93" s="22">
        <v>1266928</v>
      </c>
      <c r="DH93" s="22">
        <v>1310197</v>
      </c>
      <c r="DI93" s="22">
        <v>1220948</v>
      </c>
      <c r="DJ93" s="25">
        <v>1028892</v>
      </c>
      <c r="DK93" s="25">
        <v>912871</v>
      </c>
      <c r="DL93" s="25">
        <v>734119</v>
      </c>
      <c r="DM93" s="25">
        <v>878075</v>
      </c>
      <c r="DN93" s="25">
        <v>984405</v>
      </c>
      <c r="DO93" s="25">
        <v>1103912</v>
      </c>
      <c r="DP93" s="25">
        <v>1661516</v>
      </c>
      <c r="DQ93" s="25">
        <v>1858067</v>
      </c>
      <c r="DR93" s="25">
        <v>2473742</v>
      </c>
      <c r="DS93" s="25">
        <v>2657197</v>
      </c>
      <c r="DT93" s="25">
        <v>3001360</v>
      </c>
      <c r="DU93" s="25">
        <v>3427542</v>
      </c>
      <c r="DV93" s="25">
        <v>3669309</v>
      </c>
      <c r="DW93" s="25">
        <v>3674003</v>
      </c>
      <c r="DX93" s="25">
        <v>3989577</v>
      </c>
      <c r="DY93" s="25">
        <v>4298509</v>
      </c>
      <c r="DZ93" s="25">
        <v>4452533</v>
      </c>
      <c r="EA93" s="25">
        <v>4519194</v>
      </c>
      <c r="EB93" s="25">
        <v>4366676</v>
      </c>
      <c r="EC93" s="25">
        <v>4201324</v>
      </c>
      <c r="ED93" s="25">
        <v>4568795</v>
      </c>
      <c r="EE93" s="25">
        <v>4528181</v>
      </c>
      <c r="EF93" s="25">
        <v>4786044</v>
      </c>
      <c r="EG93" s="25">
        <v>5175470</v>
      </c>
      <c r="EH93" s="25">
        <v>5156477</v>
      </c>
      <c r="EI93" s="25">
        <v>5196228</v>
      </c>
      <c r="EJ93" s="25">
        <f t="shared" si="7"/>
        <v>80578</v>
      </c>
      <c r="EK93" s="25">
        <v>5276806</v>
      </c>
      <c r="EL93" s="25">
        <f t="shared" si="8"/>
        <v>131500</v>
      </c>
      <c r="EM93" s="25">
        <v>5408306</v>
      </c>
      <c r="EN93" s="25">
        <f t="shared" si="9"/>
        <v>307438</v>
      </c>
      <c r="EO93" s="25">
        <v>5715744</v>
      </c>
      <c r="EP93" s="25">
        <f t="shared" si="10"/>
        <v>420057</v>
      </c>
      <c r="EQ93" s="25">
        <v>6135801</v>
      </c>
      <c r="ER93" s="25">
        <f t="shared" si="11"/>
        <v>295739</v>
      </c>
      <c r="ES93" s="25">
        <v>6431540</v>
      </c>
      <c r="ET93" s="25">
        <f t="shared" si="12"/>
        <v>592879</v>
      </c>
      <c r="EU93" s="25">
        <v>7024419</v>
      </c>
      <c r="EV93" s="25">
        <f t="shared" si="13"/>
        <v>1653603</v>
      </c>
      <c r="EW93" s="25">
        <v>8678022</v>
      </c>
      <c r="EX93" s="25">
        <v>8406787</v>
      </c>
      <c r="EY93" s="25">
        <v>7617207</v>
      </c>
      <c r="EZ93" s="25">
        <v>7313442</v>
      </c>
      <c r="FA93" s="25">
        <v>7123470</v>
      </c>
      <c r="FB93" s="25">
        <v>7089400</v>
      </c>
      <c r="FC93" s="25">
        <v>7311556</v>
      </c>
      <c r="FD93" s="25">
        <v>7708551</v>
      </c>
      <c r="FE93" s="25">
        <v>7770182</v>
      </c>
      <c r="FF93" s="25">
        <v>8301537</v>
      </c>
      <c r="FG93" s="25">
        <v>8132375</v>
      </c>
      <c r="FH93" s="25">
        <v>7930158</v>
      </c>
      <c r="FI93" s="25">
        <v>7548851</v>
      </c>
      <c r="FJ93" s="25">
        <v>7242087</v>
      </c>
    </row>
    <row r="94" spans="1:166" x14ac:dyDescent="0.4">
      <c r="A94" s="33" t="s">
        <v>27</v>
      </c>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v>0</v>
      </c>
      <c r="BW94" s="22">
        <v>0</v>
      </c>
      <c r="BX94" s="22">
        <v>52606</v>
      </c>
      <c r="BY94" s="22">
        <v>0</v>
      </c>
      <c r="BZ94" s="22">
        <v>0</v>
      </c>
      <c r="CA94" s="22">
        <v>23399</v>
      </c>
      <c r="CB94" s="22">
        <v>22686</v>
      </c>
      <c r="CC94" s="22">
        <v>22795</v>
      </c>
      <c r="CD94" s="22">
        <v>23971</v>
      </c>
      <c r="CE94" s="22">
        <v>23224</v>
      </c>
      <c r="CF94" s="22">
        <v>23028</v>
      </c>
      <c r="CG94" s="22">
        <v>23110</v>
      </c>
      <c r="CH94" s="22">
        <v>22319</v>
      </c>
      <c r="CI94" s="22">
        <v>22726</v>
      </c>
      <c r="CJ94" s="22">
        <v>23654</v>
      </c>
      <c r="CK94" s="22">
        <v>28025</v>
      </c>
      <c r="CL94" s="22">
        <v>26568</v>
      </c>
      <c r="CM94" s="22">
        <v>63</v>
      </c>
      <c r="CN94" s="22">
        <v>63</v>
      </c>
      <c r="CO94" s="22">
        <v>44179</v>
      </c>
      <c r="CP94" s="22">
        <v>45065</v>
      </c>
      <c r="CQ94" s="22">
        <v>48942</v>
      </c>
      <c r="CR94" s="22">
        <v>49877</v>
      </c>
      <c r="CS94" s="22">
        <v>47877</v>
      </c>
      <c r="CT94" s="22">
        <v>46810</v>
      </c>
      <c r="CU94" s="22">
        <v>47346</v>
      </c>
      <c r="CV94" s="22">
        <v>45828</v>
      </c>
      <c r="CW94" s="22">
        <v>47406</v>
      </c>
      <c r="CX94" s="22">
        <v>46759</v>
      </c>
      <c r="CY94" s="22">
        <v>46443</v>
      </c>
      <c r="CZ94" s="22">
        <v>45851</v>
      </c>
      <c r="DA94" s="22">
        <v>1464</v>
      </c>
      <c r="DB94" s="22">
        <v>1473</v>
      </c>
      <c r="DC94" s="22">
        <v>874</v>
      </c>
      <c r="DD94" s="22">
        <v>1205</v>
      </c>
      <c r="DE94" s="22">
        <v>4255</v>
      </c>
      <c r="DF94" s="22">
        <v>45171</v>
      </c>
      <c r="DG94" s="22">
        <v>49776</v>
      </c>
      <c r="DH94" s="22">
        <v>53609</v>
      </c>
      <c r="DI94" s="22">
        <v>54136</v>
      </c>
      <c r="DJ94" s="25">
        <v>45743</v>
      </c>
      <c r="DK94" s="25">
        <v>40739</v>
      </c>
      <c r="DL94" s="25">
        <v>32576</v>
      </c>
      <c r="DM94" s="25">
        <v>39098</v>
      </c>
      <c r="DN94" s="25">
        <v>38603</v>
      </c>
      <c r="DO94" s="25">
        <v>36797</v>
      </c>
      <c r="DP94" s="25">
        <v>46060</v>
      </c>
      <c r="DQ94" s="25">
        <v>80743</v>
      </c>
      <c r="DR94" s="25">
        <v>44174</v>
      </c>
      <c r="DS94" s="25">
        <v>75048</v>
      </c>
      <c r="DT94" s="25">
        <v>80357</v>
      </c>
      <c r="DU94" s="25">
        <v>84506</v>
      </c>
      <c r="DV94" s="25">
        <v>130721</v>
      </c>
      <c r="DW94" s="25">
        <v>141165</v>
      </c>
      <c r="DX94" s="25">
        <v>183597</v>
      </c>
      <c r="DY94" s="25">
        <v>194066</v>
      </c>
      <c r="DZ94" s="25">
        <v>206457</v>
      </c>
      <c r="EA94" s="25">
        <v>223720</v>
      </c>
      <c r="EB94" s="25">
        <v>232088</v>
      </c>
      <c r="EC94" s="25">
        <v>217892</v>
      </c>
      <c r="ED94" s="25">
        <v>253756</v>
      </c>
      <c r="EE94" s="25">
        <v>218040</v>
      </c>
      <c r="EF94" s="25">
        <v>222884</v>
      </c>
      <c r="EG94" s="25">
        <v>375270</v>
      </c>
      <c r="EH94" s="25">
        <v>497267</v>
      </c>
      <c r="EI94" s="25">
        <v>488515</v>
      </c>
      <c r="EJ94" s="25">
        <f t="shared" si="7"/>
        <v>-55321</v>
      </c>
      <c r="EK94" s="25">
        <v>433194</v>
      </c>
      <c r="EL94" s="25">
        <f t="shared" si="8"/>
        <v>51657</v>
      </c>
      <c r="EM94" s="25">
        <v>484851</v>
      </c>
      <c r="EN94" s="25">
        <f t="shared" si="9"/>
        <v>21530</v>
      </c>
      <c r="EO94" s="25">
        <v>506381</v>
      </c>
      <c r="EP94" s="25">
        <f t="shared" si="10"/>
        <v>54158</v>
      </c>
      <c r="EQ94" s="25">
        <v>560539</v>
      </c>
      <c r="ER94" s="25">
        <f t="shared" si="11"/>
        <v>23212</v>
      </c>
      <c r="ES94" s="25">
        <v>583751</v>
      </c>
      <c r="ET94" s="25">
        <f t="shared" si="12"/>
        <v>496130</v>
      </c>
      <c r="EU94" s="25">
        <v>1079881</v>
      </c>
      <c r="EV94" s="25">
        <f t="shared" si="13"/>
        <v>165469</v>
      </c>
      <c r="EW94" s="25">
        <v>1245350</v>
      </c>
      <c r="EX94" s="25">
        <v>1235106</v>
      </c>
      <c r="EY94" s="25">
        <v>1340621</v>
      </c>
      <c r="EZ94" s="25">
        <v>1256451</v>
      </c>
      <c r="FA94" s="25">
        <v>1109125</v>
      </c>
      <c r="FB94" s="25">
        <v>1295337</v>
      </c>
      <c r="FC94" s="25">
        <v>1373859</v>
      </c>
      <c r="FD94" s="25">
        <v>1439356</v>
      </c>
      <c r="FE94" s="25">
        <v>1441327</v>
      </c>
      <c r="FF94" s="25">
        <v>1509620</v>
      </c>
      <c r="FG94" s="25">
        <v>1512039</v>
      </c>
      <c r="FH94" s="25">
        <v>1159662</v>
      </c>
      <c r="FI94" s="25">
        <v>916135</v>
      </c>
      <c r="FJ94" s="25">
        <v>821452</v>
      </c>
    </row>
    <row r="95" spans="1:166" x14ac:dyDescent="0.4">
      <c r="A95" s="33" t="s">
        <v>30</v>
      </c>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v>590449</v>
      </c>
      <c r="BW95" s="22">
        <v>561790</v>
      </c>
      <c r="BX95" s="22">
        <v>507212</v>
      </c>
      <c r="BY95" s="22">
        <v>500721</v>
      </c>
      <c r="BZ95" s="22">
        <v>499656</v>
      </c>
      <c r="CA95" s="22">
        <v>479666</v>
      </c>
      <c r="CB95" s="22">
        <v>465080</v>
      </c>
      <c r="CC95" s="22">
        <v>467287</v>
      </c>
      <c r="CD95" s="22">
        <v>489641</v>
      </c>
      <c r="CE95" s="22">
        <v>474248</v>
      </c>
      <c r="CF95" s="22">
        <v>471368</v>
      </c>
      <c r="CG95" s="22">
        <v>472540</v>
      </c>
      <c r="CH95" s="22">
        <v>466785</v>
      </c>
      <c r="CI95" s="22">
        <v>475104</v>
      </c>
      <c r="CJ95" s="22">
        <v>498847</v>
      </c>
      <c r="CK95" s="22">
        <v>591794</v>
      </c>
      <c r="CL95" s="22">
        <v>562006</v>
      </c>
      <c r="CM95" s="22">
        <v>540684</v>
      </c>
      <c r="CN95" s="22">
        <v>532452</v>
      </c>
      <c r="CO95" s="22">
        <v>533301</v>
      </c>
      <c r="CP95" s="22">
        <v>541076</v>
      </c>
      <c r="CQ95" s="22">
        <v>577019</v>
      </c>
      <c r="CR95" s="22">
        <v>574543</v>
      </c>
      <c r="CS95" s="22">
        <v>550220</v>
      </c>
      <c r="CT95" s="22">
        <v>559679</v>
      </c>
      <c r="CU95" s="22">
        <v>577793</v>
      </c>
      <c r="CV95" s="22">
        <v>557505</v>
      </c>
      <c r="CW95" s="22">
        <v>660993</v>
      </c>
      <c r="CX95" s="22">
        <v>651785</v>
      </c>
      <c r="CY95" s="22">
        <v>654502</v>
      </c>
      <c r="CZ95" s="22">
        <v>653450</v>
      </c>
      <c r="DA95" s="22">
        <v>890369</v>
      </c>
      <c r="DB95" s="22">
        <v>925769</v>
      </c>
      <c r="DC95" s="22">
        <v>919866</v>
      </c>
      <c r="DD95" s="22">
        <v>1098833</v>
      </c>
      <c r="DE95" s="22">
        <v>1191920</v>
      </c>
      <c r="DF95" s="22">
        <v>1165766</v>
      </c>
      <c r="DG95" s="22">
        <v>1217153</v>
      </c>
      <c r="DH95" s="22">
        <v>1256589</v>
      </c>
      <c r="DI95" s="22">
        <v>1166813</v>
      </c>
      <c r="DJ95" s="25">
        <v>983149</v>
      </c>
      <c r="DK95" s="25">
        <v>872132</v>
      </c>
      <c r="DL95" s="25">
        <v>701544</v>
      </c>
      <c r="DM95" s="25">
        <v>838977</v>
      </c>
      <c r="DN95" s="25">
        <v>945802</v>
      </c>
      <c r="DO95" s="25">
        <v>1067115</v>
      </c>
      <c r="DP95" s="25">
        <v>1615456</v>
      </c>
      <c r="DQ95" s="25">
        <v>1777324</v>
      </c>
      <c r="DR95" s="25">
        <v>2429568</v>
      </c>
      <c r="DS95" s="25">
        <v>2582149</v>
      </c>
      <c r="DT95" s="25">
        <v>2921003</v>
      </c>
      <c r="DU95" s="25">
        <v>3343036</v>
      </c>
      <c r="DV95" s="25">
        <v>3538588</v>
      </c>
      <c r="DW95" s="25">
        <v>3532838</v>
      </c>
      <c r="DX95" s="25">
        <v>3805981</v>
      </c>
      <c r="DY95" s="25">
        <v>4104443</v>
      </c>
      <c r="DZ95" s="25">
        <v>4246076</v>
      </c>
      <c r="EA95" s="25">
        <v>4295473</v>
      </c>
      <c r="EB95" s="25">
        <v>4134588</v>
      </c>
      <c r="EC95" s="25">
        <v>3983432</v>
      </c>
      <c r="ED95" s="25">
        <v>4315039</v>
      </c>
      <c r="EE95" s="25">
        <v>4310141</v>
      </c>
      <c r="EF95" s="25">
        <v>4563160</v>
      </c>
      <c r="EG95" s="25">
        <v>4800200</v>
      </c>
      <c r="EH95" s="25">
        <v>4659209</v>
      </c>
      <c r="EI95" s="25">
        <v>4707713</v>
      </c>
      <c r="EJ95" s="25">
        <f t="shared" si="7"/>
        <v>135899</v>
      </c>
      <c r="EK95" s="25">
        <v>4843612</v>
      </c>
      <c r="EL95" s="25">
        <f t="shared" si="8"/>
        <v>79843</v>
      </c>
      <c r="EM95" s="25">
        <v>4923455</v>
      </c>
      <c r="EN95" s="25">
        <f t="shared" si="9"/>
        <v>285908</v>
      </c>
      <c r="EO95" s="25">
        <v>5209363</v>
      </c>
      <c r="EP95" s="25">
        <f t="shared" si="10"/>
        <v>365900</v>
      </c>
      <c r="EQ95" s="25">
        <v>5575263</v>
      </c>
      <c r="ER95" s="25">
        <f t="shared" si="11"/>
        <v>272526</v>
      </c>
      <c r="ES95" s="25">
        <v>5847789</v>
      </c>
      <c r="ET95" s="25">
        <f t="shared" si="12"/>
        <v>96749</v>
      </c>
      <c r="EU95" s="25">
        <v>5944538</v>
      </c>
      <c r="EV95" s="25">
        <f t="shared" si="13"/>
        <v>1488133</v>
      </c>
      <c r="EW95" s="25">
        <v>7432671</v>
      </c>
      <c r="EX95" s="25">
        <v>7171681</v>
      </c>
      <c r="EY95" s="25">
        <v>6276586</v>
      </c>
      <c r="EZ95" s="25">
        <v>6056991</v>
      </c>
      <c r="FA95" s="25">
        <v>6014345</v>
      </c>
      <c r="FB95" s="25">
        <v>5794063</v>
      </c>
      <c r="FC95" s="25">
        <v>5937697</v>
      </c>
      <c r="FD95" s="25">
        <v>6269194</v>
      </c>
      <c r="FE95" s="25">
        <v>6328854</v>
      </c>
      <c r="FF95" s="25">
        <v>6791917</v>
      </c>
      <c r="FG95" s="25">
        <v>6620336</v>
      </c>
      <c r="FH95" s="25">
        <v>6770496</v>
      </c>
      <c r="FI95" s="25">
        <v>6632716</v>
      </c>
      <c r="FJ95" s="25">
        <v>6420636</v>
      </c>
    </row>
    <row r="96" spans="1:166" x14ac:dyDescent="0.4">
      <c r="A96" s="34" t="s">
        <v>11</v>
      </c>
      <c r="B96" s="7">
        <v>0</v>
      </c>
      <c r="C96" s="7">
        <v>0</v>
      </c>
      <c r="D96" s="7">
        <v>0</v>
      </c>
      <c r="E96" s="7">
        <v>0</v>
      </c>
      <c r="F96" s="7">
        <v>0</v>
      </c>
      <c r="G96" s="7">
        <v>0</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c r="AF96" s="7">
        <v>0</v>
      </c>
      <c r="AG96" s="7">
        <v>0</v>
      </c>
      <c r="AH96" s="7">
        <v>0</v>
      </c>
      <c r="AI96" s="7">
        <v>0</v>
      </c>
      <c r="AJ96" s="7">
        <v>0</v>
      </c>
      <c r="AK96" s="7">
        <v>0</v>
      </c>
      <c r="AL96" s="7">
        <v>0</v>
      </c>
      <c r="AM96" s="7">
        <v>0</v>
      </c>
      <c r="AN96" s="7">
        <v>0</v>
      </c>
      <c r="AO96" s="7">
        <v>0</v>
      </c>
      <c r="AP96" s="7">
        <v>0</v>
      </c>
      <c r="AQ96" s="7">
        <v>0</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0</v>
      </c>
      <c r="BI96" s="7">
        <v>0</v>
      </c>
      <c r="BJ96" s="7">
        <v>0</v>
      </c>
      <c r="BK96" s="7">
        <v>0</v>
      </c>
      <c r="BL96" s="7">
        <v>0</v>
      </c>
      <c r="BM96" s="7">
        <v>0</v>
      </c>
      <c r="BN96" s="7">
        <v>0</v>
      </c>
      <c r="BO96" s="7">
        <v>0</v>
      </c>
      <c r="BP96" s="7">
        <v>0</v>
      </c>
      <c r="BQ96" s="7">
        <v>0</v>
      </c>
      <c r="BR96" s="7">
        <v>0</v>
      </c>
      <c r="BS96" s="7">
        <v>0</v>
      </c>
      <c r="BT96" s="7">
        <v>0</v>
      </c>
      <c r="BU96" s="7">
        <v>0</v>
      </c>
      <c r="BV96" s="7">
        <v>0</v>
      </c>
      <c r="BW96" s="7">
        <v>0</v>
      </c>
      <c r="BX96" s="7">
        <v>0</v>
      </c>
      <c r="BY96" s="7">
        <v>0</v>
      </c>
      <c r="BZ96" s="7">
        <v>0</v>
      </c>
      <c r="CA96" s="7">
        <v>0</v>
      </c>
      <c r="CB96" s="7">
        <v>0</v>
      </c>
      <c r="CC96" s="7">
        <v>0</v>
      </c>
      <c r="CD96" s="7">
        <v>0</v>
      </c>
      <c r="CE96" s="7">
        <v>0</v>
      </c>
      <c r="CF96" s="22">
        <v>0</v>
      </c>
      <c r="CG96" s="22">
        <v>0</v>
      </c>
      <c r="CH96" s="22">
        <v>0</v>
      </c>
      <c r="CI96" s="22">
        <v>0</v>
      </c>
      <c r="CJ96" s="22">
        <v>0</v>
      </c>
      <c r="CK96" s="22">
        <v>0</v>
      </c>
      <c r="CL96" s="22">
        <v>0</v>
      </c>
      <c r="CM96" s="22">
        <v>0</v>
      </c>
      <c r="CN96" s="22">
        <v>0</v>
      </c>
      <c r="CO96" s="22">
        <v>0</v>
      </c>
      <c r="CP96" s="22">
        <v>0</v>
      </c>
      <c r="CQ96" s="22">
        <v>0</v>
      </c>
      <c r="CR96" s="22">
        <v>0</v>
      </c>
      <c r="CS96" s="22">
        <v>0</v>
      </c>
      <c r="CT96" s="22">
        <v>0</v>
      </c>
      <c r="CU96" s="22">
        <v>0</v>
      </c>
      <c r="CV96" s="22">
        <v>0</v>
      </c>
      <c r="CW96" s="22">
        <v>0</v>
      </c>
      <c r="CX96" s="22">
        <v>0</v>
      </c>
      <c r="CY96" s="22">
        <v>0</v>
      </c>
      <c r="CZ96" s="22">
        <v>0</v>
      </c>
      <c r="DA96" s="22">
        <v>0</v>
      </c>
      <c r="DB96" s="22">
        <v>0</v>
      </c>
      <c r="DC96" s="22">
        <v>0</v>
      </c>
      <c r="DD96" s="7">
        <v>0</v>
      </c>
      <c r="DE96" s="7">
        <v>0</v>
      </c>
      <c r="DF96" s="7">
        <v>0</v>
      </c>
      <c r="DG96" s="7">
        <v>0</v>
      </c>
      <c r="DH96" s="7">
        <v>0</v>
      </c>
      <c r="DI96" s="7">
        <v>0</v>
      </c>
      <c r="DJ96" s="7">
        <v>0</v>
      </c>
      <c r="DK96" s="7">
        <v>0</v>
      </c>
      <c r="DL96" s="7">
        <v>0</v>
      </c>
      <c r="DM96" s="7">
        <v>0</v>
      </c>
      <c r="DN96" s="7">
        <v>0</v>
      </c>
      <c r="DO96" s="7">
        <v>0</v>
      </c>
      <c r="DP96" s="7">
        <v>0</v>
      </c>
      <c r="DQ96" s="7">
        <v>0</v>
      </c>
      <c r="DR96" s="7">
        <v>0</v>
      </c>
      <c r="DS96" s="7">
        <v>0</v>
      </c>
      <c r="DT96" s="7">
        <v>0</v>
      </c>
      <c r="DU96" s="7">
        <v>0</v>
      </c>
      <c r="DV96" s="7">
        <v>0</v>
      </c>
      <c r="DW96" s="7">
        <v>0</v>
      </c>
      <c r="DX96" s="7">
        <v>0</v>
      </c>
      <c r="DY96" s="7">
        <v>0</v>
      </c>
      <c r="DZ96" s="7">
        <v>0</v>
      </c>
      <c r="EA96" s="7">
        <v>0</v>
      </c>
      <c r="EB96" s="7">
        <v>0</v>
      </c>
      <c r="EC96" s="7">
        <v>0</v>
      </c>
      <c r="ED96" s="7">
        <v>0</v>
      </c>
      <c r="EE96" s="7">
        <v>0</v>
      </c>
      <c r="EF96" s="7">
        <v>0</v>
      </c>
      <c r="EG96" s="7">
        <v>0</v>
      </c>
      <c r="EH96" s="7">
        <v>0</v>
      </c>
      <c r="EI96" s="7">
        <v>0</v>
      </c>
      <c r="EJ96" s="25">
        <f t="shared" si="7"/>
        <v>0</v>
      </c>
      <c r="EK96" s="7">
        <v>0</v>
      </c>
      <c r="EL96" s="25">
        <f t="shared" si="8"/>
        <v>0</v>
      </c>
      <c r="EM96" s="7">
        <v>0</v>
      </c>
      <c r="EN96" s="25">
        <f t="shared" si="9"/>
        <v>0</v>
      </c>
      <c r="EO96" s="7">
        <v>0</v>
      </c>
      <c r="EP96" s="25">
        <f t="shared" si="10"/>
        <v>0</v>
      </c>
      <c r="EQ96" s="7">
        <v>0</v>
      </c>
      <c r="ER96" s="25">
        <f t="shared" si="11"/>
        <v>0</v>
      </c>
      <c r="ES96" s="7">
        <v>0</v>
      </c>
      <c r="ET96" s="25">
        <f t="shared" si="12"/>
        <v>0</v>
      </c>
      <c r="EU96" s="7">
        <v>0</v>
      </c>
      <c r="EV96" s="25">
        <f t="shared" si="13"/>
        <v>0</v>
      </c>
      <c r="EW96" s="7">
        <v>0</v>
      </c>
      <c r="EX96" s="7">
        <v>0</v>
      </c>
      <c r="EY96" s="7">
        <v>0</v>
      </c>
      <c r="EZ96" s="7">
        <v>0</v>
      </c>
      <c r="FA96" s="7">
        <v>0</v>
      </c>
      <c r="FB96" s="7">
        <v>0</v>
      </c>
      <c r="FC96" s="7">
        <v>0</v>
      </c>
      <c r="FD96" s="7">
        <v>0</v>
      </c>
      <c r="FE96" s="7">
        <v>0</v>
      </c>
      <c r="FF96" s="7">
        <v>0</v>
      </c>
      <c r="FG96" s="7">
        <v>0</v>
      </c>
      <c r="FH96" s="7">
        <v>0</v>
      </c>
      <c r="FI96" s="7">
        <v>0</v>
      </c>
      <c r="FJ96" s="7">
        <v>0</v>
      </c>
    </row>
    <row r="97" spans="1:166" x14ac:dyDescent="0.4">
      <c r="A97" s="35" t="s">
        <v>13</v>
      </c>
      <c r="B97" s="7">
        <v>0</v>
      </c>
      <c r="C97" s="7">
        <v>0</v>
      </c>
      <c r="D97" s="7">
        <v>0</v>
      </c>
      <c r="E97" s="7">
        <v>0</v>
      </c>
      <c r="F97" s="7">
        <v>0</v>
      </c>
      <c r="G97" s="7">
        <v>0</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c r="AF97" s="7">
        <v>0</v>
      </c>
      <c r="AG97" s="7">
        <v>0</v>
      </c>
      <c r="AH97" s="7">
        <v>0</v>
      </c>
      <c r="AI97" s="7">
        <v>0</v>
      </c>
      <c r="AJ97" s="7">
        <v>0</v>
      </c>
      <c r="AK97" s="7">
        <v>0</v>
      </c>
      <c r="AL97" s="7">
        <v>0</v>
      </c>
      <c r="AM97" s="7">
        <v>0</v>
      </c>
      <c r="AN97" s="7">
        <v>0</v>
      </c>
      <c r="AO97" s="7">
        <v>0</v>
      </c>
      <c r="AP97" s="7">
        <v>0</v>
      </c>
      <c r="AQ97" s="7">
        <v>0</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0</v>
      </c>
      <c r="BI97" s="7">
        <v>0</v>
      </c>
      <c r="BJ97" s="7">
        <v>0</v>
      </c>
      <c r="BK97" s="7">
        <v>0</v>
      </c>
      <c r="BL97" s="7">
        <v>0</v>
      </c>
      <c r="BM97" s="7">
        <v>0</v>
      </c>
      <c r="BN97" s="7">
        <v>0</v>
      </c>
      <c r="BO97" s="7">
        <v>0</v>
      </c>
      <c r="BP97" s="7">
        <v>0</v>
      </c>
      <c r="BQ97" s="7">
        <v>0</v>
      </c>
      <c r="BR97" s="7">
        <v>0</v>
      </c>
      <c r="BS97" s="7">
        <v>0</v>
      </c>
      <c r="BT97" s="7">
        <v>0</v>
      </c>
      <c r="BU97" s="7">
        <v>0</v>
      </c>
      <c r="BV97" s="7">
        <v>0</v>
      </c>
      <c r="BW97" s="7">
        <v>0</v>
      </c>
      <c r="BX97" s="7">
        <v>0</v>
      </c>
      <c r="BY97" s="7">
        <v>0</v>
      </c>
      <c r="BZ97" s="7">
        <v>0</v>
      </c>
      <c r="CA97" s="7">
        <v>0</v>
      </c>
      <c r="CB97" s="7">
        <v>0</v>
      </c>
      <c r="CC97" s="7">
        <v>0</v>
      </c>
      <c r="CD97" s="7">
        <v>0</v>
      </c>
      <c r="CE97" s="7">
        <v>0</v>
      </c>
      <c r="CF97" s="22">
        <v>0</v>
      </c>
      <c r="CG97" s="22">
        <v>0</v>
      </c>
      <c r="CH97" s="22">
        <v>0</v>
      </c>
      <c r="CI97" s="22">
        <v>0</v>
      </c>
      <c r="CJ97" s="22">
        <v>0</v>
      </c>
      <c r="CK97" s="22">
        <v>0</v>
      </c>
      <c r="CL97" s="22">
        <v>0</v>
      </c>
      <c r="CM97" s="22">
        <v>0</v>
      </c>
      <c r="CN97" s="22">
        <v>0</v>
      </c>
      <c r="CO97" s="22">
        <v>0</v>
      </c>
      <c r="CP97" s="22">
        <v>0</v>
      </c>
      <c r="CQ97" s="22">
        <v>0</v>
      </c>
      <c r="CR97" s="22">
        <v>0</v>
      </c>
      <c r="CS97" s="22">
        <v>0</v>
      </c>
      <c r="CT97" s="22">
        <v>0</v>
      </c>
      <c r="CU97" s="22">
        <v>0</v>
      </c>
      <c r="CV97" s="22">
        <v>0</v>
      </c>
      <c r="CW97" s="22">
        <v>0</v>
      </c>
      <c r="CX97" s="22">
        <v>0</v>
      </c>
      <c r="CY97" s="22">
        <v>0</v>
      </c>
      <c r="CZ97" s="22">
        <v>0</v>
      </c>
      <c r="DA97" s="22">
        <v>0</v>
      </c>
      <c r="DB97" s="22">
        <v>0</v>
      </c>
      <c r="DC97" s="22">
        <v>0</v>
      </c>
      <c r="DD97" s="7">
        <v>0</v>
      </c>
      <c r="DE97" s="7">
        <v>0</v>
      </c>
      <c r="DF97" s="7">
        <v>0</v>
      </c>
      <c r="DG97" s="7">
        <v>0</v>
      </c>
      <c r="DH97" s="7">
        <v>0</v>
      </c>
      <c r="DI97" s="7">
        <v>0</v>
      </c>
      <c r="DJ97" s="7">
        <v>0</v>
      </c>
      <c r="DK97" s="7">
        <v>0</v>
      </c>
      <c r="DL97" s="7">
        <v>0</v>
      </c>
      <c r="DM97" s="7">
        <v>0</v>
      </c>
      <c r="DN97" s="7">
        <v>0</v>
      </c>
      <c r="DO97" s="7">
        <v>0</v>
      </c>
      <c r="DP97" s="7">
        <v>0</v>
      </c>
      <c r="DQ97" s="7">
        <v>0</v>
      </c>
      <c r="DR97" s="7">
        <v>0</v>
      </c>
      <c r="DS97" s="7">
        <v>0</v>
      </c>
      <c r="DT97" s="7">
        <v>0</v>
      </c>
      <c r="DU97" s="7">
        <v>0</v>
      </c>
      <c r="DV97" s="7">
        <v>0</v>
      </c>
      <c r="DW97" s="7">
        <v>0</v>
      </c>
      <c r="DX97" s="7">
        <v>0</v>
      </c>
      <c r="DY97" s="7">
        <v>0</v>
      </c>
      <c r="DZ97" s="7">
        <v>0</v>
      </c>
      <c r="EA97" s="7">
        <v>0</v>
      </c>
      <c r="EB97" s="7">
        <v>0</v>
      </c>
      <c r="EC97" s="7">
        <v>0</v>
      </c>
      <c r="ED97" s="7">
        <v>0</v>
      </c>
      <c r="EE97" s="7">
        <v>0</v>
      </c>
      <c r="EF97" s="7">
        <v>0</v>
      </c>
      <c r="EG97" s="7">
        <v>0</v>
      </c>
      <c r="EH97" s="7">
        <v>0</v>
      </c>
      <c r="EI97" s="7">
        <v>0</v>
      </c>
      <c r="EJ97" s="25">
        <f t="shared" si="7"/>
        <v>0</v>
      </c>
      <c r="EK97" s="7">
        <v>0</v>
      </c>
      <c r="EL97" s="25">
        <f t="shared" si="8"/>
        <v>0</v>
      </c>
      <c r="EM97" s="7">
        <v>0</v>
      </c>
      <c r="EN97" s="25">
        <f t="shared" si="9"/>
        <v>0</v>
      </c>
      <c r="EO97" s="7">
        <v>0</v>
      </c>
      <c r="EP97" s="25">
        <f t="shared" si="10"/>
        <v>0</v>
      </c>
      <c r="EQ97" s="7">
        <v>0</v>
      </c>
      <c r="ER97" s="25">
        <f t="shared" si="11"/>
        <v>0</v>
      </c>
      <c r="ES97" s="7">
        <v>0</v>
      </c>
      <c r="ET97" s="25">
        <f t="shared" si="12"/>
        <v>0</v>
      </c>
      <c r="EU97" s="7">
        <v>0</v>
      </c>
      <c r="EV97" s="25">
        <f t="shared" si="13"/>
        <v>0</v>
      </c>
      <c r="EW97" s="7">
        <v>0</v>
      </c>
      <c r="EX97" s="7">
        <v>0</v>
      </c>
      <c r="EY97" s="7">
        <v>0</v>
      </c>
      <c r="EZ97" s="7">
        <v>0</v>
      </c>
      <c r="FA97" s="7">
        <v>0</v>
      </c>
      <c r="FB97" s="7">
        <v>0</v>
      </c>
      <c r="FC97" s="7">
        <v>0</v>
      </c>
      <c r="FD97" s="7">
        <v>0</v>
      </c>
      <c r="FE97" s="7">
        <v>0</v>
      </c>
      <c r="FF97" s="7">
        <v>0</v>
      </c>
      <c r="FG97" s="7">
        <v>0</v>
      </c>
      <c r="FH97" s="7">
        <v>0</v>
      </c>
      <c r="FI97" s="7">
        <v>0</v>
      </c>
      <c r="FJ97" s="7">
        <v>0</v>
      </c>
    </row>
    <row r="98" spans="1:166" x14ac:dyDescent="0.4">
      <c r="A98" s="35" t="s">
        <v>14</v>
      </c>
      <c r="B98" s="7">
        <v>0</v>
      </c>
      <c r="C98" s="7">
        <v>0</v>
      </c>
      <c r="D98" s="7">
        <v>0</v>
      </c>
      <c r="E98" s="7">
        <v>0</v>
      </c>
      <c r="F98" s="7">
        <v>0</v>
      </c>
      <c r="G98" s="7">
        <v>0</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c r="AF98" s="7">
        <v>0</v>
      </c>
      <c r="AG98" s="7">
        <v>0</v>
      </c>
      <c r="AH98" s="7">
        <v>0</v>
      </c>
      <c r="AI98" s="7">
        <v>0</v>
      </c>
      <c r="AJ98" s="7">
        <v>0</v>
      </c>
      <c r="AK98" s="7">
        <v>0</v>
      </c>
      <c r="AL98" s="7">
        <v>0</v>
      </c>
      <c r="AM98" s="7">
        <v>0</v>
      </c>
      <c r="AN98" s="7">
        <v>0</v>
      </c>
      <c r="AO98" s="7">
        <v>0</v>
      </c>
      <c r="AP98" s="7">
        <v>0</v>
      </c>
      <c r="AQ98" s="7">
        <v>0</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0</v>
      </c>
      <c r="BI98" s="7">
        <v>0</v>
      </c>
      <c r="BJ98" s="7">
        <v>0</v>
      </c>
      <c r="BK98" s="7">
        <v>0</v>
      </c>
      <c r="BL98" s="7">
        <v>0</v>
      </c>
      <c r="BM98" s="7">
        <v>0</v>
      </c>
      <c r="BN98" s="7">
        <v>0</v>
      </c>
      <c r="BO98" s="7">
        <v>0</v>
      </c>
      <c r="BP98" s="7">
        <v>0</v>
      </c>
      <c r="BQ98" s="7">
        <v>0</v>
      </c>
      <c r="BR98" s="7">
        <v>0</v>
      </c>
      <c r="BS98" s="7">
        <v>0</v>
      </c>
      <c r="BT98" s="7">
        <v>0</v>
      </c>
      <c r="BU98" s="7">
        <v>0</v>
      </c>
      <c r="BV98" s="7">
        <v>0</v>
      </c>
      <c r="BW98" s="7">
        <v>0</v>
      </c>
      <c r="BX98" s="7">
        <v>0</v>
      </c>
      <c r="BY98" s="7">
        <v>0</v>
      </c>
      <c r="BZ98" s="7">
        <v>0</v>
      </c>
      <c r="CA98" s="7">
        <v>0</v>
      </c>
      <c r="CB98" s="7">
        <v>0</v>
      </c>
      <c r="CC98" s="7">
        <v>0</v>
      </c>
      <c r="CD98" s="7">
        <v>0</v>
      </c>
      <c r="CE98" s="7">
        <v>0</v>
      </c>
      <c r="CF98" s="22">
        <v>0</v>
      </c>
      <c r="CG98" s="22">
        <v>0</v>
      </c>
      <c r="CH98" s="22">
        <v>0</v>
      </c>
      <c r="CI98" s="22">
        <v>0</v>
      </c>
      <c r="CJ98" s="22">
        <v>0</v>
      </c>
      <c r="CK98" s="22">
        <v>0</v>
      </c>
      <c r="CL98" s="22">
        <v>0</v>
      </c>
      <c r="CM98" s="22">
        <v>0</v>
      </c>
      <c r="CN98" s="22">
        <v>0</v>
      </c>
      <c r="CO98" s="22">
        <v>0</v>
      </c>
      <c r="CP98" s="22">
        <v>0</v>
      </c>
      <c r="CQ98" s="22">
        <v>0</v>
      </c>
      <c r="CR98" s="22">
        <v>0</v>
      </c>
      <c r="CS98" s="22">
        <v>0</v>
      </c>
      <c r="CT98" s="22">
        <v>0</v>
      </c>
      <c r="CU98" s="22">
        <v>0</v>
      </c>
      <c r="CV98" s="22">
        <v>0</v>
      </c>
      <c r="CW98" s="22">
        <v>0</v>
      </c>
      <c r="CX98" s="22">
        <v>0</v>
      </c>
      <c r="CY98" s="22">
        <v>0</v>
      </c>
      <c r="CZ98" s="22">
        <v>0</v>
      </c>
      <c r="DA98" s="22">
        <v>0</v>
      </c>
      <c r="DB98" s="22">
        <v>0</v>
      </c>
      <c r="DC98" s="22">
        <v>0</v>
      </c>
      <c r="DD98" s="7">
        <v>0</v>
      </c>
      <c r="DE98" s="7">
        <v>0</v>
      </c>
      <c r="DF98" s="7">
        <v>0</v>
      </c>
      <c r="DG98" s="7">
        <v>0</v>
      </c>
      <c r="DH98" s="7">
        <v>0</v>
      </c>
      <c r="DI98" s="7">
        <v>0</v>
      </c>
      <c r="DJ98" s="7">
        <v>0</v>
      </c>
      <c r="DK98" s="7">
        <v>0</v>
      </c>
      <c r="DL98" s="7">
        <v>0</v>
      </c>
      <c r="DM98" s="7">
        <v>0</v>
      </c>
      <c r="DN98" s="7">
        <v>0</v>
      </c>
      <c r="DO98" s="7">
        <v>0</v>
      </c>
      <c r="DP98" s="7">
        <v>0</v>
      </c>
      <c r="DQ98" s="7">
        <v>0</v>
      </c>
      <c r="DR98" s="7">
        <v>0</v>
      </c>
      <c r="DS98" s="7">
        <v>0</v>
      </c>
      <c r="DT98" s="7">
        <v>0</v>
      </c>
      <c r="DU98" s="7">
        <v>0</v>
      </c>
      <c r="DV98" s="7">
        <v>0</v>
      </c>
      <c r="DW98" s="7">
        <v>0</v>
      </c>
      <c r="DX98" s="7">
        <v>0</v>
      </c>
      <c r="DY98" s="7">
        <v>0</v>
      </c>
      <c r="DZ98" s="7">
        <v>0</v>
      </c>
      <c r="EA98" s="7">
        <v>0</v>
      </c>
      <c r="EB98" s="7">
        <v>0</v>
      </c>
      <c r="EC98" s="7">
        <v>0</v>
      </c>
      <c r="ED98" s="7">
        <v>0</v>
      </c>
      <c r="EE98" s="7">
        <v>0</v>
      </c>
      <c r="EF98" s="7">
        <v>0</v>
      </c>
      <c r="EG98" s="7">
        <v>0</v>
      </c>
      <c r="EH98" s="7">
        <v>0</v>
      </c>
      <c r="EI98" s="7">
        <v>0</v>
      </c>
      <c r="EJ98" s="25">
        <f t="shared" si="7"/>
        <v>0</v>
      </c>
      <c r="EK98" s="7">
        <v>0</v>
      </c>
      <c r="EL98" s="25">
        <f t="shared" si="8"/>
        <v>0</v>
      </c>
      <c r="EM98" s="7">
        <v>0</v>
      </c>
      <c r="EN98" s="25">
        <f t="shared" si="9"/>
        <v>0</v>
      </c>
      <c r="EO98" s="7">
        <v>0</v>
      </c>
      <c r="EP98" s="25">
        <f t="shared" si="10"/>
        <v>0</v>
      </c>
      <c r="EQ98" s="7">
        <v>0</v>
      </c>
      <c r="ER98" s="25">
        <f t="shared" si="11"/>
        <v>0</v>
      </c>
      <c r="ES98" s="7">
        <v>0</v>
      </c>
      <c r="ET98" s="25">
        <f t="shared" si="12"/>
        <v>0</v>
      </c>
      <c r="EU98" s="7">
        <v>0</v>
      </c>
      <c r="EV98" s="25">
        <f t="shared" si="13"/>
        <v>0</v>
      </c>
      <c r="EW98" s="7">
        <v>0</v>
      </c>
      <c r="EX98" s="7">
        <v>0</v>
      </c>
      <c r="EY98" s="7">
        <v>0</v>
      </c>
      <c r="EZ98" s="7">
        <v>0</v>
      </c>
      <c r="FA98" s="7">
        <v>0</v>
      </c>
      <c r="FB98" s="7">
        <v>0</v>
      </c>
      <c r="FC98" s="7">
        <v>0</v>
      </c>
      <c r="FD98" s="7">
        <v>0</v>
      </c>
      <c r="FE98" s="7">
        <v>0</v>
      </c>
      <c r="FF98" s="7">
        <v>0</v>
      </c>
      <c r="FG98" s="7">
        <v>0</v>
      </c>
      <c r="FH98" s="7">
        <v>0</v>
      </c>
      <c r="FI98" s="7">
        <v>0</v>
      </c>
      <c r="FJ98" s="7">
        <v>0</v>
      </c>
    </row>
    <row r="99" spans="1:166" x14ac:dyDescent="0.4">
      <c r="A99" s="35" t="s">
        <v>27</v>
      </c>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v>0</v>
      </c>
      <c r="BW99" s="7">
        <v>0</v>
      </c>
      <c r="BX99" s="7">
        <v>0</v>
      </c>
      <c r="BY99" s="7">
        <v>0</v>
      </c>
      <c r="BZ99" s="7">
        <v>0</v>
      </c>
      <c r="CA99" s="7">
        <v>0</v>
      </c>
      <c r="CB99" s="7">
        <v>0</v>
      </c>
      <c r="CC99" s="7">
        <v>0</v>
      </c>
      <c r="CD99" s="7">
        <v>0</v>
      </c>
      <c r="CE99" s="7">
        <v>0</v>
      </c>
      <c r="CF99" s="22">
        <v>0</v>
      </c>
      <c r="CG99" s="22">
        <v>0</v>
      </c>
      <c r="CH99" s="22">
        <v>0</v>
      </c>
      <c r="CI99" s="22">
        <v>0</v>
      </c>
      <c r="CJ99" s="22">
        <v>0</v>
      </c>
      <c r="CK99" s="22">
        <v>0</v>
      </c>
      <c r="CL99" s="22">
        <v>0</v>
      </c>
      <c r="CM99" s="22">
        <v>0</v>
      </c>
      <c r="CN99" s="22">
        <v>0</v>
      </c>
      <c r="CO99" s="22">
        <v>0</v>
      </c>
      <c r="CP99" s="22">
        <v>0</v>
      </c>
      <c r="CQ99" s="22">
        <v>0</v>
      </c>
      <c r="CR99" s="22">
        <v>0</v>
      </c>
      <c r="CS99" s="22">
        <v>0</v>
      </c>
      <c r="CT99" s="22">
        <v>0</v>
      </c>
      <c r="CU99" s="22">
        <v>0</v>
      </c>
      <c r="CV99" s="22">
        <v>0</v>
      </c>
      <c r="CW99" s="22">
        <v>0</v>
      </c>
      <c r="CX99" s="22">
        <v>0</v>
      </c>
      <c r="CY99" s="22">
        <v>0</v>
      </c>
      <c r="CZ99" s="22">
        <v>0</v>
      </c>
      <c r="DA99" s="22">
        <v>0</v>
      </c>
      <c r="DB99" s="22">
        <v>0</v>
      </c>
      <c r="DC99" s="22">
        <v>0</v>
      </c>
      <c r="DD99" s="7">
        <v>0</v>
      </c>
      <c r="DE99" s="7">
        <v>0</v>
      </c>
      <c r="DF99" s="7">
        <v>0</v>
      </c>
      <c r="DG99" s="7">
        <v>0</v>
      </c>
      <c r="DH99" s="7">
        <v>0</v>
      </c>
      <c r="DI99" s="7">
        <v>0</v>
      </c>
      <c r="DJ99" s="7">
        <v>0</v>
      </c>
      <c r="DK99" s="7">
        <v>0</v>
      </c>
      <c r="DL99" s="7">
        <v>0</v>
      </c>
      <c r="DM99" s="7">
        <v>0</v>
      </c>
      <c r="DN99" s="7">
        <v>0</v>
      </c>
      <c r="DO99" s="7">
        <v>0</v>
      </c>
      <c r="DP99" s="7">
        <v>0</v>
      </c>
      <c r="DQ99" s="7">
        <v>0</v>
      </c>
      <c r="DR99" s="7">
        <v>0</v>
      </c>
      <c r="DS99" s="7">
        <v>0</v>
      </c>
      <c r="DT99" s="7">
        <v>0</v>
      </c>
      <c r="DU99" s="7">
        <v>0</v>
      </c>
      <c r="DV99" s="7">
        <v>0</v>
      </c>
      <c r="DW99" s="7">
        <v>0</v>
      </c>
      <c r="DX99" s="7">
        <v>0</v>
      </c>
      <c r="DY99" s="7">
        <v>0</v>
      </c>
      <c r="DZ99" s="7">
        <v>0</v>
      </c>
      <c r="EA99" s="7">
        <v>0</v>
      </c>
      <c r="EB99" s="7">
        <v>0</v>
      </c>
      <c r="EC99" s="7">
        <v>0</v>
      </c>
      <c r="ED99" s="7">
        <v>0</v>
      </c>
      <c r="EE99" s="7">
        <v>0</v>
      </c>
      <c r="EF99" s="7">
        <v>0</v>
      </c>
      <c r="EG99" s="7">
        <v>0</v>
      </c>
      <c r="EH99" s="7">
        <v>0</v>
      </c>
      <c r="EI99" s="7">
        <v>0</v>
      </c>
      <c r="EJ99" s="25">
        <f t="shared" si="7"/>
        <v>0</v>
      </c>
      <c r="EK99" s="7">
        <v>0</v>
      </c>
      <c r="EL99" s="25">
        <f t="shared" si="8"/>
        <v>0</v>
      </c>
      <c r="EM99" s="7">
        <v>0</v>
      </c>
      <c r="EN99" s="25">
        <f t="shared" si="9"/>
        <v>0</v>
      </c>
      <c r="EO99" s="7">
        <v>0</v>
      </c>
      <c r="EP99" s="25">
        <f t="shared" si="10"/>
        <v>0</v>
      </c>
      <c r="EQ99" s="7">
        <v>0</v>
      </c>
      <c r="ER99" s="25">
        <f t="shared" si="11"/>
        <v>0</v>
      </c>
      <c r="ES99" s="7">
        <v>0</v>
      </c>
      <c r="ET99" s="25">
        <f t="shared" si="12"/>
        <v>0</v>
      </c>
      <c r="EU99" s="7">
        <v>0</v>
      </c>
      <c r="EV99" s="25">
        <f t="shared" si="13"/>
        <v>0</v>
      </c>
      <c r="EW99" s="7">
        <v>0</v>
      </c>
      <c r="EX99" s="7">
        <v>0</v>
      </c>
      <c r="EY99" s="7">
        <v>0</v>
      </c>
      <c r="EZ99" s="7">
        <v>0</v>
      </c>
      <c r="FA99" s="7">
        <v>0</v>
      </c>
      <c r="FB99" s="7">
        <v>0</v>
      </c>
      <c r="FC99" s="7">
        <v>0</v>
      </c>
      <c r="FD99" s="7">
        <v>0</v>
      </c>
      <c r="FE99" s="7">
        <v>0</v>
      </c>
      <c r="FF99" s="7">
        <v>0</v>
      </c>
      <c r="FG99" s="7">
        <v>0</v>
      </c>
      <c r="FH99" s="7">
        <v>0</v>
      </c>
      <c r="FI99" s="7">
        <v>0</v>
      </c>
      <c r="FJ99" s="7">
        <v>0</v>
      </c>
    </row>
    <row r="100" spans="1:166" x14ac:dyDescent="0.4">
      <c r="A100" s="35" t="s">
        <v>30</v>
      </c>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v>0</v>
      </c>
      <c r="BW100" s="7">
        <v>0</v>
      </c>
      <c r="BX100" s="7">
        <v>0</v>
      </c>
      <c r="BY100" s="7">
        <v>0</v>
      </c>
      <c r="BZ100" s="7">
        <v>0</v>
      </c>
      <c r="CA100" s="7">
        <v>0</v>
      </c>
      <c r="CB100" s="7">
        <v>0</v>
      </c>
      <c r="CC100" s="7">
        <v>0</v>
      </c>
      <c r="CD100" s="7">
        <v>0</v>
      </c>
      <c r="CE100" s="7">
        <v>0</v>
      </c>
      <c r="CF100" s="22">
        <v>0</v>
      </c>
      <c r="CG100" s="22">
        <v>0</v>
      </c>
      <c r="CH100" s="22">
        <v>0</v>
      </c>
      <c r="CI100" s="22">
        <v>0</v>
      </c>
      <c r="CJ100" s="22">
        <v>0</v>
      </c>
      <c r="CK100" s="22">
        <v>0</v>
      </c>
      <c r="CL100" s="22">
        <v>0</v>
      </c>
      <c r="CM100" s="22">
        <v>0</v>
      </c>
      <c r="CN100" s="22">
        <v>0</v>
      </c>
      <c r="CO100" s="22">
        <v>0</v>
      </c>
      <c r="CP100" s="22">
        <v>0</v>
      </c>
      <c r="CQ100" s="22">
        <v>0</v>
      </c>
      <c r="CR100" s="22">
        <v>0</v>
      </c>
      <c r="CS100" s="22">
        <v>0</v>
      </c>
      <c r="CT100" s="22">
        <v>0</v>
      </c>
      <c r="CU100" s="22">
        <v>0</v>
      </c>
      <c r="CV100" s="22">
        <v>0</v>
      </c>
      <c r="CW100" s="22">
        <v>0</v>
      </c>
      <c r="CX100" s="22">
        <v>0</v>
      </c>
      <c r="CY100" s="22">
        <v>0</v>
      </c>
      <c r="CZ100" s="22">
        <v>0</v>
      </c>
      <c r="DA100" s="22">
        <v>0</v>
      </c>
      <c r="DB100" s="22">
        <v>0</v>
      </c>
      <c r="DC100" s="22">
        <v>0</v>
      </c>
      <c r="DD100" s="7">
        <v>0</v>
      </c>
      <c r="DE100" s="7">
        <v>0</v>
      </c>
      <c r="DF100" s="7">
        <v>0</v>
      </c>
      <c r="DG100" s="7">
        <v>0</v>
      </c>
      <c r="DH100" s="7">
        <v>0</v>
      </c>
      <c r="DI100" s="7">
        <v>0</v>
      </c>
      <c r="DJ100" s="7">
        <v>0</v>
      </c>
      <c r="DK100" s="7">
        <v>0</v>
      </c>
      <c r="DL100" s="7">
        <v>0</v>
      </c>
      <c r="DM100" s="7">
        <v>0</v>
      </c>
      <c r="DN100" s="7">
        <v>0</v>
      </c>
      <c r="DO100" s="7">
        <v>0</v>
      </c>
      <c r="DP100" s="7">
        <v>0</v>
      </c>
      <c r="DQ100" s="7">
        <v>0</v>
      </c>
      <c r="DR100" s="7">
        <v>0</v>
      </c>
      <c r="DS100" s="7">
        <v>0</v>
      </c>
      <c r="DT100" s="7">
        <v>0</v>
      </c>
      <c r="DU100" s="7">
        <v>0</v>
      </c>
      <c r="DV100" s="7">
        <v>0</v>
      </c>
      <c r="DW100" s="7">
        <v>0</v>
      </c>
      <c r="DX100" s="7">
        <v>0</v>
      </c>
      <c r="DY100" s="7">
        <v>0</v>
      </c>
      <c r="DZ100" s="7">
        <v>0</v>
      </c>
      <c r="EA100" s="7">
        <v>0</v>
      </c>
      <c r="EB100" s="7">
        <v>0</v>
      </c>
      <c r="EC100" s="7">
        <v>0</v>
      </c>
      <c r="ED100" s="7">
        <v>0</v>
      </c>
      <c r="EE100" s="7">
        <v>0</v>
      </c>
      <c r="EF100" s="7">
        <v>0</v>
      </c>
      <c r="EG100" s="7">
        <v>0</v>
      </c>
      <c r="EH100" s="7">
        <v>0</v>
      </c>
      <c r="EI100" s="7">
        <v>0</v>
      </c>
      <c r="EJ100" s="25">
        <f t="shared" si="7"/>
        <v>0</v>
      </c>
      <c r="EK100" s="7">
        <v>0</v>
      </c>
      <c r="EL100" s="25">
        <f t="shared" si="8"/>
        <v>0</v>
      </c>
      <c r="EM100" s="7">
        <v>0</v>
      </c>
      <c r="EN100" s="25">
        <f t="shared" si="9"/>
        <v>0</v>
      </c>
      <c r="EO100" s="7">
        <v>0</v>
      </c>
      <c r="EP100" s="25">
        <f t="shared" si="10"/>
        <v>0</v>
      </c>
      <c r="EQ100" s="7">
        <v>0</v>
      </c>
      <c r="ER100" s="25">
        <f t="shared" si="11"/>
        <v>0</v>
      </c>
      <c r="ES100" s="7">
        <v>0</v>
      </c>
      <c r="ET100" s="25">
        <f t="shared" si="12"/>
        <v>0</v>
      </c>
      <c r="EU100" s="7">
        <v>0</v>
      </c>
      <c r="EV100" s="25">
        <f t="shared" si="13"/>
        <v>0</v>
      </c>
      <c r="EW100" s="7">
        <v>0</v>
      </c>
      <c r="EX100" s="7">
        <v>0</v>
      </c>
      <c r="EY100" s="7">
        <v>0</v>
      </c>
      <c r="EZ100" s="7">
        <v>0</v>
      </c>
      <c r="FA100" s="7">
        <v>0</v>
      </c>
      <c r="FB100" s="7">
        <v>0</v>
      </c>
      <c r="FC100" s="7">
        <v>0</v>
      </c>
      <c r="FD100" s="7">
        <v>0</v>
      </c>
      <c r="FE100" s="7">
        <v>0</v>
      </c>
      <c r="FF100" s="7">
        <v>0</v>
      </c>
      <c r="FG100" s="7">
        <v>0</v>
      </c>
      <c r="FH100" s="7">
        <v>0</v>
      </c>
      <c r="FI100" s="7">
        <v>0</v>
      </c>
      <c r="FJ100" s="7">
        <v>0</v>
      </c>
    </row>
    <row r="101" spans="1:166" x14ac:dyDescent="0.4">
      <c r="A101" s="34" t="s">
        <v>3</v>
      </c>
      <c r="B101" s="7">
        <v>0</v>
      </c>
      <c r="C101" s="7">
        <v>0</v>
      </c>
      <c r="D101" s="7">
        <v>0</v>
      </c>
      <c r="E101" s="7">
        <v>0</v>
      </c>
      <c r="F101" s="7">
        <v>0</v>
      </c>
      <c r="G101" s="7">
        <v>0</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v>0</v>
      </c>
      <c r="AM101" s="7">
        <v>0</v>
      </c>
      <c r="AN101" s="7">
        <v>0</v>
      </c>
      <c r="AO101" s="7">
        <v>0</v>
      </c>
      <c r="AP101" s="7">
        <v>0</v>
      </c>
      <c r="AQ101" s="7">
        <v>0</v>
      </c>
      <c r="AR101" s="7">
        <v>10</v>
      </c>
      <c r="AS101" s="7">
        <v>10</v>
      </c>
      <c r="AT101" s="7">
        <v>334</v>
      </c>
      <c r="AU101" s="7">
        <v>316</v>
      </c>
      <c r="AV101" s="7">
        <v>315</v>
      </c>
      <c r="AW101" s="7">
        <v>325</v>
      </c>
      <c r="AX101" s="7">
        <v>9099</v>
      </c>
      <c r="AY101" s="7">
        <v>9024</v>
      </c>
      <c r="AZ101" s="7">
        <v>8691</v>
      </c>
      <c r="BA101" s="7">
        <v>8457</v>
      </c>
      <c r="BB101" s="7">
        <v>8546</v>
      </c>
      <c r="BC101" s="7">
        <v>8478</v>
      </c>
      <c r="BD101" s="7">
        <v>8863</v>
      </c>
      <c r="BE101" s="7">
        <v>9945</v>
      </c>
      <c r="BF101" s="7">
        <v>9810</v>
      </c>
      <c r="BG101" s="7">
        <v>9759</v>
      </c>
      <c r="BH101" s="7">
        <v>9666</v>
      </c>
      <c r="BI101" s="7">
        <v>11127</v>
      </c>
      <c r="BJ101" s="7">
        <v>10998</v>
      </c>
      <c r="BK101" s="7">
        <v>10793</v>
      </c>
      <c r="BL101" s="7">
        <v>10672</v>
      </c>
      <c r="BM101" s="7">
        <v>25292</v>
      </c>
      <c r="BN101" s="7">
        <v>28104</v>
      </c>
      <c r="BO101" s="7">
        <v>28306</v>
      </c>
      <c r="BP101" s="7">
        <v>28616</v>
      </c>
      <c r="BQ101" s="7">
        <v>28399</v>
      </c>
      <c r="BR101" s="7">
        <v>31348</v>
      </c>
      <c r="BS101" s="7">
        <v>30313</v>
      </c>
      <c r="BT101" s="7">
        <v>30242</v>
      </c>
      <c r="BU101" s="7">
        <v>30639</v>
      </c>
      <c r="BV101" s="7">
        <v>35424</v>
      </c>
      <c r="BW101" s="7">
        <v>33704</v>
      </c>
      <c r="BX101" s="7">
        <v>34461</v>
      </c>
      <c r="BY101" s="7">
        <v>34842</v>
      </c>
      <c r="BZ101" s="7">
        <v>34772</v>
      </c>
      <c r="CA101" s="7">
        <v>36044</v>
      </c>
      <c r="CB101" s="7">
        <v>34977</v>
      </c>
      <c r="CC101" s="7">
        <v>35114</v>
      </c>
      <c r="CD101" s="7">
        <v>36824</v>
      </c>
      <c r="CE101" s="7">
        <v>35660</v>
      </c>
      <c r="CF101" s="7">
        <v>35385</v>
      </c>
      <c r="CG101" s="7">
        <v>35497</v>
      </c>
      <c r="CH101" s="7">
        <v>44707</v>
      </c>
      <c r="CI101" s="7">
        <v>45320</v>
      </c>
      <c r="CJ101" s="7">
        <v>48081</v>
      </c>
      <c r="CK101" s="7">
        <v>56588</v>
      </c>
      <c r="CL101" s="7">
        <v>53688</v>
      </c>
      <c r="CM101" s="7">
        <v>52109</v>
      </c>
      <c r="CN101" s="7">
        <v>51164</v>
      </c>
      <c r="CO101" s="7">
        <v>72990</v>
      </c>
      <c r="CP101" s="7">
        <v>74791</v>
      </c>
      <c r="CQ101" s="7">
        <v>79086</v>
      </c>
      <c r="CR101" s="7">
        <v>79107</v>
      </c>
      <c r="CS101" s="7">
        <v>76328</v>
      </c>
      <c r="CT101" s="7">
        <v>73828</v>
      </c>
      <c r="CU101" s="7">
        <v>76224</v>
      </c>
      <c r="CV101" s="7">
        <v>73918</v>
      </c>
      <c r="CW101" s="7">
        <v>163477</v>
      </c>
      <c r="CX101" s="7">
        <v>162345</v>
      </c>
      <c r="CY101" s="7">
        <v>161467</v>
      </c>
      <c r="CZ101" s="7">
        <v>162373</v>
      </c>
      <c r="DA101" s="7">
        <v>164293</v>
      </c>
      <c r="DB101" s="7">
        <v>162944</v>
      </c>
      <c r="DC101" s="7">
        <v>163044</v>
      </c>
      <c r="DD101" s="7">
        <v>157677</v>
      </c>
      <c r="DE101" s="7">
        <v>191918</v>
      </c>
      <c r="DF101" s="7">
        <v>215006</v>
      </c>
      <c r="DG101" s="7">
        <v>225274</v>
      </c>
      <c r="DH101" s="7">
        <v>241022</v>
      </c>
      <c r="DI101" s="7">
        <v>242296</v>
      </c>
      <c r="DJ101" s="7">
        <v>202246</v>
      </c>
      <c r="DK101" s="7">
        <v>179079</v>
      </c>
      <c r="DL101" s="7">
        <v>145750</v>
      </c>
      <c r="DM101" s="7">
        <v>174205</v>
      </c>
      <c r="DN101" s="7">
        <v>169390</v>
      </c>
      <c r="DO101" s="7">
        <v>160383</v>
      </c>
      <c r="DP101" s="7">
        <v>172218</v>
      </c>
      <c r="DQ101" s="7">
        <v>182511</v>
      </c>
      <c r="DR101" s="7">
        <v>218027</v>
      </c>
      <c r="DS101" s="7">
        <v>217281</v>
      </c>
      <c r="DT101" s="7">
        <v>233063</v>
      </c>
      <c r="DU101" s="7">
        <v>241479</v>
      </c>
      <c r="DV101" s="7">
        <v>253262</v>
      </c>
      <c r="DW101" s="7">
        <v>252491</v>
      </c>
      <c r="DX101" s="7">
        <v>272549</v>
      </c>
      <c r="DY101" s="7">
        <v>287426</v>
      </c>
      <c r="DZ101" s="7">
        <v>303189</v>
      </c>
      <c r="EA101" s="7">
        <v>308332</v>
      </c>
      <c r="EB101" s="7">
        <v>297301</v>
      </c>
      <c r="EC101" s="7">
        <v>325566</v>
      </c>
      <c r="ED101" s="7">
        <v>343025</v>
      </c>
      <c r="EE101" s="7">
        <v>341214</v>
      </c>
      <c r="EF101" s="7">
        <v>362246</v>
      </c>
      <c r="EG101" s="7">
        <v>385649</v>
      </c>
      <c r="EH101" s="7">
        <v>420288</v>
      </c>
      <c r="EI101" s="7">
        <v>455333</v>
      </c>
      <c r="EJ101" s="25">
        <f t="shared" si="7"/>
        <v>211736</v>
      </c>
      <c r="EK101" s="7">
        <v>667069</v>
      </c>
      <c r="EL101" s="25">
        <f t="shared" si="8"/>
        <v>8990</v>
      </c>
      <c r="EM101" s="7">
        <v>676059</v>
      </c>
      <c r="EN101" s="25">
        <f t="shared" si="9"/>
        <v>38012</v>
      </c>
      <c r="EO101" s="7">
        <v>714071</v>
      </c>
      <c r="EP101" s="25">
        <f t="shared" si="10"/>
        <v>15748</v>
      </c>
      <c r="EQ101" s="7">
        <v>729819</v>
      </c>
      <c r="ER101" s="25">
        <f t="shared" si="11"/>
        <v>12544</v>
      </c>
      <c r="ES101" s="7">
        <v>742363</v>
      </c>
      <c r="ET101" s="25">
        <f t="shared" si="12"/>
        <v>81904</v>
      </c>
      <c r="EU101" s="7">
        <v>824267</v>
      </c>
      <c r="EV101" s="25">
        <f t="shared" si="13"/>
        <v>-67068</v>
      </c>
      <c r="EW101" s="7">
        <v>757199</v>
      </c>
      <c r="EX101" s="7">
        <v>717294</v>
      </c>
      <c r="EY101" s="7">
        <v>640048</v>
      </c>
      <c r="EZ101" s="7">
        <v>613478</v>
      </c>
      <c r="FA101" s="7">
        <v>602370</v>
      </c>
      <c r="FB101" s="7">
        <v>580404</v>
      </c>
      <c r="FC101" s="7">
        <v>557402</v>
      </c>
      <c r="FD101" s="7">
        <v>583565</v>
      </c>
      <c r="FE101" s="7">
        <v>572283</v>
      </c>
      <c r="FF101" s="7">
        <v>591711</v>
      </c>
      <c r="FG101" s="7">
        <v>575216</v>
      </c>
      <c r="FH101" s="7">
        <v>560783</v>
      </c>
      <c r="FI101" s="7">
        <v>535822</v>
      </c>
      <c r="FJ101" s="7">
        <v>502643</v>
      </c>
    </row>
    <row r="102" spans="1:166" x14ac:dyDescent="0.4">
      <c r="A102" s="35" t="s">
        <v>13</v>
      </c>
      <c r="B102" s="7">
        <v>0</v>
      </c>
      <c r="C102" s="7">
        <v>0</v>
      </c>
      <c r="D102" s="7">
        <v>0</v>
      </c>
      <c r="E102" s="7">
        <v>0</v>
      </c>
      <c r="F102" s="7">
        <v>0</v>
      </c>
      <c r="G102" s="7">
        <v>0</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c r="AF102" s="7">
        <v>0</v>
      </c>
      <c r="AG102" s="7">
        <v>0</v>
      </c>
      <c r="AH102" s="7">
        <v>0</v>
      </c>
      <c r="AI102" s="7">
        <v>0</v>
      </c>
      <c r="AJ102" s="7">
        <v>0</v>
      </c>
      <c r="AK102" s="7">
        <v>0</v>
      </c>
      <c r="AL102" s="7">
        <v>0</v>
      </c>
      <c r="AM102" s="7">
        <v>0</v>
      </c>
      <c r="AN102" s="7">
        <v>0</v>
      </c>
      <c r="AO102" s="7">
        <v>0</v>
      </c>
      <c r="AP102" s="7">
        <v>0</v>
      </c>
      <c r="AQ102" s="7">
        <v>0</v>
      </c>
      <c r="AR102" s="7">
        <v>10</v>
      </c>
      <c r="AS102" s="7">
        <v>10</v>
      </c>
      <c r="AT102" s="7">
        <v>334</v>
      </c>
      <c r="AU102" s="7">
        <v>316</v>
      </c>
      <c r="AV102" s="7">
        <v>315</v>
      </c>
      <c r="AW102" s="7">
        <v>325</v>
      </c>
      <c r="AX102" s="7">
        <v>0</v>
      </c>
      <c r="AY102" s="7">
        <v>0</v>
      </c>
      <c r="AZ102" s="7">
        <v>0</v>
      </c>
      <c r="BA102" s="7">
        <v>0</v>
      </c>
      <c r="BB102" s="7">
        <v>0</v>
      </c>
      <c r="BC102" s="7">
        <v>0</v>
      </c>
      <c r="BD102" s="7">
        <v>0</v>
      </c>
      <c r="BE102" s="7">
        <v>0</v>
      </c>
      <c r="BF102" s="7">
        <v>0</v>
      </c>
      <c r="BG102" s="7">
        <v>0</v>
      </c>
      <c r="BH102" s="7">
        <v>0</v>
      </c>
      <c r="BI102" s="7">
        <v>0</v>
      </c>
      <c r="BJ102" s="7">
        <v>0</v>
      </c>
      <c r="BK102" s="7">
        <v>0</v>
      </c>
      <c r="BL102" s="7">
        <v>0</v>
      </c>
      <c r="BM102" s="7">
        <v>0</v>
      </c>
      <c r="BN102" s="7">
        <v>0</v>
      </c>
      <c r="BO102" s="7">
        <v>0</v>
      </c>
      <c r="BP102" s="7">
        <v>0</v>
      </c>
      <c r="BQ102" s="7">
        <v>0</v>
      </c>
      <c r="BR102" s="7">
        <v>0</v>
      </c>
      <c r="BS102" s="7">
        <v>0</v>
      </c>
      <c r="BT102" s="7">
        <v>0</v>
      </c>
      <c r="BU102" s="7">
        <v>0</v>
      </c>
      <c r="BV102" s="7">
        <v>0</v>
      </c>
      <c r="BW102" s="7">
        <v>0</v>
      </c>
      <c r="BX102" s="7">
        <v>0</v>
      </c>
      <c r="BY102" s="7">
        <v>0</v>
      </c>
      <c r="BZ102" s="7">
        <v>0</v>
      </c>
      <c r="CA102" s="7">
        <v>0</v>
      </c>
      <c r="CB102" s="7">
        <v>0</v>
      </c>
      <c r="CC102" s="7">
        <v>0</v>
      </c>
      <c r="CD102" s="7">
        <v>0</v>
      </c>
      <c r="CE102" s="7">
        <v>0</v>
      </c>
      <c r="CF102" s="22">
        <v>0</v>
      </c>
      <c r="CG102" s="22">
        <v>0</v>
      </c>
      <c r="CH102" s="22">
        <v>0</v>
      </c>
      <c r="CI102" s="22">
        <v>0</v>
      </c>
      <c r="CJ102" s="22">
        <v>0</v>
      </c>
      <c r="CK102" s="22">
        <v>0</v>
      </c>
      <c r="CL102" s="22">
        <v>0</v>
      </c>
      <c r="CM102" s="22">
        <v>0</v>
      </c>
      <c r="CN102" s="22">
        <v>0</v>
      </c>
      <c r="CO102" s="22">
        <v>0</v>
      </c>
      <c r="CP102" s="22">
        <v>0</v>
      </c>
      <c r="CQ102" s="22">
        <v>0</v>
      </c>
      <c r="CR102" s="22">
        <v>0</v>
      </c>
      <c r="CS102" s="22">
        <v>0</v>
      </c>
      <c r="CT102" s="22">
        <v>0</v>
      </c>
      <c r="CU102" s="22">
        <v>0</v>
      </c>
      <c r="CV102" s="22">
        <v>0</v>
      </c>
      <c r="CW102" s="22">
        <v>0</v>
      </c>
      <c r="CX102" s="22">
        <v>0</v>
      </c>
      <c r="CY102" s="22">
        <v>0</v>
      </c>
      <c r="CZ102" s="22">
        <v>0</v>
      </c>
      <c r="DA102" s="22">
        <v>0</v>
      </c>
      <c r="DB102" s="22">
        <v>0</v>
      </c>
      <c r="DC102" s="22">
        <v>0</v>
      </c>
      <c r="DD102" s="7">
        <v>0</v>
      </c>
      <c r="DE102" s="7">
        <v>0</v>
      </c>
      <c r="DF102" s="7">
        <v>0</v>
      </c>
      <c r="DG102" s="7">
        <v>0</v>
      </c>
      <c r="DH102" s="7">
        <v>0</v>
      </c>
      <c r="DI102" s="7">
        <v>0</v>
      </c>
      <c r="DJ102" s="7">
        <v>0</v>
      </c>
      <c r="DK102" s="7">
        <v>0</v>
      </c>
      <c r="DL102" s="7">
        <v>0</v>
      </c>
      <c r="DM102" s="7">
        <v>0</v>
      </c>
      <c r="DN102" s="7">
        <v>0</v>
      </c>
      <c r="DO102" s="7">
        <v>0</v>
      </c>
      <c r="DP102" s="7">
        <v>0</v>
      </c>
      <c r="DQ102" s="7">
        <v>0</v>
      </c>
      <c r="DR102" s="7">
        <v>0</v>
      </c>
      <c r="DS102" s="7">
        <v>0</v>
      </c>
      <c r="DT102" s="7">
        <v>0</v>
      </c>
      <c r="DU102" s="7">
        <v>35</v>
      </c>
      <c r="DV102" s="7">
        <v>71</v>
      </c>
      <c r="DW102" s="7">
        <v>132</v>
      </c>
      <c r="DX102" s="7">
        <v>139</v>
      </c>
      <c r="DY102" s="7">
        <v>1050</v>
      </c>
      <c r="DZ102" s="7">
        <v>1930</v>
      </c>
      <c r="EA102" s="7">
        <v>2443</v>
      </c>
      <c r="EB102" s="7">
        <v>2761</v>
      </c>
      <c r="EC102" s="7">
        <v>2660</v>
      </c>
      <c r="ED102" s="7">
        <v>3013</v>
      </c>
      <c r="EE102" s="7">
        <v>3540</v>
      </c>
      <c r="EF102" s="7">
        <v>4450</v>
      </c>
      <c r="EG102" s="7">
        <v>11488</v>
      </c>
      <c r="EH102" s="7">
        <v>26022</v>
      </c>
      <c r="EI102" s="7">
        <v>44794</v>
      </c>
      <c r="EJ102" s="25">
        <f t="shared" si="7"/>
        <v>-6876</v>
      </c>
      <c r="EK102" s="7">
        <v>37918</v>
      </c>
      <c r="EL102" s="25">
        <f t="shared" si="8"/>
        <v>844</v>
      </c>
      <c r="EM102" s="7">
        <v>38762</v>
      </c>
      <c r="EN102" s="25">
        <f t="shared" si="9"/>
        <v>2834</v>
      </c>
      <c r="EO102" s="7">
        <v>41596</v>
      </c>
      <c r="EP102" s="25">
        <f t="shared" si="10"/>
        <v>1174</v>
      </c>
      <c r="EQ102" s="7">
        <v>42770</v>
      </c>
      <c r="ER102" s="25">
        <f t="shared" si="11"/>
        <v>-20484</v>
      </c>
      <c r="ES102" s="7">
        <v>22286</v>
      </c>
      <c r="ET102" s="25">
        <f t="shared" si="12"/>
        <v>1752</v>
      </c>
      <c r="EU102" s="7">
        <v>24038</v>
      </c>
      <c r="EV102" s="25">
        <f t="shared" si="13"/>
        <v>-1670</v>
      </c>
      <c r="EW102" s="7">
        <v>22368</v>
      </c>
      <c r="EX102" s="7">
        <v>5740</v>
      </c>
      <c r="EY102" s="7">
        <v>4986</v>
      </c>
      <c r="EZ102" s="7">
        <v>4778</v>
      </c>
      <c r="FA102" s="7">
        <v>3320</v>
      </c>
      <c r="FB102" s="7">
        <v>1869</v>
      </c>
      <c r="FC102" s="7">
        <v>567</v>
      </c>
      <c r="FD102" s="7">
        <v>541</v>
      </c>
      <c r="FE102" s="7">
        <v>468</v>
      </c>
      <c r="FF102" s="7">
        <v>481</v>
      </c>
      <c r="FG102" s="7">
        <v>469</v>
      </c>
      <c r="FH102" s="7">
        <v>457</v>
      </c>
      <c r="FI102" s="7">
        <v>56</v>
      </c>
      <c r="FJ102" s="7">
        <v>54</v>
      </c>
    </row>
    <row r="103" spans="1:166" x14ac:dyDescent="0.4">
      <c r="A103" s="35" t="s">
        <v>14</v>
      </c>
      <c r="B103" s="7">
        <v>0</v>
      </c>
      <c r="C103" s="7">
        <v>0</v>
      </c>
      <c r="D103" s="7">
        <v>0</v>
      </c>
      <c r="E103" s="7">
        <v>0</v>
      </c>
      <c r="F103" s="7">
        <v>0</v>
      </c>
      <c r="G103" s="7">
        <v>0</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c r="AF103" s="7">
        <v>0</v>
      </c>
      <c r="AG103" s="7">
        <v>0</v>
      </c>
      <c r="AH103" s="7">
        <v>0</v>
      </c>
      <c r="AI103" s="7">
        <v>0</v>
      </c>
      <c r="AJ103" s="7">
        <v>0</v>
      </c>
      <c r="AK103" s="7">
        <v>0</v>
      </c>
      <c r="AL103" s="7">
        <v>0</v>
      </c>
      <c r="AM103" s="7">
        <v>0</v>
      </c>
      <c r="AN103" s="7">
        <v>0</v>
      </c>
      <c r="AO103" s="7">
        <v>0</v>
      </c>
      <c r="AP103" s="7">
        <v>0</v>
      </c>
      <c r="AQ103" s="7">
        <v>0</v>
      </c>
      <c r="AR103" s="7">
        <v>0</v>
      </c>
      <c r="AS103" s="7">
        <v>0</v>
      </c>
      <c r="AT103" s="7">
        <v>0</v>
      </c>
      <c r="AU103" s="7">
        <v>0</v>
      </c>
      <c r="AV103" s="7">
        <v>0</v>
      </c>
      <c r="AW103" s="7">
        <v>0</v>
      </c>
      <c r="AX103" s="7">
        <v>9099</v>
      </c>
      <c r="AY103" s="7">
        <v>9024</v>
      </c>
      <c r="AZ103" s="7">
        <v>8691</v>
      </c>
      <c r="BA103" s="7">
        <v>8457</v>
      </c>
      <c r="BB103" s="7">
        <v>8546</v>
      </c>
      <c r="BC103" s="7">
        <v>8478</v>
      </c>
      <c r="BD103" s="7">
        <v>8863</v>
      </c>
      <c r="BE103" s="7">
        <v>9945</v>
      </c>
      <c r="BF103" s="7">
        <v>9810</v>
      </c>
      <c r="BG103" s="7">
        <v>9759</v>
      </c>
      <c r="BH103" s="7">
        <v>9666</v>
      </c>
      <c r="BI103" s="7">
        <v>11127</v>
      </c>
      <c r="BJ103" s="7">
        <v>10998</v>
      </c>
      <c r="BK103" s="7">
        <v>10793</v>
      </c>
      <c r="BL103" s="7">
        <v>10672</v>
      </c>
      <c r="BM103" s="7">
        <v>25292</v>
      </c>
      <c r="BN103" s="7">
        <v>28104</v>
      </c>
      <c r="BO103" s="7">
        <v>28306</v>
      </c>
      <c r="BP103" s="7">
        <v>28616</v>
      </c>
      <c r="BQ103" s="7">
        <v>28399</v>
      </c>
      <c r="BR103" s="7">
        <v>31348</v>
      </c>
      <c r="BS103" s="7">
        <v>30313</v>
      </c>
      <c r="BT103" s="7">
        <v>30242</v>
      </c>
      <c r="BU103" s="7">
        <v>30639</v>
      </c>
      <c r="BV103" s="7">
        <v>35424</v>
      </c>
      <c r="BW103" s="7">
        <v>33704</v>
      </c>
      <c r="BX103" s="7">
        <v>34461</v>
      </c>
      <c r="BY103" s="7">
        <v>34842</v>
      </c>
      <c r="BZ103" s="7">
        <v>34772</v>
      </c>
      <c r="CA103" s="7">
        <v>36044</v>
      </c>
      <c r="CB103" s="7">
        <v>34977</v>
      </c>
      <c r="CC103" s="7">
        <v>35114</v>
      </c>
      <c r="CD103" s="7">
        <v>36824</v>
      </c>
      <c r="CE103" s="7">
        <v>35660</v>
      </c>
      <c r="CF103" s="7">
        <v>35385</v>
      </c>
      <c r="CG103" s="7">
        <v>35497</v>
      </c>
      <c r="CH103" s="7">
        <v>44707</v>
      </c>
      <c r="CI103" s="7">
        <v>45320</v>
      </c>
      <c r="CJ103" s="7">
        <v>48081</v>
      </c>
      <c r="CK103" s="7">
        <v>56588</v>
      </c>
      <c r="CL103" s="7">
        <v>53688</v>
      </c>
      <c r="CM103" s="7">
        <v>52109</v>
      </c>
      <c r="CN103" s="7">
        <v>51164</v>
      </c>
      <c r="CO103" s="7">
        <v>72990</v>
      </c>
      <c r="CP103" s="7">
        <v>74791</v>
      </c>
      <c r="CQ103" s="7">
        <v>79086</v>
      </c>
      <c r="CR103" s="7">
        <v>79107</v>
      </c>
      <c r="CS103" s="7">
        <v>76328</v>
      </c>
      <c r="CT103" s="7">
        <v>73828</v>
      </c>
      <c r="CU103" s="7">
        <v>76224</v>
      </c>
      <c r="CV103" s="7">
        <v>73918</v>
      </c>
      <c r="CW103" s="7">
        <v>163477</v>
      </c>
      <c r="CX103" s="7">
        <v>162345</v>
      </c>
      <c r="CY103" s="7">
        <v>161467</v>
      </c>
      <c r="CZ103" s="7">
        <v>162373</v>
      </c>
      <c r="DA103" s="7">
        <v>164293</v>
      </c>
      <c r="DB103" s="7">
        <v>162944</v>
      </c>
      <c r="DC103" s="7">
        <v>163044</v>
      </c>
      <c r="DD103" s="7">
        <v>157677</v>
      </c>
      <c r="DE103" s="7">
        <v>191918</v>
      </c>
      <c r="DF103" s="7">
        <v>215006</v>
      </c>
      <c r="DG103" s="7">
        <v>225274</v>
      </c>
      <c r="DH103" s="7">
        <v>241022</v>
      </c>
      <c r="DI103" s="7">
        <v>242296</v>
      </c>
      <c r="DJ103" s="7">
        <v>202246</v>
      </c>
      <c r="DK103" s="7">
        <v>179079</v>
      </c>
      <c r="DL103" s="7">
        <v>145750</v>
      </c>
      <c r="DM103" s="7">
        <v>174205</v>
      </c>
      <c r="DN103" s="7">
        <v>169390</v>
      </c>
      <c r="DO103" s="7">
        <v>160383</v>
      </c>
      <c r="DP103" s="7">
        <v>172218</v>
      </c>
      <c r="DQ103" s="7">
        <v>182511</v>
      </c>
      <c r="DR103" s="7">
        <v>218027</v>
      </c>
      <c r="DS103" s="7">
        <v>217281</v>
      </c>
      <c r="DT103" s="7">
        <v>233063</v>
      </c>
      <c r="DU103" s="7">
        <v>241444</v>
      </c>
      <c r="DV103" s="7">
        <v>253191</v>
      </c>
      <c r="DW103" s="7">
        <v>252359</v>
      </c>
      <c r="DX103" s="7">
        <v>272409</v>
      </c>
      <c r="DY103" s="7">
        <v>286377</v>
      </c>
      <c r="DZ103" s="7">
        <v>301259</v>
      </c>
      <c r="EA103" s="7">
        <v>305889</v>
      </c>
      <c r="EB103" s="7">
        <v>294540</v>
      </c>
      <c r="EC103" s="7">
        <v>322906</v>
      </c>
      <c r="ED103" s="7">
        <v>340012</v>
      </c>
      <c r="EE103" s="7">
        <v>337674</v>
      </c>
      <c r="EF103" s="7">
        <v>357796</v>
      </c>
      <c r="EG103" s="7">
        <v>374160</v>
      </c>
      <c r="EH103" s="7">
        <v>394266</v>
      </c>
      <c r="EI103" s="7">
        <v>410539</v>
      </c>
      <c r="EJ103" s="25">
        <f t="shared" si="7"/>
        <v>218612</v>
      </c>
      <c r="EK103" s="7">
        <v>629151</v>
      </c>
      <c r="EL103" s="25">
        <f t="shared" si="8"/>
        <v>8146</v>
      </c>
      <c r="EM103" s="7">
        <v>637297</v>
      </c>
      <c r="EN103" s="25">
        <f t="shared" si="9"/>
        <v>35178</v>
      </c>
      <c r="EO103" s="7">
        <v>672475</v>
      </c>
      <c r="EP103" s="25">
        <f t="shared" si="10"/>
        <v>14574</v>
      </c>
      <c r="EQ103" s="7">
        <v>687049</v>
      </c>
      <c r="ER103" s="25">
        <f t="shared" si="11"/>
        <v>33028</v>
      </c>
      <c r="ES103" s="7">
        <v>720077</v>
      </c>
      <c r="ET103" s="25">
        <f t="shared" si="12"/>
        <v>80152</v>
      </c>
      <c r="EU103" s="7">
        <v>800229</v>
      </c>
      <c r="EV103" s="25">
        <f t="shared" si="13"/>
        <v>-65398</v>
      </c>
      <c r="EW103" s="7">
        <v>734831</v>
      </c>
      <c r="EX103" s="7">
        <v>711554</v>
      </c>
      <c r="EY103" s="7">
        <v>635062</v>
      </c>
      <c r="EZ103" s="7">
        <v>608700</v>
      </c>
      <c r="FA103" s="7">
        <v>599050</v>
      </c>
      <c r="FB103" s="7">
        <v>578535</v>
      </c>
      <c r="FC103" s="7">
        <v>556835</v>
      </c>
      <c r="FD103" s="7">
        <v>583024</v>
      </c>
      <c r="FE103" s="7">
        <v>571815</v>
      </c>
      <c r="FF103" s="7">
        <v>591229</v>
      </c>
      <c r="FG103" s="7">
        <v>574747</v>
      </c>
      <c r="FH103" s="7">
        <v>560325</v>
      </c>
      <c r="FI103" s="7">
        <v>535766</v>
      </c>
      <c r="FJ103" s="7">
        <v>502589</v>
      </c>
    </row>
    <row r="104" spans="1:166" x14ac:dyDescent="0.4">
      <c r="A104" s="35" t="s">
        <v>27</v>
      </c>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v>0</v>
      </c>
      <c r="BW104" s="7">
        <v>0</v>
      </c>
      <c r="BX104" s="7">
        <v>0</v>
      </c>
      <c r="BY104" s="7">
        <v>0</v>
      </c>
      <c r="BZ104" s="7">
        <v>0</v>
      </c>
      <c r="CA104" s="7">
        <v>0</v>
      </c>
      <c r="CB104" s="7">
        <v>0</v>
      </c>
      <c r="CC104" s="7">
        <v>0</v>
      </c>
      <c r="CD104" s="7">
        <v>0</v>
      </c>
      <c r="CE104" s="7">
        <v>0</v>
      </c>
      <c r="CF104" s="7">
        <v>0</v>
      </c>
      <c r="CG104" s="7">
        <v>0</v>
      </c>
      <c r="CH104" s="7">
        <v>0</v>
      </c>
      <c r="CI104" s="7">
        <v>0</v>
      </c>
      <c r="CJ104" s="7">
        <v>0</v>
      </c>
      <c r="CK104" s="7">
        <v>0</v>
      </c>
      <c r="CL104" s="7">
        <v>0</v>
      </c>
      <c r="CM104" s="7">
        <v>0</v>
      </c>
      <c r="CN104" s="7">
        <v>0</v>
      </c>
      <c r="CO104" s="7">
        <v>0</v>
      </c>
      <c r="CP104" s="7">
        <v>0</v>
      </c>
      <c r="CQ104" s="7">
        <v>637</v>
      </c>
      <c r="CR104" s="7">
        <v>1588</v>
      </c>
      <c r="CS104" s="7">
        <v>1518</v>
      </c>
      <c r="CT104" s="7">
        <v>1478</v>
      </c>
      <c r="CU104" s="7">
        <v>1525</v>
      </c>
      <c r="CV104" s="7">
        <v>1470</v>
      </c>
      <c r="CW104" s="7">
        <v>1515</v>
      </c>
      <c r="CX104" s="7">
        <v>1489</v>
      </c>
      <c r="CY104" s="7">
        <v>1473</v>
      </c>
      <c r="CZ104" s="7">
        <v>1448</v>
      </c>
      <c r="DA104" s="7">
        <v>1464</v>
      </c>
      <c r="DB104" s="7">
        <v>1473</v>
      </c>
      <c r="DC104" s="7">
        <v>874</v>
      </c>
      <c r="DD104" s="7">
        <v>1205</v>
      </c>
      <c r="DE104" s="7">
        <v>2976</v>
      </c>
      <c r="DF104" s="7">
        <v>2962</v>
      </c>
      <c r="DG104" s="7">
        <v>3063</v>
      </c>
      <c r="DH104" s="7">
        <v>3306</v>
      </c>
      <c r="DI104" s="7">
        <v>3323</v>
      </c>
      <c r="DJ104" s="7">
        <v>2705</v>
      </c>
      <c r="DK104" s="7">
        <v>2377</v>
      </c>
      <c r="DL104" s="7">
        <v>1959</v>
      </c>
      <c r="DM104" s="7">
        <v>2299</v>
      </c>
      <c r="DN104" s="7">
        <v>2248</v>
      </c>
      <c r="DO104" s="7">
        <v>2098</v>
      </c>
      <c r="DP104" s="7">
        <v>1223</v>
      </c>
      <c r="DQ104" s="7">
        <v>0</v>
      </c>
      <c r="DR104" s="7">
        <v>0</v>
      </c>
      <c r="DS104" s="7">
        <v>1018</v>
      </c>
      <c r="DT104" s="7">
        <v>2176</v>
      </c>
      <c r="DU104" s="7">
        <v>2225</v>
      </c>
      <c r="DV104" s="7">
        <v>2325</v>
      </c>
      <c r="DW104" s="7">
        <v>2331</v>
      </c>
      <c r="DX104" s="7">
        <v>3995</v>
      </c>
      <c r="DY104" s="7">
        <v>4205</v>
      </c>
      <c r="DZ104" s="7">
        <v>4436</v>
      </c>
      <c r="EA104" s="7">
        <v>4590</v>
      </c>
      <c r="EB104" s="7">
        <v>4395</v>
      </c>
      <c r="EC104" s="7">
        <v>4861</v>
      </c>
      <c r="ED104" s="7">
        <v>15608</v>
      </c>
      <c r="EE104" s="7">
        <v>14220</v>
      </c>
      <c r="EF104" s="7">
        <v>13419</v>
      </c>
      <c r="EG104" s="7">
        <v>13566</v>
      </c>
      <c r="EH104" s="7">
        <v>13701</v>
      </c>
      <c r="EI104" s="7">
        <v>13027</v>
      </c>
      <c r="EJ104" s="25">
        <f t="shared" si="7"/>
        <v>-2429</v>
      </c>
      <c r="EK104" s="7">
        <v>10598</v>
      </c>
      <c r="EL104" s="25">
        <f t="shared" si="8"/>
        <v>248</v>
      </c>
      <c r="EM104" s="7">
        <v>10846</v>
      </c>
      <c r="EN104" s="25">
        <f t="shared" si="9"/>
        <v>206</v>
      </c>
      <c r="EO104" s="7">
        <v>11052</v>
      </c>
      <c r="EP104" s="25">
        <f t="shared" si="10"/>
        <v>1334</v>
      </c>
      <c r="EQ104" s="7">
        <v>12386</v>
      </c>
      <c r="ER104" s="25">
        <f t="shared" si="11"/>
        <v>389</v>
      </c>
      <c r="ES104" s="7">
        <v>12775</v>
      </c>
      <c r="ET104" s="25">
        <f t="shared" si="12"/>
        <v>1057</v>
      </c>
      <c r="EU104" s="7">
        <v>13832</v>
      </c>
      <c r="EV104" s="25">
        <f t="shared" si="13"/>
        <v>-12665</v>
      </c>
      <c r="EW104" s="7">
        <v>1167</v>
      </c>
      <c r="EX104" s="7">
        <v>22719</v>
      </c>
      <c r="EY104" s="7">
        <v>20280</v>
      </c>
      <c r="EZ104" s="7">
        <v>19826</v>
      </c>
      <c r="FA104" s="7">
        <v>20515</v>
      </c>
      <c r="FB104" s="7">
        <v>19702</v>
      </c>
      <c r="FC104" s="7">
        <v>20399</v>
      </c>
      <c r="FD104" s="7">
        <v>21049</v>
      </c>
      <c r="FE104" s="7">
        <v>20902</v>
      </c>
      <c r="FF104" s="7">
        <v>35496</v>
      </c>
      <c r="FG104" s="7">
        <v>34364</v>
      </c>
      <c r="FH104" s="7">
        <v>33499</v>
      </c>
      <c r="FI104" s="7">
        <v>45525</v>
      </c>
      <c r="FJ104" s="7">
        <v>24899</v>
      </c>
    </row>
    <row r="105" spans="1:166" x14ac:dyDescent="0.4">
      <c r="A105" s="35" t="s">
        <v>30</v>
      </c>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v>35424</v>
      </c>
      <c r="BW105" s="7">
        <v>33704</v>
      </c>
      <c r="BX105" s="7">
        <v>34461</v>
      </c>
      <c r="BY105" s="7">
        <v>34842</v>
      </c>
      <c r="BZ105" s="7">
        <v>34772</v>
      </c>
      <c r="CA105" s="7">
        <v>36044</v>
      </c>
      <c r="CB105" s="7">
        <v>34977</v>
      </c>
      <c r="CC105" s="7">
        <v>35114</v>
      </c>
      <c r="CD105" s="7">
        <v>36824</v>
      </c>
      <c r="CE105" s="7">
        <v>35660</v>
      </c>
      <c r="CF105" s="7">
        <v>35385</v>
      </c>
      <c r="CG105" s="7">
        <v>35497</v>
      </c>
      <c r="CH105" s="7">
        <v>44707</v>
      </c>
      <c r="CI105" s="7">
        <v>45320</v>
      </c>
      <c r="CJ105" s="7">
        <v>48081</v>
      </c>
      <c r="CK105" s="7">
        <v>56588</v>
      </c>
      <c r="CL105" s="7">
        <v>53688</v>
      </c>
      <c r="CM105" s="7">
        <v>52109</v>
      </c>
      <c r="CN105" s="7">
        <v>51164</v>
      </c>
      <c r="CO105" s="7">
        <v>72990</v>
      </c>
      <c r="CP105" s="7">
        <v>74791</v>
      </c>
      <c r="CQ105" s="7">
        <v>78449</v>
      </c>
      <c r="CR105" s="7">
        <v>77519</v>
      </c>
      <c r="CS105" s="7">
        <v>74809</v>
      </c>
      <c r="CT105" s="7">
        <v>72350</v>
      </c>
      <c r="CU105" s="7">
        <v>74699</v>
      </c>
      <c r="CV105" s="7">
        <v>72448</v>
      </c>
      <c r="CW105" s="7">
        <v>161962</v>
      </c>
      <c r="CX105" s="7">
        <v>160857</v>
      </c>
      <c r="CY105" s="7">
        <v>159994</v>
      </c>
      <c r="CZ105" s="7">
        <v>160924</v>
      </c>
      <c r="DA105" s="7">
        <v>162829</v>
      </c>
      <c r="DB105" s="7">
        <v>161472</v>
      </c>
      <c r="DC105" s="7">
        <v>162170</v>
      </c>
      <c r="DD105" s="7">
        <v>156472</v>
      </c>
      <c r="DE105" s="7">
        <v>188942</v>
      </c>
      <c r="DF105" s="7">
        <v>212044</v>
      </c>
      <c r="DG105" s="7">
        <v>222211</v>
      </c>
      <c r="DH105" s="7">
        <v>237717</v>
      </c>
      <c r="DI105" s="7">
        <v>238973</v>
      </c>
      <c r="DJ105" s="7">
        <v>199541</v>
      </c>
      <c r="DK105" s="7">
        <v>176702</v>
      </c>
      <c r="DL105" s="7">
        <v>143792</v>
      </c>
      <c r="DM105" s="7">
        <v>171905</v>
      </c>
      <c r="DN105" s="7">
        <v>167142</v>
      </c>
      <c r="DO105" s="7">
        <v>158286</v>
      </c>
      <c r="DP105" s="7">
        <v>170995</v>
      </c>
      <c r="DQ105" s="7">
        <v>182511</v>
      </c>
      <c r="DR105" s="7">
        <v>218027</v>
      </c>
      <c r="DS105" s="7">
        <v>216263</v>
      </c>
      <c r="DT105" s="7">
        <v>230887</v>
      </c>
      <c r="DU105" s="7">
        <v>239219</v>
      </c>
      <c r="DV105" s="7">
        <v>250866</v>
      </c>
      <c r="DW105" s="7">
        <v>250028</v>
      </c>
      <c r="DX105" s="7">
        <v>268414</v>
      </c>
      <c r="DY105" s="7">
        <v>282172</v>
      </c>
      <c r="DZ105" s="7">
        <v>296823</v>
      </c>
      <c r="EA105" s="7">
        <v>301299</v>
      </c>
      <c r="EB105" s="7">
        <v>290145</v>
      </c>
      <c r="EC105" s="7">
        <v>318045</v>
      </c>
      <c r="ED105" s="7">
        <v>324404</v>
      </c>
      <c r="EE105" s="7">
        <v>323454</v>
      </c>
      <c r="EF105" s="7">
        <v>344377</v>
      </c>
      <c r="EG105" s="7">
        <v>360594</v>
      </c>
      <c r="EH105" s="7">
        <v>380565</v>
      </c>
      <c r="EI105" s="7">
        <v>397512</v>
      </c>
      <c r="EJ105" s="25">
        <f t="shared" si="7"/>
        <v>221041</v>
      </c>
      <c r="EK105" s="7">
        <v>618553</v>
      </c>
      <c r="EL105" s="25">
        <f t="shared" si="8"/>
        <v>7898</v>
      </c>
      <c r="EM105" s="7">
        <v>626451</v>
      </c>
      <c r="EN105" s="25">
        <f t="shared" si="9"/>
        <v>34972</v>
      </c>
      <c r="EO105" s="7">
        <v>661423</v>
      </c>
      <c r="EP105" s="25">
        <f t="shared" si="10"/>
        <v>13239</v>
      </c>
      <c r="EQ105" s="7">
        <v>674662</v>
      </c>
      <c r="ER105" s="25">
        <f t="shared" si="11"/>
        <v>32640</v>
      </c>
      <c r="ES105" s="7">
        <v>707302</v>
      </c>
      <c r="ET105" s="25">
        <f t="shared" si="12"/>
        <v>79095</v>
      </c>
      <c r="EU105" s="7">
        <v>786397</v>
      </c>
      <c r="EV105" s="25">
        <f t="shared" si="13"/>
        <v>-52733</v>
      </c>
      <c r="EW105" s="7">
        <v>733664</v>
      </c>
      <c r="EX105" s="7">
        <v>688835</v>
      </c>
      <c r="EY105" s="7">
        <v>614783</v>
      </c>
      <c r="EZ105" s="7">
        <v>588875</v>
      </c>
      <c r="FA105" s="7">
        <v>578536</v>
      </c>
      <c r="FB105" s="7">
        <v>558833</v>
      </c>
      <c r="FC105" s="7">
        <v>536437</v>
      </c>
      <c r="FD105" s="7">
        <v>561975</v>
      </c>
      <c r="FE105" s="7">
        <v>550913</v>
      </c>
      <c r="FF105" s="7">
        <v>555734</v>
      </c>
      <c r="FG105" s="7">
        <v>540383</v>
      </c>
      <c r="FH105" s="7">
        <v>526826</v>
      </c>
      <c r="FI105" s="7">
        <v>490241</v>
      </c>
      <c r="FJ105" s="7">
        <v>477690</v>
      </c>
    </row>
    <row r="106" spans="1:166" x14ac:dyDescent="0.4">
      <c r="A106" s="34" t="s">
        <v>4</v>
      </c>
      <c r="B106" s="7">
        <v>0</v>
      </c>
      <c r="C106" s="7">
        <v>0</v>
      </c>
      <c r="D106" s="7">
        <v>0</v>
      </c>
      <c r="E106" s="7">
        <v>0</v>
      </c>
      <c r="F106" s="7">
        <v>0</v>
      </c>
      <c r="G106" s="7">
        <v>0</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c r="AF106" s="7">
        <v>0</v>
      </c>
      <c r="AG106" s="7">
        <v>0</v>
      </c>
      <c r="AH106" s="7">
        <v>0</v>
      </c>
      <c r="AI106" s="7">
        <v>0</v>
      </c>
      <c r="AJ106" s="7">
        <v>0</v>
      </c>
      <c r="AK106" s="7">
        <v>0</v>
      </c>
      <c r="AL106" s="7">
        <v>0</v>
      </c>
      <c r="AM106" s="7">
        <v>0</v>
      </c>
      <c r="AN106" s="7">
        <v>0</v>
      </c>
      <c r="AO106" s="7">
        <v>0</v>
      </c>
      <c r="AP106" s="7">
        <v>0</v>
      </c>
      <c r="AQ106" s="7">
        <v>0</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0</v>
      </c>
      <c r="BI106" s="7">
        <v>0</v>
      </c>
      <c r="BJ106" s="7">
        <v>0</v>
      </c>
      <c r="BK106" s="7">
        <v>0</v>
      </c>
      <c r="BL106" s="7">
        <v>0</v>
      </c>
      <c r="BM106" s="7">
        <v>0</v>
      </c>
      <c r="BN106" s="7">
        <v>0</v>
      </c>
      <c r="BO106" s="7">
        <v>0</v>
      </c>
      <c r="BP106" s="7">
        <v>0</v>
      </c>
      <c r="BQ106" s="7">
        <v>0</v>
      </c>
      <c r="BR106" s="7">
        <v>0</v>
      </c>
      <c r="BS106" s="7">
        <v>0</v>
      </c>
      <c r="BT106" s="7">
        <v>0</v>
      </c>
      <c r="BU106" s="7">
        <v>0</v>
      </c>
      <c r="BV106" s="7">
        <v>0</v>
      </c>
      <c r="BW106" s="7">
        <v>0</v>
      </c>
      <c r="BX106" s="7">
        <v>0</v>
      </c>
      <c r="BY106" s="7">
        <v>0</v>
      </c>
      <c r="BZ106" s="7">
        <v>0</v>
      </c>
      <c r="CA106" s="7">
        <v>0</v>
      </c>
      <c r="CB106" s="7">
        <v>0</v>
      </c>
      <c r="CC106" s="7">
        <v>0</v>
      </c>
      <c r="CD106" s="7">
        <v>0</v>
      </c>
      <c r="CE106" s="7">
        <v>0</v>
      </c>
      <c r="CF106" s="22">
        <v>0</v>
      </c>
      <c r="CG106" s="22">
        <v>0</v>
      </c>
      <c r="CH106" s="22">
        <v>0</v>
      </c>
      <c r="CI106" s="22">
        <v>0</v>
      </c>
      <c r="CJ106" s="22">
        <v>0</v>
      </c>
      <c r="CK106" s="22">
        <v>0</v>
      </c>
      <c r="CL106" s="22">
        <v>0</v>
      </c>
      <c r="CM106" s="22">
        <v>0</v>
      </c>
      <c r="CN106" s="22">
        <v>0</v>
      </c>
      <c r="CO106" s="22">
        <v>0</v>
      </c>
      <c r="CP106" s="22">
        <v>0</v>
      </c>
      <c r="CQ106" s="22">
        <v>0</v>
      </c>
      <c r="CR106" s="22">
        <v>0</v>
      </c>
      <c r="CS106" s="22">
        <v>0</v>
      </c>
      <c r="CT106" s="22">
        <v>0</v>
      </c>
      <c r="CU106" s="22">
        <v>0</v>
      </c>
      <c r="CV106" s="22">
        <v>0</v>
      </c>
      <c r="CW106" s="22">
        <v>0</v>
      </c>
      <c r="CX106" s="22">
        <v>0</v>
      </c>
      <c r="CY106" s="22">
        <v>0</v>
      </c>
      <c r="CZ106" s="22">
        <v>0</v>
      </c>
      <c r="DA106" s="22">
        <v>0</v>
      </c>
      <c r="DB106" s="22">
        <v>0</v>
      </c>
      <c r="DC106" s="22">
        <v>0</v>
      </c>
      <c r="DD106" s="7">
        <v>0</v>
      </c>
      <c r="DE106" s="7">
        <v>0</v>
      </c>
      <c r="DF106" s="7">
        <v>0</v>
      </c>
      <c r="DG106" s="7">
        <v>0</v>
      </c>
      <c r="DH106" s="7">
        <v>0</v>
      </c>
      <c r="DI106" s="7">
        <v>0</v>
      </c>
      <c r="DJ106" s="7">
        <v>0</v>
      </c>
      <c r="DK106" s="7">
        <v>0</v>
      </c>
      <c r="DL106" s="7">
        <v>0</v>
      </c>
      <c r="DM106" s="7">
        <v>0</v>
      </c>
      <c r="DN106" s="7">
        <v>0</v>
      </c>
      <c r="DO106" s="7">
        <v>0</v>
      </c>
      <c r="DP106" s="7">
        <v>0</v>
      </c>
      <c r="DQ106" s="7">
        <v>0</v>
      </c>
      <c r="DR106" s="7">
        <v>0</v>
      </c>
      <c r="DS106" s="7">
        <v>0</v>
      </c>
      <c r="DT106" s="7">
        <v>0</v>
      </c>
      <c r="DU106" s="7">
        <v>0</v>
      </c>
      <c r="DV106" s="7">
        <v>0</v>
      </c>
      <c r="DW106" s="7">
        <v>0</v>
      </c>
      <c r="DX106" s="7">
        <v>0</v>
      </c>
      <c r="DY106" s="7">
        <v>0</v>
      </c>
      <c r="DZ106" s="7">
        <v>0</v>
      </c>
      <c r="EA106" s="7">
        <v>0</v>
      </c>
      <c r="EB106" s="7">
        <v>0</v>
      </c>
      <c r="EC106" s="7">
        <v>0</v>
      </c>
      <c r="ED106" s="7">
        <v>0</v>
      </c>
      <c r="EE106" s="7">
        <v>0</v>
      </c>
      <c r="EF106" s="7">
        <v>0</v>
      </c>
      <c r="EG106" s="7">
        <v>0</v>
      </c>
      <c r="EH106" s="7">
        <v>0</v>
      </c>
      <c r="EI106" s="7">
        <v>0</v>
      </c>
      <c r="EJ106" s="25">
        <f t="shared" si="7"/>
        <v>0</v>
      </c>
      <c r="EK106" s="7">
        <v>0</v>
      </c>
      <c r="EL106" s="25">
        <f t="shared" si="8"/>
        <v>0</v>
      </c>
      <c r="EM106" s="7">
        <v>0</v>
      </c>
      <c r="EN106" s="25">
        <f t="shared" si="9"/>
        <v>0</v>
      </c>
      <c r="EO106" s="7">
        <v>0</v>
      </c>
      <c r="EP106" s="25">
        <f t="shared" si="10"/>
        <v>0</v>
      </c>
      <c r="EQ106" s="7">
        <v>0</v>
      </c>
      <c r="ER106" s="25">
        <f t="shared" si="11"/>
        <v>0</v>
      </c>
      <c r="ES106" s="7">
        <v>0</v>
      </c>
      <c r="ET106" s="25">
        <f t="shared" si="12"/>
        <v>0</v>
      </c>
      <c r="EU106" s="7">
        <v>0</v>
      </c>
      <c r="EV106" s="25">
        <f t="shared" si="13"/>
        <v>0</v>
      </c>
      <c r="EW106" s="7">
        <v>0</v>
      </c>
      <c r="EX106" s="7">
        <v>0</v>
      </c>
      <c r="EY106" s="7">
        <v>0</v>
      </c>
      <c r="EZ106" s="7">
        <v>0</v>
      </c>
      <c r="FA106" s="7">
        <v>0</v>
      </c>
      <c r="FB106" s="7">
        <v>0</v>
      </c>
      <c r="FC106" s="7">
        <v>0</v>
      </c>
      <c r="FD106" s="7">
        <v>0</v>
      </c>
      <c r="FE106" s="7">
        <v>0</v>
      </c>
      <c r="FF106" s="7">
        <v>0</v>
      </c>
      <c r="FG106" s="7">
        <v>0</v>
      </c>
      <c r="FH106" s="7">
        <v>0</v>
      </c>
      <c r="FI106" s="7">
        <v>0</v>
      </c>
      <c r="FJ106" s="7">
        <v>0</v>
      </c>
    </row>
    <row r="107" spans="1:166" x14ac:dyDescent="0.4">
      <c r="A107" s="35" t="s">
        <v>13</v>
      </c>
      <c r="B107" s="7">
        <v>0</v>
      </c>
      <c r="C107" s="7">
        <v>0</v>
      </c>
      <c r="D107" s="7">
        <v>0</v>
      </c>
      <c r="E107" s="7">
        <v>0</v>
      </c>
      <c r="F107" s="7">
        <v>0</v>
      </c>
      <c r="G107" s="7">
        <v>0</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c r="AF107" s="7">
        <v>0</v>
      </c>
      <c r="AG107" s="7">
        <v>0</v>
      </c>
      <c r="AH107" s="7">
        <v>0</v>
      </c>
      <c r="AI107" s="7">
        <v>0</v>
      </c>
      <c r="AJ107" s="7">
        <v>0</v>
      </c>
      <c r="AK107" s="7">
        <v>0</v>
      </c>
      <c r="AL107" s="7">
        <v>0</v>
      </c>
      <c r="AM107" s="7">
        <v>0</v>
      </c>
      <c r="AN107" s="7">
        <v>0</v>
      </c>
      <c r="AO107" s="7">
        <v>0</v>
      </c>
      <c r="AP107" s="7">
        <v>0</v>
      </c>
      <c r="AQ107" s="7">
        <v>0</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0</v>
      </c>
      <c r="BI107" s="7">
        <v>0</v>
      </c>
      <c r="BJ107" s="7">
        <v>0</v>
      </c>
      <c r="BK107" s="7">
        <v>0</v>
      </c>
      <c r="BL107" s="7">
        <v>0</v>
      </c>
      <c r="BM107" s="7">
        <v>0</v>
      </c>
      <c r="BN107" s="7">
        <v>0</v>
      </c>
      <c r="BO107" s="7">
        <v>0</v>
      </c>
      <c r="BP107" s="7">
        <v>0</v>
      </c>
      <c r="BQ107" s="7">
        <v>0</v>
      </c>
      <c r="BR107" s="7">
        <v>0</v>
      </c>
      <c r="BS107" s="7">
        <v>0</v>
      </c>
      <c r="BT107" s="7">
        <v>0</v>
      </c>
      <c r="BU107" s="7">
        <v>0</v>
      </c>
      <c r="BV107" s="7">
        <v>0</v>
      </c>
      <c r="BW107" s="7">
        <v>0</v>
      </c>
      <c r="BX107" s="7">
        <v>0</v>
      </c>
      <c r="BY107" s="7">
        <v>0</v>
      </c>
      <c r="BZ107" s="7">
        <v>0</v>
      </c>
      <c r="CA107" s="7">
        <v>0</v>
      </c>
      <c r="CB107" s="7">
        <v>0</v>
      </c>
      <c r="CC107" s="7">
        <v>0</v>
      </c>
      <c r="CD107" s="7">
        <v>0</v>
      </c>
      <c r="CE107" s="7">
        <v>0</v>
      </c>
      <c r="CF107" s="22">
        <v>0</v>
      </c>
      <c r="CG107" s="22">
        <v>0</v>
      </c>
      <c r="CH107" s="22">
        <v>0</v>
      </c>
      <c r="CI107" s="22">
        <v>0</v>
      </c>
      <c r="CJ107" s="22">
        <v>0</v>
      </c>
      <c r="CK107" s="22">
        <v>0</v>
      </c>
      <c r="CL107" s="22">
        <v>0</v>
      </c>
      <c r="CM107" s="22">
        <v>0</v>
      </c>
      <c r="CN107" s="22">
        <v>0</v>
      </c>
      <c r="CO107" s="22">
        <v>0</v>
      </c>
      <c r="CP107" s="22">
        <v>0</v>
      </c>
      <c r="CQ107" s="22">
        <v>0</v>
      </c>
      <c r="CR107" s="22">
        <v>0</v>
      </c>
      <c r="CS107" s="22">
        <v>0</v>
      </c>
      <c r="CT107" s="22">
        <v>0</v>
      </c>
      <c r="CU107" s="22">
        <v>0</v>
      </c>
      <c r="CV107" s="22">
        <v>0</v>
      </c>
      <c r="CW107" s="22">
        <v>0</v>
      </c>
      <c r="CX107" s="22">
        <v>0</v>
      </c>
      <c r="CY107" s="22">
        <v>0</v>
      </c>
      <c r="CZ107" s="22">
        <v>0</v>
      </c>
      <c r="DA107" s="22">
        <v>0</v>
      </c>
      <c r="DB107" s="22">
        <v>0</v>
      </c>
      <c r="DC107" s="22">
        <v>0</v>
      </c>
      <c r="DD107" s="7">
        <v>0</v>
      </c>
      <c r="DE107" s="7">
        <v>0</v>
      </c>
      <c r="DF107" s="7">
        <v>0</v>
      </c>
      <c r="DG107" s="7">
        <v>0</v>
      </c>
      <c r="DH107" s="7">
        <v>0</v>
      </c>
      <c r="DI107" s="7">
        <v>0</v>
      </c>
      <c r="DJ107" s="7">
        <v>0</v>
      </c>
      <c r="DK107" s="7">
        <v>0</v>
      </c>
      <c r="DL107" s="7">
        <v>0</v>
      </c>
      <c r="DM107" s="7">
        <v>0</v>
      </c>
      <c r="DN107" s="7">
        <v>0</v>
      </c>
      <c r="DO107" s="7">
        <v>0</v>
      </c>
      <c r="DP107" s="7">
        <v>0</v>
      </c>
      <c r="DQ107" s="7">
        <v>0</v>
      </c>
      <c r="DR107" s="7">
        <v>0</v>
      </c>
      <c r="DS107" s="7">
        <v>0</v>
      </c>
      <c r="DT107" s="7">
        <v>0</v>
      </c>
      <c r="DU107" s="7">
        <v>0</v>
      </c>
      <c r="DV107" s="7">
        <v>0</v>
      </c>
      <c r="DW107" s="7">
        <v>0</v>
      </c>
      <c r="DX107" s="7">
        <v>0</v>
      </c>
      <c r="DY107" s="7">
        <v>0</v>
      </c>
      <c r="DZ107" s="7">
        <v>0</v>
      </c>
      <c r="EA107" s="7">
        <v>0</v>
      </c>
      <c r="EB107" s="7">
        <v>0</v>
      </c>
      <c r="EC107" s="7">
        <v>0</v>
      </c>
      <c r="ED107" s="7">
        <v>0</v>
      </c>
      <c r="EE107" s="7">
        <v>0</v>
      </c>
      <c r="EF107" s="7">
        <v>0</v>
      </c>
      <c r="EG107" s="7">
        <v>0</v>
      </c>
      <c r="EH107" s="7">
        <v>0</v>
      </c>
      <c r="EI107" s="7">
        <v>0</v>
      </c>
      <c r="EJ107" s="25">
        <f t="shared" si="7"/>
        <v>0</v>
      </c>
      <c r="EK107" s="7">
        <v>0</v>
      </c>
      <c r="EL107" s="25">
        <f t="shared" si="8"/>
        <v>0</v>
      </c>
      <c r="EM107" s="7">
        <v>0</v>
      </c>
      <c r="EN107" s="25">
        <f t="shared" si="9"/>
        <v>0</v>
      </c>
      <c r="EO107" s="7">
        <v>0</v>
      </c>
      <c r="EP107" s="25">
        <f t="shared" si="10"/>
        <v>0</v>
      </c>
      <c r="EQ107" s="7">
        <v>0</v>
      </c>
      <c r="ER107" s="25">
        <f t="shared" si="11"/>
        <v>0</v>
      </c>
      <c r="ES107" s="7">
        <v>0</v>
      </c>
      <c r="ET107" s="25">
        <f t="shared" si="12"/>
        <v>0</v>
      </c>
      <c r="EU107" s="7">
        <v>0</v>
      </c>
      <c r="EV107" s="25">
        <f t="shared" si="13"/>
        <v>0</v>
      </c>
      <c r="EW107" s="7">
        <v>0</v>
      </c>
      <c r="EX107" s="7">
        <v>0</v>
      </c>
      <c r="EY107" s="7">
        <v>0</v>
      </c>
      <c r="EZ107" s="7">
        <v>0</v>
      </c>
      <c r="FA107" s="7">
        <v>0</v>
      </c>
      <c r="FB107" s="7">
        <v>0</v>
      </c>
      <c r="FC107" s="7">
        <v>0</v>
      </c>
      <c r="FD107" s="7">
        <v>0</v>
      </c>
      <c r="FE107" s="7">
        <v>0</v>
      </c>
      <c r="FF107" s="7">
        <v>0</v>
      </c>
      <c r="FG107" s="7">
        <v>0</v>
      </c>
      <c r="FH107" s="7">
        <v>0</v>
      </c>
      <c r="FI107" s="7">
        <v>0</v>
      </c>
      <c r="FJ107" s="7">
        <v>0</v>
      </c>
    </row>
    <row r="108" spans="1:166" x14ac:dyDescent="0.4">
      <c r="A108" s="35" t="s">
        <v>14</v>
      </c>
      <c r="B108" s="7">
        <v>0</v>
      </c>
      <c r="C108" s="7">
        <v>0</v>
      </c>
      <c r="D108" s="7">
        <v>0</v>
      </c>
      <c r="E108" s="7">
        <v>0</v>
      </c>
      <c r="F108" s="7">
        <v>0</v>
      </c>
      <c r="G108" s="7">
        <v>0</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c r="AF108" s="7">
        <v>0</v>
      </c>
      <c r="AG108" s="7">
        <v>0</v>
      </c>
      <c r="AH108" s="7">
        <v>0</v>
      </c>
      <c r="AI108" s="7">
        <v>0</v>
      </c>
      <c r="AJ108" s="7">
        <v>0</v>
      </c>
      <c r="AK108" s="7">
        <v>0</v>
      </c>
      <c r="AL108" s="7">
        <v>0</v>
      </c>
      <c r="AM108" s="7">
        <v>0</v>
      </c>
      <c r="AN108" s="7">
        <v>0</v>
      </c>
      <c r="AO108" s="7">
        <v>0</v>
      </c>
      <c r="AP108" s="7">
        <v>0</v>
      </c>
      <c r="AQ108" s="7">
        <v>0</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0</v>
      </c>
      <c r="BI108" s="7">
        <v>0</v>
      </c>
      <c r="BJ108" s="7">
        <v>0</v>
      </c>
      <c r="BK108" s="7">
        <v>0</v>
      </c>
      <c r="BL108" s="7">
        <v>0</v>
      </c>
      <c r="BM108" s="7">
        <v>0</v>
      </c>
      <c r="BN108" s="7">
        <v>0</v>
      </c>
      <c r="BO108" s="7">
        <v>0</v>
      </c>
      <c r="BP108" s="7">
        <v>0</v>
      </c>
      <c r="BQ108" s="7">
        <v>0</v>
      </c>
      <c r="BR108" s="7">
        <v>0</v>
      </c>
      <c r="BS108" s="7">
        <v>0</v>
      </c>
      <c r="BT108" s="7">
        <v>0</v>
      </c>
      <c r="BU108" s="7">
        <v>0</v>
      </c>
      <c r="BV108" s="7">
        <v>0</v>
      </c>
      <c r="BW108" s="7">
        <v>0</v>
      </c>
      <c r="BX108" s="7">
        <v>0</v>
      </c>
      <c r="BY108" s="7">
        <v>0</v>
      </c>
      <c r="BZ108" s="7">
        <v>0</v>
      </c>
      <c r="CA108" s="7">
        <v>0</v>
      </c>
      <c r="CB108" s="7">
        <v>0</v>
      </c>
      <c r="CC108" s="7">
        <v>0</v>
      </c>
      <c r="CD108" s="7">
        <v>0</v>
      </c>
      <c r="CE108" s="7">
        <v>0</v>
      </c>
      <c r="CF108" s="22">
        <v>0</v>
      </c>
      <c r="CG108" s="22">
        <v>0</v>
      </c>
      <c r="CH108" s="22">
        <v>0</v>
      </c>
      <c r="CI108" s="22">
        <v>0</v>
      </c>
      <c r="CJ108" s="22">
        <v>0</v>
      </c>
      <c r="CK108" s="22">
        <v>0</v>
      </c>
      <c r="CL108" s="22">
        <v>0</v>
      </c>
      <c r="CM108" s="22">
        <v>0</v>
      </c>
      <c r="CN108" s="22">
        <v>0</v>
      </c>
      <c r="CO108" s="22">
        <v>0</v>
      </c>
      <c r="CP108" s="22">
        <v>0</v>
      </c>
      <c r="CQ108" s="22">
        <v>0</v>
      </c>
      <c r="CR108" s="22">
        <v>0</v>
      </c>
      <c r="CS108" s="22">
        <v>0</v>
      </c>
      <c r="CT108" s="22">
        <v>0</v>
      </c>
      <c r="CU108" s="22">
        <v>0</v>
      </c>
      <c r="CV108" s="22">
        <v>0</v>
      </c>
      <c r="CW108" s="22">
        <v>0</v>
      </c>
      <c r="CX108" s="22">
        <v>0</v>
      </c>
      <c r="CY108" s="22">
        <v>0</v>
      </c>
      <c r="CZ108" s="22">
        <v>0</v>
      </c>
      <c r="DA108" s="22">
        <v>0</v>
      </c>
      <c r="DB108" s="22">
        <v>0</v>
      </c>
      <c r="DC108" s="22">
        <v>0</v>
      </c>
      <c r="DD108" s="7">
        <v>0</v>
      </c>
      <c r="DE108" s="7">
        <v>0</v>
      </c>
      <c r="DF108" s="7">
        <v>0</v>
      </c>
      <c r="DG108" s="7">
        <v>0</v>
      </c>
      <c r="DH108" s="7">
        <v>0</v>
      </c>
      <c r="DI108" s="7">
        <v>0</v>
      </c>
      <c r="DJ108" s="7">
        <v>0</v>
      </c>
      <c r="DK108" s="7">
        <v>0</v>
      </c>
      <c r="DL108" s="7">
        <v>0</v>
      </c>
      <c r="DM108" s="7">
        <v>0</v>
      </c>
      <c r="DN108" s="7">
        <v>0</v>
      </c>
      <c r="DO108" s="7">
        <v>0</v>
      </c>
      <c r="DP108" s="7">
        <v>0</v>
      </c>
      <c r="DQ108" s="7">
        <v>0</v>
      </c>
      <c r="DR108" s="7">
        <v>0</v>
      </c>
      <c r="DS108" s="7">
        <v>0</v>
      </c>
      <c r="DT108" s="7">
        <v>0</v>
      </c>
      <c r="DU108" s="7">
        <v>0</v>
      </c>
      <c r="DV108" s="7">
        <v>0</v>
      </c>
      <c r="DW108" s="7">
        <v>0</v>
      </c>
      <c r="DX108" s="7">
        <v>0</v>
      </c>
      <c r="DY108" s="7">
        <v>0</v>
      </c>
      <c r="DZ108" s="7">
        <v>0</v>
      </c>
      <c r="EA108" s="7">
        <v>0</v>
      </c>
      <c r="EB108" s="7">
        <v>0</v>
      </c>
      <c r="EC108" s="7">
        <v>0</v>
      </c>
      <c r="ED108" s="7">
        <v>0</v>
      </c>
      <c r="EE108" s="7">
        <v>0</v>
      </c>
      <c r="EF108" s="7">
        <v>0</v>
      </c>
      <c r="EG108" s="7">
        <v>0</v>
      </c>
      <c r="EH108" s="7">
        <v>0</v>
      </c>
      <c r="EI108" s="7">
        <v>0</v>
      </c>
      <c r="EJ108" s="25">
        <f t="shared" si="7"/>
        <v>0</v>
      </c>
      <c r="EK108" s="7">
        <v>0</v>
      </c>
      <c r="EL108" s="25">
        <f t="shared" si="8"/>
        <v>0</v>
      </c>
      <c r="EM108" s="7">
        <v>0</v>
      </c>
      <c r="EN108" s="25">
        <f t="shared" si="9"/>
        <v>0</v>
      </c>
      <c r="EO108" s="7">
        <v>0</v>
      </c>
      <c r="EP108" s="25">
        <f t="shared" si="10"/>
        <v>0</v>
      </c>
      <c r="EQ108" s="7">
        <v>0</v>
      </c>
      <c r="ER108" s="25">
        <f t="shared" si="11"/>
        <v>0</v>
      </c>
      <c r="ES108" s="7">
        <v>0</v>
      </c>
      <c r="ET108" s="25">
        <f t="shared" si="12"/>
        <v>0</v>
      </c>
      <c r="EU108" s="7">
        <v>0</v>
      </c>
      <c r="EV108" s="25">
        <f t="shared" si="13"/>
        <v>0</v>
      </c>
      <c r="EW108" s="7">
        <v>0</v>
      </c>
      <c r="EX108" s="7">
        <v>0</v>
      </c>
      <c r="EY108" s="7">
        <v>0</v>
      </c>
      <c r="EZ108" s="7">
        <v>0</v>
      </c>
      <c r="FA108" s="7">
        <v>0</v>
      </c>
      <c r="FB108" s="7">
        <v>0</v>
      </c>
      <c r="FC108" s="7">
        <v>0</v>
      </c>
      <c r="FD108" s="7">
        <v>0</v>
      </c>
      <c r="FE108" s="7">
        <v>0</v>
      </c>
      <c r="FF108" s="7">
        <v>0</v>
      </c>
      <c r="FG108" s="7">
        <v>0</v>
      </c>
      <c r="FH108" s="7">
        <v>0</v>
      </c>
      <c r="FI108" s="7">
        <v>0</v>
      </c>
      <c r="FJ108" s="7">
        <v>0</v>
      </c>
    </row>
    <row r="109" spans="1:166" x14ac:dyDescent="0.4">
      <c r="A109" s="35" t="s">
        <v>27</v>
      </c>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v>0</v>
      </c>
      <c r="BW109" s="7">
        <v>0</v>
      </c>
      <c r="BX109" s="7">
        <v>0</v>
      </c>
      <c r="BY109" s="7">
        <v>0</v>
      </c>
      <c r="BZ109" s="7">
        <v>0</v>
      </c>
      <c r="CA109" s="7">
        <v>0</v>
      </c>
      <c r="CB109" s="7">
        <v>0</v>
      </c>
      <c r="CC109" s="7">
        <v>0</v>
      </c>
      <c r="CD109" s="7">
        <v>0</v>
      </c>
      <c r="CE109" s="7">
        <v>0</v>
      </c>
      <c r="CF109" s="22">
        <v>0</v>
      </c>
      <c r="CG109" s="22">
        <v>0</v>
      </c>
      <c r="CH109" s="22">
        <v>0</v>
      </c>
      <c r="CI109" s="22">
        <v>0</v>
      </c>
      <c r="CJ109" s="22">
        <v>0</v>
      </c>
      <c r="CK109" s="22">
        <v>0</v>
      </c>
      <c r="CL109" s="22">
        <v>0</v>
      </c>
      <c r="CM109" s="22">
        <v>0</v>
      </c>
      <c r="CN109" s="22">
        <v>0</v>
      </c>
      <c r="CO109" s="22">
        <v>0</v>
      </c>
      <c r="CP109" s="22">
        <v>0</v>
      </c>
      <c r="CQ109" s="22">
        <v>0</v>
      </c>
      <c r="CR109" s="22">
        <v>0</v>
      </c>
      <c r="CS109" s="22">
        <v>0</v>
      </c>
      <c r="CT109" s="22">
        <v>0</v>
      </c>
      <c r="CU109" s="22">
        <v>0</v>
      </c>
      <c r="CV109" s="22">
        <v>0</v>
      </c>
      <c r="CW109" s="22">
        <v>0</v>
      </c>
      <c r="CX109" s="22">
        <v>0</v>
      </c>
      <c r="CY109" s="22">
        <v>0</v>
      </c>
      <c r="CZ109" s="22">
        <v>0</v>
      </c>
      <c r="DA109" s="22">
        <v>0</v>
      </c>
      <c r="DB109" s="22">
        <v>0</v>
      </c>
      <c r="DC109" s="22">
        <v>0</v>
      </c>
      <c r="DD109" s="7">
        <v>0</v>
      </c>
      <c r="DE109" s="7">
        <v>0</v>
      </c>
      <c r="DF109" s="7">
        <v>0</v>
      </c>
      <c r="DG109" s="7">
        <v>0</v>
      </c>
      <c r="DH109" s="7">
        <v>0</v>
      </c>
      <c r="DI109" s="7">
        <v>0</v>
      </c>
      <c r="DJ109" s="7">
        <v>0</v>
      </c>
      <c r="DK109" s="7">
        <v>0</v>
      </c>
      <c r="DL109" s="7">
        <v>0</v>
      </c>
      <c r="DM109" s="7">
        <v>0</v>
      </c>
      <c r="DN109" s="7">
        <v>0</v>
      </c>
      <c r="DO109" s="7">
        <v>0</v>
      </c>
      <c r="DP109" s="7">
        <v>0</v>
      </c>
      <c r="DQ109" s="7">
        <v>0</v>
      </c>
      <c r="DR109" s="7">
        <v>0</v>
      </c>
      <c r="DS109" s="7">
        <v>0</v>
      </c>
      <c r="DT109" s="7">
        <v>0</v>
      </c>
      <c r="DU109" s="7">
        <v>0</v>
      </c>
      <c r="DV109" s="7">
        <v>0</v>
      </c>
      <c r="DW109" s="7">
        <v>0</v>
      </c>
      <c r="DX109" s="7">
        <v>0</v>
      </c>
      <c r="DY109" s="7">
        <v>0</v>
      </c>
      <c r="DZ109" s="7">
        <v>0</v>
      </c>
      <c r="EA109" s="7">
        <v>0</v>
      </c>
      <c r="EB109" s="7">
        <v>0</v>
      </c>
      <c r="EC109" s="7">
        <v>0</v>
      </c>
      <c r="ED109" s="7">
        <v>0</v>
      </c>
      <c r="EE109" s="7">
        <v>0</v>
      </c>
      <c r="EF109" s="7">
        <v>0</v>
      </c>
      <c r="EG109" s="7">
        <v>0</v>
      </c>
      <c r="EH109" s="7">
        <v>0</v>
      </c>
      <c r="EI109" s="7">
        <v>0</v>
      </c>
      <c r="EJ109" s="25">
        <f t="shared" si="7"/>
        <v>0</v>
      </c>
      <c r="EK109" s="7">
        <v>0</v>
      </c>
      <c r="EL109" s="25">
        <f t="shared" si="8"/>
        <v>0</v>
      </c>
      <c r="EM109" s="7">
        <v>0</v>
      </c>
      <c r="EN109" s="25">
        <f t="shared" si="9"/>
        <v>0</v>
      </c>
      <c r="EO109" s="7">
        <v>0</v>
      </c>
      <c r="EP109" s="25">
        <f t="shared" si="10"/>
        <v>0</v>
      </c>
      <c r="EQ109" s="7">
        <v>0</v>
      </c>
      <c r="ER109" s="25">
        <f t="shared" si="11"/>
        <v>0</v>
      </c>
      <c r="ES109" s="7">
        <v>0</v>
      </c>
      <c r="ET109" s="25">
        <f t="shared" si="12"/>
        <v>0</v>
      </c>
      <c r="EU109" s="7">
        <v>0</v>
      </c>
      <c r="EV109" s="25">
        <f t="shared" si="13"/>
        <v>0</v>
      </c>
      <c r="EW109" s="7">
        <v>0</v>
      </c>
      <c r="EX109" s="7">
        <v>0</v>
      </c>
      <c r="EY109" s="7">
        <v>0</v>
      </c>
      <c r="EZ109" s="7">
        <v>0</v>
      </c>
      <c r="FA109" s="7">
        <v>0</v>
      </c>
      <c r="FB109" s="7">
        <v>0</v>
      </c>
      <c r="FC109" s="7">
        <v>0</v>
      </c>
      <c r="FD109" s="7">
        <v>0</v>
      </c>
      <c r="FE109" s="7">
        <v>0</v>
      </c>
      <c r="FF109" s="7">
        <v>0</v>
      </c>
      <c r="FG109" s="7">
        <v>0</v>
      </c>
      <c r="FH109" s="7">
        <v>0</v>
      </c>
      <c r="FI109" s="7">
        <v>0</v>
      </c>
      <c r="FJ109" s="7">
        <v>0</v>
      </c>
    </row>
    <row r="110" spans="1:166" x14ac:dyDescent="0.4">
      <c r="A110" s="35" t="s">
        <v>30</v>
      </c>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v>0</v>
      </c>
      <c r="BW110" s="7">
        <v>0</v>
      </c>
      <c r="BX110" s="7">
        <v>0</v>
      </c>
      <c r="BY110" s="7">
        <v>0</v>
      </c>
      <c r="BZ110" s="7">
        <v>0</v>
      </c>
      <c r="CA110" s="7">
        <v>0</v>
      </c>
      <c r="CB110" s="7">
        <v>0</v>
      </c>
      <c r="CC110" s="7">
        <v>0</v>
      </c>
      <c r="CD110" s="7">
        <v>0</v>
      </c>
      <c r="CE110" s="7">
        <v>0</v>
      </c>
      <c r="CF110" s="22">
        <v>0</v>
      </c>
      <c r="CG110" s="22">
        <v>0</v>
      </c>
      <c r="CH110" s="22">
        <v>0</v>
      </c>
      <c r="CI110" s="22">
        <v>0</v>
      </c>
      <c r="CJ110" s="22">
        <v>0</v>
      </c>
      <c r="CK110" s="22">
        <v>0</v>
      </c>
      <c r="CL110" s="22">
        <v>0</v>
      </c>
      <c r="CM110" s="22">
        <v>0</v>
      </c>
      <c r="CN110" s="22">
        <v>0</v>
      </c>
      <c r="CO110" s="22">
        <v>0</v>
      </c>
      <c r="CP110" s="22">
        <v>0</v>
      </c>
      <c r="CQ110" s="22">
        <v>0</v>
      </c>
      <c r="CR110" s="22">
        <v>0</v>
      </c>
      <c r="CS110" s="22">
        <v>0</v>
      </c>
      <c r="CT110" s="22">
        <v>0</v>
      </c>
      <c r="CU110" s="22">
        <v>0</v>
      </c>
      <c r="CV110" s="22">
        <v>0</v>
      </c>
      <c r="CW110" s="22">
        <v>0</v>
      </c>
      <c r="CX110" s="22">
        <v>0</v>
      </c>
      <c r="CY110" s="22">
        <v>0</v>
      </c>
      <c r="CZ110" s="22">
        <v>0</v>
      </c>
      <c r="DA110" s="22">
        <v>0</v>
      </c>
      <c r="DB110" s="22">
        <v>0</v>
      </c>
      <c r="DC110" s="22">
        <v>0</v>
      </c>
      <c r="DD110" s="7">
        <v>0</v>
      </c>
      <c r="DE110" s="7">
        <v>0</v>
      </c>
      <c r="DF110" s="7">
        <v>0</v>
      </c>
      <c r="DG110" s="7">
        <v>0</v>
      </c>
      <c r="DH110" s="7">
        <v>0</v>
      </c>
      <c r="DI110" s="7">
        <v>0</v>
      </c>
      <c r="DJ110" s="7">
        <v>0</v>
      </c>
      <c r="DK110" s="7">
        <v>0</v>
      </c>
      <c r="DL110" s="7">
        <v>0</v>
      </c>
      <c r="DM110" s="7">
        <v>0</v>
      </c>
      <c r="DN110" s="7">
        <v>0</v>
      </c>
      <c r="DO110" s="7">
        <v>0</v>
      </c>
      <c r="DP110" s="7">
        <v>0</v>
      </c>
      <c r="DQ110" s="7">
        <v>0</v>
      </c>
      <c r="DR110" s="7">
        <v>0</v>
      </c>
      <c r="DS110" s="7">
        <v>0</v>
      </c>
      <c r="DT110" s="7">
        <v>0</v>
      </c>
      <c r="DU110" s="7">
        <v>0</v>
      </c>
      <c r="DV110" s="7">
        <v>0</v>
      </c>
      <c r="DW110" s="7">
        <v>0</v>
      </c>
      <c r="DX110" s="7">
        <v>0</v>
      </c>
      <c r="DY110" s="7">
        <v>0</v>
      </c>
      <c r="DZ110" s="7">
        <v>0</v>
      </c>
      <c r="EA110" s="7">
        <v>0</v>
      </c>
      <c r="EB110" s="7">
        <v>0</v>
      </c>
      <c r="EC110" s="7">
        <v>0</v>
      </c>
      <c r="ED110" s="7">
        <v>0</v>
      </c>
      <c r="EE110" s="7">
        <v>0</v>
      </c>
      <c r="EF110" s="7">
        <v>0</v>
      </c>
      <c r="EG110" s="7">
        <v>0</v>
      </c>
      <c r="EH110" s="7">
        <v>0</v>
      </c>
      <c r="EI110" s="7">
        <v>0</v>
      </c>
      <c r="EJ110" s="25">
        <f t="shared" si="7"/>
        <v>0</v>
      </c>
      <c r="EK110" s="7">
        <v>0</v>
      </c>
      <c r="EL110" s="25">
        <f t="shared" si="8"/>
        <v>0</v>
      </c>
      <c r="EM110" s="7">
        <v>0</v>
      </c>
      <c r="EN110" s="25">
        <f t="shared" si="9"/>
        <v>0</v>
      </c>
      <c r="EO110" s="7">
        <v>0</v>
      </c>
      <c r="EP110" s="25">
        <f t="shared" si="10"/>
        <v>0</v>
      </c>
      <c r="EQ110" s="7">
        <v>0</v>
      </c>
      <c r="ER110" s="25">
        <f t="shared" si="11"/>
        <v>0</v>
      </c>
      <c r="ES110" s="7">
        <v>0</v>
      </c>
      <c r="ET110" s="25">
        <f t="shared" si="12"/>
        <v>0</v>
      </c>
      <c r="EU110" s="7">
        <v>0</v>
      </c>
      <c r="EV110" s="25">
        <f t="shared" si="13"/>
        <v>0</v>
      </c>
      <c r="EW110" s="7">
        <v>0</v>
      </c>
      <c r="EX110" s="7">
        <v>0</v>
      </c>
      <c r="EY110" s="7">
        <v>0</v>
      </c>
      <c r="EZ110" s="7">
        <v>0</v>
      </c>
      <c r="FA110" s="7">
        <v>0</v>
      </c>
      <c r="FB110" s="7">
        <v>0</v>
      </c>
      <c r="FC110" s="7">
        <v>0</v>
      </c>
      <c r="FD110" s="7">
        <v>0</v>
      </c>
      <c r="FE110" s="7">
        <v>0</v>
      </c>
      <c r="FF110" s="7">
        <v>0</v>
      </c>
      <c r="FG110" s="7">
        <v>0</v>
      </c>
      <c r="FH110" s="7">
        <v>0</v>
      </c>
      <c r="FI110" s="7">
        <v>0</v>
      </c>
      <c r="FJ110" s="7">
        <v>0</v>
      </c>
    </row>
    <row r="111" spans="1:166" x14ac:dyDescent="0.4">
      <c r="A111" s="34" t="s">
        <v>5</v>
      </c>
      <c r="B111" s="7">
        <v>44334</v>
      </c>
      <c r="C111" s="7">
        <v>43830</v>
      </c>
      <c r="D111" s="7">
        <v>44695</v>
      </c>
      <c r="E111" s="7">
        <v>45244</v>
      </c>
      <c r="F111" s="7">
        <v>45623</v>
      </c>
      <c r="G111" s="7">
        <v>46110</v>
      </c>
      <c r="H111" s="7">
        <v>47989</v>
      </c>
      <c r="I111" s="7">
        <v>61164</v>
      </c>
      <c r="J111" s="7">
        <v>61700</v>
      </c>
      <c r="K111" s="7">
        <v>60151</v>
      </c>
      <c r="L111" s="7">
        <v>59623</v>
      </c>
      <c r="M111" s="7">
        <v>61616</v>
      </c>
      <c r="N111" s="7">
        <v>60865</v>
      </c>
      <c r="O111" s="7">
        <v>65543</v>
      </c>
      <c r="P111" s="7">
        <v>67041</v>
      </c>
      <c r="Q111" s="7">
        <v>80641</v>
      </c>
      <c r="R111" s="7">
        <v>80666</v>
      </c>
      <c r="S111" s="7">
        <v>95617</v>
      </c>
      <c r="T111" s="7">
        <v>92809</v>
      </c>
      <c r="U111" s="7">
        <v>98595</v>
      </c>
      <c r="V111" s="7">
        <v>100190</v>
      </c>
      <c r="W111" s="7">
        <v>108694</v>
      </c>
      <c r="X111" s="7">
        <v>119753</v>
      </c>
      <c r="Y111" s="7">
        <v>131533</v>
      </c>
      <c r="Z111" s="7">
        <v>155254</v>
      </c>
      <c r="AA111" s="7">
        <v>189672</v>
      </c>
      <c r="AB111" s="7">
        <v>137186</v>
      </c>
      <c r="AC111" s="7">
        <v>132109</v>
      </c>
      <c r="AD111" s="7">
        <v>116831</v>
      </c>
      <c r="AE111" s="7">
        <v>120614</v>
      </c>
      <c r="AF111" s="7">
        <v>128072</v>
      </c>
      <c r="AG111" s="7">
        <v>145097</v>
      </c>
      <c r="AH111" s="7">
        <v>163513</v>
      </c>
      <c r="AI111" s="7">
        <v>162920</v>
      </c>
      <c r="AJ111" s="7">
        <v>157833</v>
      </c>
      <c r="AK111" s="7">
        <v>162926</v>
      </c>
      <c r="AL111" s="7">
        <v>179267</v>
      </c>
      <c r="AM111" s="7">
        <v>190297</v>
      </c>
      <c r="AN111" s="7">
        <v>184696</v>
      </c>
      <c r="AO111" s="7">
        <v>166292</v>
      </c>
      <c r="AP111" s="7">
        <v>160156</v>
      </c>
      <c r="AQ111" s="7">
        <v>163864</v>
      </c>
      <c r="AR111" s="7">
        <v>159375</v>
      </c>
      <c r="AS111" s="7">
        <v>203644</v>
      </c>
      <c r="AT111" s="7">
        <v>199931</v>
      </c>
      <c r="AU111" s="7">
        <v>194543</v>
      </c>
      <c r="AV111" s="7">
        <v>193760</v>
      </c>
      <c r="AW111" s="7">
        <v>200047</v>
      </c>
      <c r="AX111" s="7">
        <v>186839</v>
      </c>
      <c r="AY111" s="7">
        <v>185314</v>
      </c>
      <c r="AZ111" s="7">
        <v>197870</v>
      </c>
      <c r="BA111" s="7">
        <v>192545</v>
      </c>
      <c r="BB111" s="7">
        <v>194570</v>
      </c>
      <c r="BC111" s="7">
        <v>173239</v>
      </c>
      <c r="BD111" s="7">
        <v>189975</v>
      </c>
      <c r="BE111" s="7">
        <v>191448</v>
      </c>
      <c r="BF111" s="7">
        <v>198818</v>
      </c>
      <c r="BG111" s="7">
        <v>197785</v>
      </c>
      <c r="BH111" s="7">
        <v>184336</v>
      </c>
      <c r="BI111" s="7">
        <v>185800</v>
      </c>
      <c r="BJ111" s="7">
        <v>183472</v>
      </c>
      <c r="BK111" s="7">
        <v>179303</v>
      </c>
      <c r="BL111" s="7">
        <v>177329</v>
      </c>
      <c r="BM111" s="7">
        <v>182403</v>
      </c>
      <c r="BN111" s="7">
        <v>197485</v>
      </c>
      <c r="BO111" s="7">
        <v>199377</v>
      </c>
      <c r="BP111" s="7">
        <v>185775</v>
      </c>
      <c r="BQ111" s="7">
        <v>184277</v>
      </c>
      <c r="BR111" s="7">
        <v>199839</v>
      </c>
      <c r="BS111" s="7">
        <v>193244</v>
      </c>
      <c r="BT111" s="7">
        <v>193064</v>
      </c>
      <c r="BU111" s="7">
        <v>195589</v>
      </c>
      <c r="BV111" s="7">
        <v>203914</v>
      </c>
      <c r="BW111" s="7">
        <v>194017</v>
      </c>
      <c r="BX111" s="7">
        <v>193014</v>
      </c>
      <c r="BY111" s="7">
        <v>190208</v>
      </c>
      <c r="BZ111" s="7">
        <v>189680</v>
      </c>
      <c r="CA111" s="7">
        <v>190257</v>
      </c>
      <c r="CB111" s="7">
        <v>184459</v>
      </c>
      <c r="CC111" s="7">
        <v>185346</v>
      </c>
      <c r="CD111" s="7">
        <v>193934</v>
      </c>
      <c r="CE111" s="7">
        <v>187782</v>
      </c>
      <c r="CF111" s="7">
        <v>187287</v>
      </c>
      <c r="CG111" s="7">
        <v>187462</v>
      </c>
      <c r="CH111" s="7">
        <v>181044</v>
      </c>
      <c r="CI111" s="7">
        <v>184349</v>
      </c>
      <c r="CJ111" s="7">
        <v>192248</v>
      </c>
      <c r="CK111" s="7">
        <v>230461</v>
      </c>
      <c r="CL111" s="7">
        <v>219040</v>
      </c>
      <c r="CM111" s="7">
        <v>184656</v>
      </c>
      <c r="CN111" s="7">
        <v>182164</v>
      </c>
      <c r="CO111" s="7">
        <v>190058</v>
      </c>
      <c r="CP111" s="7">
        <v>192898</v>
      </c>
      <c r="CQ111" s="7">
        <v>206306</v>
      </c>
      <c r="CR111" s="7">
        <v>206019</v>
      </c>
      <c r="CS111" s="7">
        <v>196768</v>
      </c>
      <c r="CT111" s="7">
        <v>217089</v>
      </c>
      <c r="CU111" s="7">
        <v>222912</v>
      </c>
      <c r="CV111" s="7">
        <v>214516</v>
      </c>
      <c r="CW111" s="7">
        <v>221429</v>
      </c>
      <c r="CX111" s="7">
        <v>218170</v>
      </c>
      <c r="CY111" s="7">
        <v>224311</v>
      </c>
      <c r="CZ111" s="7">
        <v>219793</v>
      </c>
      <c r="DA111" s="7">
        <v>223583</v>
      </c>
      <c r="DB111" s="7">
        <v>224708</v>
      </c>
      <c r="DC111" s="7">
        <v>223918</v>
      </c>
      <c r="DD111" s="7">
        <v>217528</v>
      </c>
      <c r="DE111" s="7">
        <v>233524</v>
      </c>
      <c r="DF111" s="7">
        <v>232545</v>
      </c>
      <c r="DG111" s="7">
        <v>242592</v>
      </c>
      <c r="DH111" s="7">
        <v>265760</v>
      </c>
      <c r="DI111" s="7">
        <v>267827</v>
      </c>
      <c r="DJ111" s="7">
        <v>227286</v>
      </c>
      <c r="DK111" s="7">
        <v>200949</v>
      </c>
      <c r="DL111" s="7">
        <v>162270</v>
      </c>
      <c r="DM111" s="7">
        <v>193857</v>
      </c>
      <c r="DN111" s="7">
        <v>255184</v>
      </c>
      <c r="DO111" s="7">
        <v>252053</v>
      </c>
      <c r="DP111" s="7">
        <v>700117</v>
      </c>
      <c r="DQ111" s="7">
        <v>843309</v>
      </c>
      <c r="DR111" s="7">
        <v>1192964</v>
      </c>
      <c r="DS111" s="7">
        <v>1380449</v>
      </c>
      <c r="DT111" s="7">
        <v>1666590</v>
      </c>
      <c r="DU111" s="7">
        <v>1888200</v>
      </c>
      <c r="DV111" s="7">
        <v>1981291</v>
      </c>
      <c r="DW111" s="7">
        <v>1975065</v>
      </c>
      <c r="DX111" s="7">
        <v>2177887</v>
      </c>
      <c r="DY111" s="7">
        <v>2322560</v>
      </c>
      <c r="DZ111" s="7">
        <v>2388940</v>
      </c>
      <c r="EA111" s="7">
        <v>2427280</v>
      </c>
      <c r="EB111" s="7">
        <v>2379144</v>
      </c>
      <c r="EC111" s="7">
        <v>2266719</v>
      </c>
      <c r="ED111" s="7">
        <v>2475371</v>
      </c>
      <c r="EE111" s="7">
        <v>2418867</v>
      </c>
      <c r="EF111" s="7">
        <v>2512031</v>
      </c>
      <c r="EG111" s="7">
        <v>2573381</v>
      </c>
      <c r="EH111" s="7">
        <v>2513309</v>
      </c>
      <c r="EI111" s="7">
        <v>2435554</v>
      </c>
      <c r="EJ111" s="25">
        <f t="shared" si="7"/>
        <v>-109496</v>
      </c>
      <c r="EK111" s="7">
        <v>2326058</v>
      </c>
      <c r="EL111" s="25">
        <f t="shared" si="8"/>
        <v>35976</v>
      </c>
      <c r="EM111" s="7">
        <v>2362034</v>
      </c>
      <c r="EN111" s="25">
        <f t="shared" si="9"/>
        <v>115572</v>
      </c>
      <c r="EO111" s="7">
        <v>2477606</v>
      </c>
      <c r="EP111" s="25">
        <f t="shared" si="10"/>
        <v>64465</v>
      </c>
      <c r="EQ111" s="7">
        <v>2542071</v>
      </c>
      <c r="ER111" s="25">
        <f t="shared" si="11"/>
        <v>85452</v>
      </c>
      <c r="ES111" s="7">
        <v>2627523</v>
      </c>
      <c r="ET111" s="25">
        <f t="shared" si="12"/>
        <v>210242</v>
      </c>
      <c r="EU111" s="7">
        <v>2837765</v>
      </c>
      <c r="EV111" s="25">
        <f t="shared" si="13"/>
        <v>-171655</v>
      </c>
      <c r="EW111" s="7">
        <v>2666110</v>
      </c>
      <c r="EX111" s="7">
        <v>2584448</v>
      </c>
      <c r="EY111" s="7">
        <v>2325118</v>
      </c>
      <c r="EZ111" s="7">
        <v>2166910</v>
      </c>
      <c r="FA111" s="7">
        <v>2032912</v>
      </c>
      <c r="FB111" s="7">
        <v>2120027</v>
      </c>
      <c r="FC111" s="7">
        <v>2144679</v>
      </c>
      <c r="FD111" s="7">
        <v>2291124</v>
      </c>
      <c r="FE111" s="7">
        <v>2250041</v>
      </c>
      <c r="FF111" s="7">
        <v>2450281</v>
      </c>
      <c r="FG111" s="7">
        <v>2398504</v>
      </c>
      <c r="FH111" s="7">
        <v>2349769</v>
      </c>
      <c r="FI111" s="7">
        <v>1945978</v>
      </c>
      <c r="FJ111" s="7">
        <v>1861704</v>
      </c>
    </row>
    <row r="112" spans="1:166" x14ac:dyDescent="0.4">
      <c r="A112" s="35" t="s">
        <v>13</v>
      </c>
      <c r="B112" s="7">
        <v>0</v>
      </c>
      <c r="C112" s="7">
        <v>0</v>
      </c>
      <c r="D112" s="7">
        <v>0</v>
      </c>
      <c r="E112" s="7">
        <v>0</v>
      </c>
      <c r="F112" s="7">
        <v>0</v>
      </c>
      <c r="G112" s="7">
        <v>0</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c r="AF112" s="7">
        <v>0</v>
      </c>
      <c r="AG112" s="7">
        <v>0</v>
      </c>
      <c r="AH112" s="7">
        <v>0</v>
      </c>
      <c r="AI112" s="7">
        <v>0</v>
      </c>
      <c r="AJ112" s="7">
        <v>0</v>
      </c>
      <c r="AK112" s="7">
        <v>0</v>
      </c>
      <c r="AL112" s="7">
        <v>0</v>
      </c>
      <c r="AM112" s="7">
        <v>0</v>
      </c>
      <c r="AN112" s="7">
        <v>0</v>
      </c>
      <c r="AO112" s="7">
        <v>0</v>
      </c>
      <c r="AP112" s="7">
        <v>0</v>
      </c>
      <c r="AQ112" s="7">
        <v>0</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0</v>
      </c>
      <c r="BI112" s="7">
        <v>0</v>
      </c>
      <c r="BJ112" s="7">
        <v>0</v>
      </c>
      <c r="BK112" s="7">
        <v>0</v>
      </c>
      <c r="BL112" s="7">
        <v>0</v>
      </c>
      <c r="BM112" s="7">
        <v>0</v>
      </c>
      <c r="BN112" s="7">
        <v>0</v>
      </c>
      <c r="BO112" s="7">
        <v>0</v>
      </c>
      <c r="BP112" s="7">
        <v>0</v>
      </c>
      <c r="BQ112" s="7">
        <v>0</v>
      </c>
      <c r="BR112" s="7">
        <v>0</v>
      </c>
      <c r="BS112" s="7">
        <v>0</v>
      </c>
      <c r="BT112" s="7">
        <v>0</v>
      </c>
      <c r="BU112" s="7">
        <v>0</v>
      </c>
      <c r="BV112" s="7">
        <v>0</v>
      </c>
      <c r="BW112" s="7">
        <v>0</v>
      </c>
      <c r="BX112" s="7">
        <v>0</v>
      </c>
      <c r="BY112" s="7">
        <v>0</v>
      </c>
      <c r="BZ112" s="7">
        <v>0</v>
      </c>
      <c r="CA112" s="7">
        <v>0</v>
      </c>
      <c r="CB112" s="7">
        <v>0</v>
      </c>
      <c r="CC112" s="7">
        <v>0</v>
      </c>
      <c r="CD112" s="7">
        <v>0</v>
      </c>
      <c r="CE112" s="7">
        <v>0</v>
      </c>
      <c r="CF112" s="22">
        <v>0</v>
      </c>
      <c r="CG112" s="22">
        <v>0</v>
      </c>
      <c r="CH112" s="22">
        <v>0</v>
      </c>
      <c r="CI112" s="22">
        <v>0</v>
      </c>
      <c r="CJ112" s="22">
        <v>0</v>
      </c>
      <c r="CK112" s="22">
        <v>0</v>
      </c>
      <c r="CL112" s="22">
        <v>0</v>
      </c>
      <c r="CM112" s="22">
        <v>0</v>
      </c>
      <c r="CN112" s="22">
        <v>0</v>
      </c>
      <c r="CO112" s="22">
        <v>0</v>
      </c>
      <c r="CP112" s="22">
        <v>0</v>
      </c>
      <c r="CQ112" s="22">
        <v>0</v>
      </c>
      <c r="CR112" s="22">
        <v>0</v>
      </c>
      <c r="CS112" s="22">
        <v>0</v>
      </c>
      <c r="CT112" s="22">
        <v>0</v>
      </c>
      <c r="CU112" s="22">
        <v>0</v>
      </c>
      <c r="CV112" s="22">
        <v>0</v>
      </c>
      <c r="CW112" s="22">
        <v>0</v>
      </c>
      <c r="CX112" s="22">
        <v>0</v>
      </c>
      <c r="CY112" s="22">
        <v>0</v>
      </c>
      <c r="CZ112" s="22">
        <v>0</v>
      </c>
      <c r="DA112" s="22">
        <v>0</v>
      </c>
      <c r="DB112" s="22">
        <v>0</v>
      </c>
      <c r="DC112" s="22">
        <v>0</v>
      </c>
      <c r="DD112" s="7">
        <v>0</v>
      </c>
      <c r="DE112" s="7">
        <v>0</v>
      </c>
      <c r="DF112" s="7">
        <v>0</v>
      </c>
      <c r="DG112" s="7">
        <v>0</v>
      </c>
      <c r="DH112" s="7">
        <v>0</v>
      </c>
      <c r="DI112" s="7">
        <v>0</v>
      </c>
      <c r="DJ112" s="7">
        <v>0</v>
      </c>
      <c r="DK112" s="7">
        <v>0</v>
      </c>
      <c r="DL112" s="7">
        <v>0</v>
      </c>
      <c r="DM112" s="7">
        <v>0</v>
      </c>
      <c r="DN112" s="7">
        <v>0</v>
      </c>
      <c r="DO112" s="7">
        <v>0</v>
      </c>
      <c r="DP112" s="7">
        <v>0</v>
      </c>
      <c r="DQ112" s="7">
        <v>0</v>
      </c>
      <c r="DR112" s="7">
        <v>26585</v>
      </c>
      <c r="DS112" s="7">
        <v>26421</v>
      </c>
      <c r="DT112" s="7">
        <v>28766</v>
      </c>
      <c r="DU112" s="7">
        <v>29527</v>
      </c>
      <c r="DV112" s="7">
        <v>0</v>
      </c>
      <c r="DW112" s="7">
        <v>0</v>
      </c>
      <c r="DX112" s="7">
        <v>47</v>
      </c>
      <c r="DY112" s="7">
        <v>50</v>
      </c>
      <c r="DZ112" s="7">
        <v>52</v>
      </c>
      <c r="EA112" s="7">
        <v>53</v>
      </c>
      <c r="EB112" s="7">
        <v>50</v>
      </c>
      <c r="EC112" s="7">
        <v>22463</v>
      </c>
      <c r="ED112" s="7">
        <v>22713</v>
      </c>
      <c r="EE112" s="7">
        <v>22705</v>
      </c>
      <c r="EF112" s="7">
        <v>23463</v>
      </c>
      <c r="EG112" s="7">
        <v>23689</v>
      </c>
      <c r="EH112" s="7">
        <v>23638</v>
      </c>
      <c r="EI112" s="7">
        <v>0</v>
      </c>
      <c r="EJ112" s="25">
        <f t="shared" si="7"/>
        <v>0</v>
      </c>
      <c r="EK112" s="7">
        <v>0</v>
      </c>
      <c r="EL112" s="25">
        <f t="shared" si="8"/>
        <v>0</v>
      </c>
      <c r="EM112" s="7">
        <v>0</v>
      </c>
      <c r="EN112" s="25">
        <f t="shared" si="9"/>
        <v>0</v>
      </c>
      <c r="EO112" s="7">
        <v>0</v>
      </c>
      <c r="EP112" s="25">
        <f t="shared" si="10"/>
        <v>0</v>
      </c>
      <c r="EQ112" s="7">
        <v>0</v>
      </c>
      <c r="ER112" s="25">
        <f t="shared" si="11"/>
        <v>679</v>
      </c>
      <c r="ES112" s="7">
        <v>679</v>
      </c>
      <c r="ET112" s="25">
        <f t="shared" si="12"/>
        <v>-679</v>
      </c>
      <c r="EU112" s="7">
        <v>0</v>
      </c>
      <c r="EV112" s="25">
        <f t="shared" si="13"/>
        <v>0</v>
      </c>
      <c r="EW112" s="7">
        <v>0</v>
      </c>
      <c r="EX112" s="7">
        <v>715</v>
      </c>
      <c r="EY112" s="7">
        <v>7182</v>
      </c>
      <c r="EZ112" s="7">
        <v>31568</v>
      </c>
      <c r="FA112" s="7">
        <v>30863</v>
      </c>
      <c r="FB112" s="7">
        <v>30011</v>
      </c>
      <c r="FC112" s="7">
        <v>30124</v>
      </c>
      <c r="FD112" s="7">
        <v>82469</v>
      </c>
      <c r="FE112" s="7">
        <v>81783</v>
      </c>
      <c r="FF112" s="7">
        <v>84170</v>
      </c>
      <c r="FG112" s="7">
        <v>81974</v>
      </c>
      <c r="FH112" s="7">
        <v>79985</v>
      </c>
      <c r="FI112" s="7">
        <v>81005</v>
      </c>
      <c r="FJ112" s="7">
        <v>78915</v>
      </c>
    </row>
    <row r="113" spans="1:166" x14ac:dyDescent="0.4">
      <c r="A113" s="35" t="s">
        <v>14</v>
      </c>
      <c r="B113" s="7">
        <v>44334</v>
      </c>
      <c r="C113" s="7">
        <v>43830</v>
      </c>
      <c r="D113" s="7">
        <v>44695</v>
      </c>
      <c r="E113" s="7">
        <v>45244</v>
      </c>
      <c r="F113" s="7">
        <v>45623</v>
      </c>
      <c r="G113" s="7">
        <v>46110</v>
      </c>
      <c r="H113" s="7">
        <v>47989</v>
      </c>
      <c r="I113" s="7">
        <v>61164</v>
      </c>
      <c r="J113" s="7">
        <v>61700</v>
      </c>
      <c r="K113" s="7">
        <v>60151</v>
      </c>
      <c r="L113" s="7">
        <v>59623</v>
      </c>
      <c r="M113" s="7">
        <v>61616</v>
      </c>
      <c r="N113" s="7">
        <v>60865</v>
      </c>
      <c r="O113" s="7">
        <v>65543</v>
      </c>
      <c r="P113" s="7">
        <v>67041</v>
      </c>
      <c r="Q113" s="7">
        <v>80641</v>
      </c>
      <c r="R113" s="7">
        <v>80666</v>
      </c>
      <c r="S113" s="7">
        <v>95617</v>
      </c>
      <c r="T113" s="7">
        <v>92809</v>
      </c>
      <c r="U113" s="7">
        <v>98595</v>
      </c>
      <c r="V113" s="7">
        <v>100190</v>
      </c>
      <c r="W113" s="7">
        <v>108694</v>
      </c>
      <c r="X113" s="7">
        <v>119753</v>
      </c>
      <c r="Y113" s="7">
        <v>131533</v>
      </c>
      <c r="Z113" s="7">
        <v>155254</v>
      </c>
      <c r="AA113" s="7">
        <v>189672</v>
      </c>
      <c r="AB113" s="7">
        <v>137186</v>
      </c>
      <c r="AC113" s="7">
        <v>132109</v>
      </c>
      <c r="AD113" s="7">
        <v>116831</v>
      </c>
      <c r="AE113" s="7">
        <v>120614</v>
      </c>
      <c r="AF113" s="7">
        <v>128072</v>
      </c>
      <c r="AG113" s="7">
        <v>145097</v>
      </c>
      <c r="AH113" s="7">
        <v>163513</v>
      </c>
      <c r="AI113" s="7">
        <v>162920</v>
      </c>
      <c r="AJ113" s="7">
        <v>157833</v>
      </c>
      <c r="AK113" s="7">
        <v>162926</v>
      </c>
      <c r="AL113" s="7">
        <v>179267</v>
      </c>
      <c r="AM113" s="7">
        <v>190297</v>
      </c>
      <c r="AN113" s="7">
        <v>184696</v>
      </c>
      <c r="AO113" s="7">
        <v>166292</v>
      </c>
      <c r="AP113" s="7">
        <v>160156</v>
      </c>
      <c r="AQ113" s="7">
        <v>163864</v>
      </c>
      <c r="AR113" s="7">
        <v>159375</v>
      </c>
      <c r="AS113" s="7">
        <v>203644</v>
      </c>
      <c r="AT113" s="7">
        <v>199931</v>
      </c>
      <c r="AU113" s="7">
        <v>194543</v>
      </c>
      <c r="AV113" s="7">
        <v>193760</v>
      </c>
      <c r="AW113" s="7">
        <v>200047</v>
      </c>
      <c r="AX113" s="7">
        <v>186839</v>
      </c>
      <c r="AY113" s="7">
        <v>185314</v>
      </c>
      <c r="AZ113" s="7">
        <v>197870</v>
      </c>
      <c r="BA113" s="7">
        <v>192545</v>
      </c>
      <c r="BB113" s="7">
        <v>194570</v>
      </c>
      <c r="BC113" s="7">
        <v>173239</v>
      </c>
      <c r="BD113" s="7">
        <v>189975</v>
      </c>
      <c r="BE113" s="7">
        <v>191448</v>
      </c>
      <c r="BF113" s="7">
        <v>198818</v>
      </c>
      <c r="BG113" s="7">
        <v>197785</v>
      </c>
      <c r="BH113" s="7">
        <v>184336</v>
      </c>
      <c r="BI113" s="7">
        <v>185800</v>
      </c>
      <c r="BJ113" s="7">
        <v>183472</v>
      </c>
      <c r="BK113" s="7">
        <v>179303</v>
      </c>
      <c r="BL113" s="7">
        <v>177329</v>
      </c>
      <c r="BM113" s="7">
        <v>182403</v>
      </c>
      <c r="BN113" s="7">
        <v>197485</v>
      </c>
      <c r="BO113" s="7">
        <v>199377</v>
      </c>
      <c r="BP113" s="7">
        <v>185775</v>
      </c>
      <c r="BQ113" s="7">
        <v>184277</v>
      </c>
      <c r="BR113" s="7">
        <v>199839</v>
      </c>
      <c r="BS113" s="7">
        <v>193244</v>
      </c>
      <c r="BT113" s="7">
        <v>193064</v>
      </c>
      <c r="BU113" s="7">
        <v>195589</v>
      </c>
      <c r="BV113" s="7">
        <v>203914</v>
      </c>
      <c r="BW113" s="7">
        <v>194017</v>
      </c>
      <c r="BX113" s="7">
        <v>193014</v>
      </c>
      <c r="BY113" s="7">
        <v>190208</v>
      </c>
      <c r="BZ113" s="7">
        <v>189680</v>
      </c>
      <c r="CA113" s="7">
        <v>190257</v>
      </c>
      <c r="CB113" s="7">
        <v>184459</v>
      </c>
      <c r="CC113" s="7">
        <v>185346</v>
      </c>
      <c r="CD113" s="7">
        <v>193934</v>
      </c>
      <c r="CE113" s="7">
        <v>187782</v>
      </c>
      <c r="CF113" s="7">
        <v>187287</v>
      </c>
      <c r="CG113" s="7">
        <v>187462</v>
      </c>
      <c r="CH113" s="7">
        <v>181044</v>
      </c>
      <c r="CI113" s="7">
        <v>184349</v>
      </c>
      <c r="CJ113" s="7">
        <v>192248</v>
      </c>
      <c r="CK113" s="7">
        <v>230461</v>
      </c>
      <c r="CL113" s="7">
        <v>219040</v>
      </c>
      <c r="CM113" s="7">
        <v>184656</v>
      </c>
      <c r="CN113" s="7">
        <v>182164</v>
      </c>
      <c r="CO113" s="7">
        <v>190058</v>
      </c>
      <c r="CP113" s="7">
        <v>192898</v>
      </c>
      <c r="CQ113" s="7">
        <v>206306</v>
      </c>
      <c r="CR113" s="7">
        <v>206019</v>
      </c>
      <c r="CS113" s="7">
        <v>196768</v>
      </c>
      <c r="CT113" s="7">
        <v>217089</v>
      </c>
      <c r="CU113" s="7">
        <v>222912</v>
      </c>
      <c r="CV113" s="7">
        <v>214516</v>
      </c>
      <c r="CW113" s="7">
        <v>221429</v>
      </c>
      <c r="CX113" s="7">
        <v>218170</v>
      </c>
      <c r="CY113" s="7">
        <v>224311</v>
      </c>
      <c r="CZ113" s="7">
        <v>219793</v>
      </c>
      <c r="DA113" s="7">
        <v>223583</v>
      </c>
      <c r="DB113" s="7">
        <v>224708</v>
      </c>
      <c r="DC113" s="7">
        <v>223918</v>
      </c>
      <c r="DD113" s="7">
        <v>217528</v>
      </c>
      <c r="DE113" s="7">
        <v>233524</v>
      </c>
      <c r="DF113" s="7">
        <v>232545</v>
      </c>
      <c r="DG113" s="7">
        <v>242592</v>
      </c>
      <c r="DH113" s="7">
        <v>265760</v>
      </c>
      <c r="DI113" s="7">
        <v>267827</v>
      </c>
      <c r="DJ113" s="7">
        <v>227286</v>
      </c>
      <c r="DK113" s="7">
        <v>200949</v>
      </c>
      <c r="DL113" s="7">
        <v>162270</v>
      </c>
      <c r="DM113" s="7">
        <v>193857</v>
      </c>
      <c r="DN113" s="7">
        <v>255184</v>
      </c>
      <c r="DO113" s="7">
        <v>252053</v>
      </c>
      <c r="DP113" s="7">
        <v>700117</v>
      </c>
      <c r="DQ113" s="7">
        <v>843309</v>
      </c>
      <c r="DR113" s="7">
        <v>1166379</v>
      </c>
      <c r="DS113" s="7">
        <v>1354028</v>
      </c>
      <c r="DT113" s="7">
        <v>1637824</v>
      </c>
      <c r="DU113" s="7">
        <v>1858673</v>
      </c>
      <c r="DV113" s="7">
        <v>1981291</v>
      </c>
      <c r="DW113" s="7">
        <v>1975065</v>
      </c>
      <c r="DX113" s="7">
        <v>2177839</v>
      </c>
      <c r="DY113" s="7">
        <v>2322510</v>
      </c>
      <c r="DZ113" s="7">
        <v>2388888</v>
      </c>
      <c r="EA113" s="7">
        <v>2427227</v>
      </c>
      <c r="EB113" s="7">
        <v>2379094</v>
      </c>
      <c r="EC113" s="7">
        <v>2244256</v>
      </c>
      <c r="ED113" s="7">
        <v>2452658</v>
      </c>
      <c r="EE113" s="7">
        <v>2396162</v>
      </c>
      <c r="EF113" s="7">
        <v>2488567</v>
      </c>
      <c r="EG113" s="7">
        <v>2549691</v>
      </c>
      <c r="EH113" s="7">
        <v>2489671</v>
      </c>
      <c r="EI113" s="7">
        <v>2435554</v>
      </c>
      <c r="EJ113" s="25">
        <f t="shared" si="7"/>
        <v>-109496</v>
      </c>
      <c r="EK113" s="7">
        <v>2326058</v>
      </c>
      <c r="EL113" s="25">
        <f t="shared" si="8"/>
        <v>35976</v>
      </c>
      <c r="EM113" s="7">
        <v>2362034</v>
      </c>
      <c r="EN113" s="25">
        <f t="shared" si="9"/>
        <v>115572</v>
      </c>
      <c r="EO113" s="7">
        <v>2477606</v>
      </c>
      <c r="EP113" s="25">
        <f t="shared" si="10"/>
        <v>64465</v>
      </c>
      <c r="EQ113" s="7">
        <v>2542071</v>
      </c>
      <c r="ER113" s="25">
        <f t="shared" si="11"/>
        <v>84772</v>
      </c>
      <c r="ES113" s="7">
        <v>2626843</v>
      </c>
      <c r="ET113" s="25">
        <f t="shared" si="12"/>
        <v>210922</v>
      </c>
      <c r="EU113" s="7">
        <v>2837765</v>
      </c>
      <c r="EV113" s="25">
        <f t="shared" si="13"/>
        <v>-171655</v>
      </c>
      <c r="EW113" s="7">
        <v>2666110</v>
      </c>
      <c r="EX113" s="7">
        <v>2583733</v>
      </c>
      <c r="EY113" s="7">
        <v>2317937</v>
      </c>
      <c r="EZ113" s="7">
        <v>2135342</v>
      </c>
      <c r="FA113" s="7">
        <v>2002049</v>
      </c>
      <c r="FB113" s="7">
        <v>2090015</v>
      </c>
      <c r="FC113" s="7">
        <v>2114555</v>
      </c>
      <c r="FD113" s="7">
        <v>2208655</v>
      </c>
      <c r="FE113" s="7">
        <v>2168258</v>
      </c>
      <c r="FF113" s="7">
        <v>2366111</v>
      </c>
      <c r="FG113" s="7">
        <v>2316530</v>
      </c>
      <c r="FH113" s="7">
        <v>2269784</v>
      </c>
      <c r="FI113" s="7">
        <v>1864973</v>
      </c>
      <c r="FJ113" s="7">
        <v>1782790</v>
      </c>
    </row>
    <row r="114" spans="1:166" x14ac:dyDescent="0.4">
      <c r="A114" s="35" t="s">
        <v>27</v>
      </c>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v>0</v>
      </c>
      <c r="BW114" s="7">
        <v>0</v>
      </c>
      <c r="BX114" s="7">
        <v>0</v>
      </c>
      <c r="BY114" s="7">
        <v>0</v>
      </c>
      <c r="BZ114" s="7">
        <v>0</v>
      </c>
      <c r="CA114" s="7">
        <v>23399</v>
      </c>
      <c r="CB114" s="7">
        <v>22686</v>
      </c>
      <c r="CC114" s="7">
        <v>22795</v>
      </c>
      <c r="CD114" s="7">
        <v>23914</v>
      </c>
      <c r="CE114" s="7">
        <v>23168</v>
      </c>
      <c r="CF114" s="7">
        <v>22973</v>
      </c>
      <c r="CG114" s="7">
        <v>23054</v>
      </c>
      <c r="CH114" s="7">
        <v>22265</v>
      </c>
      <c r="CI114" s="7">
        <v>22671</v>
      </c>
      <c r="CJ114" s="7">
        <v>23597</v>
      </c>
      <c r="CK114" s="7">
        <v>27957</v>
      </c>
      <c r="CL114" s="7">
        <v>26503</v>
      </c>
      <c r="CM114" s="7">
        <v>0</v>
      </c>
      <c r="CN114" s="7">
        <v>0</v>
      </c>
      <c r="CO114" s="7">
        <v>44113</v>
      </c>
      <c r="CP114" s="7">
        <v>45065</v>
      </c>
      <c r="CQ114" s="7">
        <v>48305</v>
      </c>
      <c r="CR114" s="7">
        <v>48290</v>
      </c>
      <c r="CS114" s="7">
        <v>46359</v>
      </c>
      <c r="CT114" s="7">
        <v>45331</v>
      </c>
      <c r="CU114" s="7">
        <v>45822</v>
      </c>
      <c r="CV114" s="7">
        <v>44357</v>
      </c>
      <c r="CW114" s="7">
        <v>45891</v>
      </c>
      <c r="CX114" s="7">
        <v>45270</v>
      </c>
      <c r="CY114" s="7">
        <v>44970</v>
      </c>
      <c r="CZ114" s="7">
        <v>44403</v>
      </c>
      <c r="DA114" s="7">
        <v>0</v>
      </c>
      <c r="DB114" s="7">
        <v>0</v>
      </c>
      <c r="DC114" s="7">
        <v>0</v>
      </c>
      <c r="DD114" s="7">
        <v>0</v>
      </c>
      <c r="DE114" s="7">
        <v>1278</v>
      </c>
      <c r="DF114" s="7">
        <v>42209</v>
      </c>
      <c r="DG114" s="7">
        <v>46713</v>
      </c>
      <c r="DH114" s="7">
        <v>50303</v>
      </c>
      <c r="DI114" s="7">
        <v>50813</v>
      </c>
      <c r="DJ114" s="7">
        <v>43038</v>
      </c>
      <c r="DK114" s="7">
        <v>38362</v>
      </c>
      <c r="DL114" s="7">
        <v>30617</v>
      </c>
      <c r="DM114" s="7">
        <v>36799</v>
      </c>
      <c r="DN114" s="7">
        <v>36355</v>
      </c>
      <c r="DO114" s="7">
        <v>34699</v>
      </c>
      <c r="DP114" s="7">
        <v>37297</v>
      </c>
      <c r="DQ114" s="7">
        <v>73249</v>
      </c>
      <c r="DR114" s="7">
        <v>35533</v>
      </c>
      <c r="DS114" s="7">
        <v>65469</v>
      </c>
      <c r="DT114" s="7">
        <v>68892</v>
      </c>
      <c r="DU114" s="7">
        <v>72777</v>
      </c>
      <c r="DV114" s="7">
        <v>118457</v>
      </c>
      <c r="DW114" s="7">
        <v>128861</v>
      </c>
      <c r="DX114" s="7">
        <v>141997</v>
      </c>
      <c r="DY114" s="7">
        <v>150436</v>
      </c>
      <c r="DZ114" s="7">
        <v>160329</v>
      </c>
      <c r="EA114" s="7">
        <v>172875</v>
      </c>
      <c r="EB114" s="7">
        <v>183463</v>
      </c>
      <c r="EC114" s="7">
        <v>162004</v>
      </c>
      <c r="ED114" s="7">
        <v>187090</v>
      </c>
      <c r="EE114" s="7">
        <v>121024</v>
      </c>
      <c r="EF114" s="7">
        <v>124058</v>
      </c>
      <c r="EG114" s="7">
        <v>267847</v>
      </c>
      <c r="EH114" s="7">
        <v>390262</v>
      </c>
      <c r="EI114" s="7">
        <v>371300</v>
      </c>
      <c r="EJ114" s="25">
        <f t="shared" si="7"/>
        <v>-20968</v>
      </c>
      <c r="EK114" s="7">
        <v>350332</v>
      </c>
      <c r="EL114" s="25">
        <f t="shared" si="8"/>
        <v>23955</v>
      </c>
      <c r="EM114" s="7">
        <v>374287</v>
      </c>
      <c r="EN114" s="25">
        <f t="shared" si="9"/>
        <v>16753</v>
      </c>
      <c r="EO114" s="7">
        <v>391040</v>
      </c>
      <c r="EP114" s="25">
        <f t="shared" si="10"/>
        <v>22985</v>
      </c>
      <c r="EQ114" s="7">
        <v>414025</v>
      </c>
      <c r="ER114" s="25">
        <f t="shared" si="11"/>
        <v>8619</v>
      </c>
      <c r="ES114" s="7">
        <v>422644</v>
      </c>
      <c r="ET114" s="25">
        <f t="shared" si="12"/>
        <v>489907</v>
      </c>
      <c r="EU114" s="7">
        <v>912551</v>
      </c>
      <c r="EV114" s="25">
        <f t="shared" si="13"/>
        <v>48122</v>
      </c>
      <c r="EW114" s="7">
        <v>960673</v>
      </c>
      <c r="EX114" s="7">
        <v>969295</v>
      </c>
      <c r="EY114" s="7">
        <v>973560</v>
      </c>
      <c r="EZ114" s="7">
        <v>872077</v>
      </c>
      <c r="FA114" s="7">
        <v>707786</v>
      </c>
      <c r="FB114" s="7">
        <v>690375</v>
      </c>
      <c r="FC114" s="7">
        <v>693539</v>
      </c>
      <c r="FD114" s="7">
        <v>756981</v>
      </c>
      <c r="FE114" s="7">
        <v>754664</v>
      </c>
      <c r="FF114" s="7">
        <v>813269</v>
      </c>
      <c r="FG114" s="7">
        <v>801078</v>
      </c>
      <c r="FH114" s="7">
        <v>416499</v>
      </c>
      <c r="FI114" s="7">
        <v>331289</v>
      </c>
      <c r="FJ114" s="7">
        <v>296872</v>
      </c>
    </row>
    <row r="115" spans="1:166" x14ac:dyDescent="0.4">
      <c r="A115" s="35" t="s">
        <v>30</v>
      </c>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v>203914</v>
      </c>
      <c r="BW115" s="7">
        <v>194017</v>
      </c>
      <c r="BX115" s="7">
        <v>193014</v>
      </c>
      <c r="BY115" s="7">
        <v>190208</v>
      </c>
      <c r="BZ115" s="7">
        <v>189680</v>
      </c>
      <c r="CA115" s="7">
        <v>166858</v>
      </c>
      <c r="CB115" s="7">
        <v>161773</v>
      </c>
      <c r="CC115" s="7">
        <v>162552</v>
      </c>
      <c r="CD115" s="7">
        <v>170021</v>
      </c>
      <c r="CE115" s="7">
        <v>164614</v>
      </c>
      <c r="CF115" s="7">
        <v>164314</v>
      </c>
      <c r="CG115" s="7">
        <v>164408</v>
      </c>
      <c r="CH115" s="7">
        <v>158779</v>
      </c>
      <c r="CI115" s="7">
        <v>161678</v>
      </c>
      <c r="CJ115" s="7">
        <v>168651</v>
      </c>
      <c r="CK115" s="7">
        <v>202504</v>
      </c>
      <c r="CL115" s="7">
        <v>192537</v>
      </c>
      <c r="CM115" s="7">
        <v>184656</v>
      </c>
      <c r="CN115" s="7">
        <v>182164</v>
      </c>
      <c r="CO115" s="7">
        <v>145946</v>
      </c>
      <c r="CP115" s="7">
        <v>147832</v>
      </c>
      <c r="CQ115" s="7">
        <v>158001</v>
      </c>
      <c r="CR115" s="7">
        <v>157730</v>
      </c>
      <c r="CS115" s="7">
        <v>150409</v>
      </c>
      <c r="CT115" s="7">
        <v>171758</v>
      </c>
      <c r="CU115" s="7">
        <v>177090</v>
      </c>
      <c r="CV115" s="7">
        <v>170159</v>
      </c>
      <c r="CW115" s="7">
        <v>175538</v>
      </c>
      <c r="CX115" s="7">
        <v>172899</v>
      </c>
      <c r="CY115" s="7">
        <v>179341</v>
      </c>
      <c r="CZ115" s="7">
        <v>175391</v>
      </c>
      <c r="DA115" s="7">
        <v>223583</v>
      </c>
      <c r="DB115" s="7">
        <v>224708</v>
      </c>
      <c r="DC115" s="7">
        <v>223918</v>
      </c>
      <c r="DD115" s="7">
        <v>217528</v>
      </c>
      <c r="DE115" s="7">
        <v>232245</v>
      </c>
      <c r="DF115" s="7">
        <v>190336</v>
      </c>
      <c r="DG115" s="7">
        <v>195880</v>
      </c>
      <c r="DH115" s="7">
        <v>215457</v>
      </c>
      <c r="DI115" s="7">
        <v>217014</v>
      </c>
      <c r="DJ115" s="7">
        <v>184248</v>
      </c>
      <c r="DK115" s="7">
        <v>162587</v>
      </c>
      <c r="DL115" s="7">
        <v>131653</v>
      </c>
      <c r="DM115" s="7">
        <v>157058</v>
      </c>
      <c r="DN115" s="7">
        <v>218829</v>
      </c>
      <c r="DO115" s="7">
        <v>217354</v>
      </c>
      <c r="DP115" s="7">
        <v>662820</v>
      </c>
      <c r="DQ115" s="7">
        <v>770059</v>
      </c>
      <c r="DR115" s="7">
        <v>1130846</v>
      </c>
      <c r="DS115" s="7">
        <v>1288558</v>
      </c>
      <c r="DT115" s="7">
        <v>1568932</v>
      </c>
      <c r="DU115" s="7">
        <v>1785896</v>
      </c>
      <c r="DV115" s="7">
        <v>1862834</v>
      </c>
      <c r="DW115" s="7">
        <v>1846205</v>
      </c>
      <c r="DX115" s="7">
        <v>2035842</v>
      </c>
      <c r="DY115" s="7">
        <v>2172074</v>
      </c>
      <c r="DZ115" s="7">
        <v>2228559</v>
      </c>
      <c r="EA115" s="7">
        <v>2254352</v>
      </c>
      <c r="EB115" s="7">
        <v>2195631</v>
      </c>
      <c r="EC115" s="7">
        <v>2082252</v>
      </c>
      <c r="ED115" s="7">
        <v>2265568</v>
      </c>
      <c r="EE115" s="7">
        <v>2275139</v>
      </c>
      <c r="EF115" s="7">
        <v>2364509</v>
      </c>
      <c r="EG115" s="7">
        <v>2281844</v>
      </c>
      <c r="EH115" s="7">
        <v>2099409</v>
      </c>
      <c r="EI115" s="7">
        <v>2064254</v>
      </c>
      <c r="EJ115" s="25">
        <f t="shared" si="7"/>
        <v>-88528</v>
      </c>
      <c r="EK115" s="7">
        <v>1975726</v>
      </c>
      <c r="EL115" s="25">
        <f t="shared" si="8"/>
        <v>12021</v>
      </c>
      <c r="EM115" s="7">
        <v>1987747</v>
      </c>
      <c r="EN115" s="25">
        <f t="shared" si="9"/>
        <v>98819</v>
      </c>
      <c r="EO115" s="7">
        <v>2086566</v>
      </c>
      <c r="EP115" s="25">
        <f t="shared" si="10"/>
        <v>41480</v>
      </c>
      <c r="EQ115" s="7">
        <v>2128046</v>
      </c>
      <c r="ER115" s="25">
        <f t="shared" si="11"/>
        <v>76153</v>
      </c>
      <c r="ES115" s="7">
        <v>2204199</v>
      </c>
      <c r="ET115" s="25">
        <f t="shared" si="12"/>
        <v>-278985</v>
      </c>
      <c r="EU115" s="7">
        <v>1925214</v>
      </c>
      <c r="EV115" s="25">
        <f t="shared" si="13"/>
        <v>-219776</v>
      </c>
      <c r="EW115" s="7">
        <v>1705438</v>
      </c>
      <c r="EX115" s="7">
        <v>1614438</v>
      </c>
      <c r="EY115" s="7">
        <v>1344376</v>
      </c>
      <c r="EZ115" s="7">
        <v>1263265</v>
      </c>
      <c r="FA115" s="7">
        <v>1294263</v>
      </c>
      <c r="FB115" s="7">
        <v>1399640</v>
      </c>
      <c r="FC115" s="7">
        <v>1421016</v>
      </c>
      <c r="FD115" s="7">
        <v>1451674</v>
      </c>
      <c r="FE115" s="7">
        <v>1413594</v>
      </c>
      <c r="FF115" s="7">
        <v>1552841</v>
      </c>
      <c r="FG115" s="7">
        <v>1515452</v>
      </c>
      <c r="FH115" s="7">
        <v>1853285</v>
      </c>
      <c r="FI115" s="7">
        <v>1533684</v>
      </c>
      <c r="FJ115" s="7">
        <v>1485918</v>
      </c>
    </row>
    <row r="116" spans="1:166" x14ac:dyDescent="0.4">
      <c r="A116" s="34" t="s">
        <v>6</v>
      </c>
      <c r="B116" s="7">
        <v>0</v>
      </c>
      <c r="C116" s="7">
        <v>0</v>
      </c>
      <c r="D116" s="7">
        <v>0</v>
      </c>
      <c r="E116" s="7">
        <v>0</v>
      </c>
      <c r="F116" s="7">
        <v>0</v>
      </c>
      <c r="G116" s="7">
        <v>0</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c r="AF116" s="7">
        <v>0</v>
      </c>
      <c r="AG116" s="7">
        <v>0</v>
      </c>
      <c r="AH116" s="7">
        <v>0</v>
      </c>
      <c r="AI116" s="7">
        <v>0</v>
      </c>
      <c r="AJ116" s="7">
        <v>0</v>
      </c>
      <c r="AK116" s="7">
        <v>0</v>
      </c>
      <c r="AL116" s="7">
        <v>0</v>
      </c>
      <c r="AM116" s="7">
        <v>0</v>
      </c>
      <c r="AN116" s="7">
        <v>0</v>
      </c>
      <c r="AO116" s="7">
        <v>0</v>
      </c>
      <c r="AP116" s="7">
        <v>0</v>
      </c>
      <c r="AQ116" s="7">
        <v>0</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0</v>
      </c>
      <c r="BI116" s="7">
        <v>0</v>
      </c>
      <c r="BJ116" s="7">
        <v>0</v>
      </c>
      <c r="BK116" s="7">
        <v>0</v>
      </c>
      <c r="BL116" s="7">
        <v>0</v>
      </c>
      <c r="BM116" s="7">
        <v>0</v>
      </c>
      <c r="BN116" s="7">
        <v>0</v>
      </c>
      <c r="BO116" s="7">
        <v>0</v>
      </c>
      <c r="BP116" s="7">
        <v>0</v>
      </c>
      <c r="BQ116" s="7">
        <v>0</v>
      </c>
      <c r="BR116" s="7">
        <v>0</v>
      </c>
      <c r="BS116" s="7">
        <v>0</v>
      </c>
      <c r="BT116" s="7">
        <v>0</v>
      </c>
      <c r="BU116" s="7">
        <v>0</v>
      </c>
      <c r="BV116" s="7">
        <v>0</v>
      </c>
      <c r="BW116" s="7">
        <v>0</v>
      </c>
      <c r="BX116" s="7">
        <v>0</v>
      </c>
      <c r="BY116" s="7">
        <v>0</v>
      </c>
      <c r="BZ116" s="7">
        <v>0</v>
      </c>
      <c r="CA116" s="7">
        <v>0</v>
      </c>
      <c r="CB116" s="7">
        <v>0</v>
      </c>
      <c r="CC116" s="7">
        <v>0</v>
      </c>
      <c r="CD116" s="7">
        <v>0</v>
      </c>
      <c r="CE116" s="7">
        <v>0</v>
      </c>
      <c r="CF116" s="22">
        <v>0</v>
      </c>
      <c r="CG116" s="22">
        <v>0</v>
      </c>
      <c r="CH116" s="22">
        <v>0</v>
      </c>
      <c r="CI116" s="22">
        <v>0</v>
      </c>
      <c r="CJ116" s="22">
        <v>0</v>
      </c>
      <c r="CK116" s="22">
        <v>0</v>
      </c>
      <c r="CL116" s="22">
        <v>0</v>
      </c>
      <c r="CM116" s="22">
        <v>0</v>
      </c>
      <c r="CN116" s="22">
        <v>0</v>
      </c>
      <c r="CO116" s="22">
        <v>0</v>
      </c>
      <c r="CP116" s="22">
        <v>0</v>
      </c>
      <c r="CQ116" s="22">
        <v>0</v>
      </c>
      <c r="CR116" s="22">
        <v>0</v>
      </c>
      <c r="CS116" s="22">
        <v>0</v>
      </c>
      <c r="CT116" s="22">
        <v>0</v>
      </c>
      <c r="CU116" s="22">
        <v>0</v>
      </c>
      <c r="CV116" s="22">
        <v>0</v>
      </c>
      <c r="CW116" s="22">
        <v>0</v>
      </c>
      <c r="CX116" s="22">
        <v>0</v>
      </c>
      <c r="CY116" s="22">
        <v>0</v>
      </c>
      <c r="CZ116" s="22">
        <v>0</v>
      </c>
      <c r="DA116" s="22">
        <v>0</v>
      </c>
      <c r="DB116" s="22">
        <v>0</v>
      </c>
      <c r="DC116" s="22">
        <v>0</v>
      </c>
      <c r="DD116" s="7">
        <v>0</v>
      </c>
      <c r="DE116" s="7">
        <v>0</v>
      </c>
      <c r="DF116" s="7">
        <v>0</v>
      </c>
      <c r="DG116" s="7">
        <v>0</v>
      </c>
      <c r="DH116" s="7">
        <v>0</v>
      </c>
      <c r="DI116" s="7">
        <v>0</v>
      </c>
      <c r="DJ116" s="7">
        <v>0</v>
      </c>
      <c r="DK116" s="7">
        <v>0</v>
      </c>
      <c r="DL116" s="7">
        <v>0</v>
      </c>
      <c r="DM116" s="7">
        <v>0</v>
      </c>
      <c r="DN116" s="7">
        <v>0</v>
      </c>
      <c r="DO116" s="7">
        <v>0</v>
      </c>
      <c r="DP116" s="7">
        <v>0</v>
      </c>
      <c r="DQ116" s="7">
        <v>0</v>
      </c>
      <c r="DR116" s="7">
        <v>0</v>
      </c>
      <c r="DS116" s="7">
        <v>0</v>
      </c>
      <c r="DT116" s="7">
        <v>0</v>
      </c>
      <c r="DU116" s="7">
        <v>0</v>
      </c>
      <c r="DV116" s="7">
        <v>0</v>
      </c>
      <c r="DW116" s="7">
        <v>0</v>
      </c>
      <c r="DX116" s="7">
        <v>0</v>
      </c>
      <c r="DY116" s="7">
        <v>0</v>
      </c>
      <c r="DZ116" s="7">
        <v>0</v>
      </c>
      <c r="EA116" s="7">
        <v>0</v>
      </c>
      <c r="EB116" s="7">
        <v>0</v>
      </c>
      <c r="EC116" s="7">
        <v>0</v>
      </c>
      <c r="ED116" s="7">
        <v>0</v>
      </c>
      <c r="EE116" s="7">
        <v>0</v>
      </c>
      <c r="EF116" s="7">
        <v>0</v>
      </c>
      <c r="EG116" s="7">
        <v>0</v>
      </c>
      <c r="EH116" s="7">
        <v>0</v>
      </c>
      <c r="EI116" s="7">
        <v>0</v>
      </c>
      <c r="EJ116" s="25">
        <f t="shared" si="7"/>
        <v>0</v>
      </c>
      <c r="EK116" s="7">
        <v>0</v>
      </c>
      <c r="EL116" s="25">
        <f t="shared" si="8"/>
        <v>0</v>
      </c>
      <c r="EM116" s="7">
        <v>0</v>
      </c>
      <c r="EN116" s="25">
        <f t="shared" si="9"/>
        <v>0</v>
      </c>
      <c r="EO116" s="7">
        <v>0</v>
      </c>
      <c r="EP116" s="25">
        <f t="shared" si="10"/>
        <v>0</v>
      </c>
      <c r="EQ116" s="7">
        <v>0</v>
      </c>
      <c r="ER116" s="25">
        <f t="shared" si="11"/>
        <v>0</v>
      </c>
      <c r="ES116" s="7">
        <v>0</v>
      </c>
      <c r="ET116" s="25">
        <f t="shared" si="12"/>
        <v>0</v>
      </c>
      <c r="EU116" s="7">
        <v>0</v>
      </c>
      <c r="EV116" s="25">
        <f t="shared" si="13"/>
        <v>2127801</v>
      </c>
      <c r="EW116" s="7">
        <v>2127801</v>
      </c>
      <c r="EX116" s="7">
        <v>2061989</v>
      </c>
      <c r="EY116" s="7">
        <v>1852717</v>
      </c>
      <c r="EZ116" s="7">
        <v>1770278</v>
      </c>
      <c r="FA116" s="7">
        <v>1749384</v>
      </c>
      <c r="FB116" s="7">
        <v>1684423</v>
      </c>
      <c r="FC116" s="7">
        <v>1686152</v>
      </c>
      <c r="FD116" s="7">
        <v>1757759</v>
      </c>
      <c r="FE116" s="7">
        <v>1737229</v>
      </c>
      <c r="FF116" s="7">
        <v>1786683</v>
      </c>
      <c r="FG116" s="7">
        <v>1731488</v>
      </c>
      <c r="FH116" s="7">
        <v>1682682</v>
      </c>
      <c r="FI116" s="7">
        <v>1774268</v>
      </c>
      <c r="FJ116" s="7">
        <v>1730964</v>
      </c>
    </row>
    <row r="117" spans="1:166" x14ac:dyDescent="0.4">
      <c r="A117" s="35" t="s">
        <v>13</v>
      </c>
      <c r="B117" s="7">
        <v>0</v>
      </c>
      <c r="C117" s="7">
        <v>0</v>
      </c>
      <c r="D117" s="7">
        <v>0</v>
      </c>
      <c r="E117" s="7">
        <v>0</v>
      </c>
      <c r="F117" s="7">
        <v>0</v>
      </c>
      <c r="G117" s="7">
        <v>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c r="AF117" s="7">
        <v>0</v>
      </c>
      <c r="AG117" s="7">
        <v>0</v>
      </c>
      <c r="AH117" s="7">
        <v>0</v>
      </c>
      <c r="AI117" s="7">
        <v>0</v>
      </c>
      <c r="AJ117" s="7">
        <v>0</v>
      </c>
      <c r="AK117" s="7">
        <v>0</v>
      </c>
      <c r="AL117" s="7">
        <v>0</v>
      </c>
      <c r="AM117" s="7">
        <v>0</v>
      </c>
      <c r="AN117" s="7">
        <v>0</v>
      </c>
      <c r="AO117" s="7">
        <v>0</v>
      </c>
      <c r="AP117" s="7">
        <v>0</v>
      </c>
      <c r="AQ117" s="7">
        <v>0</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0</v>
      </c>
      <c r="BI117" s="7">
        <v>0</v>
      </c>
      <c r="BJ117" s="7">
        <v>0</v>
      </c>
      <c r="BK117" s="7">
        <v>0</v>
      </c>
      <c r="BL117" s="7">
        <v>0</v>
      </c>
      <c r="BM117" s="7">
        <v>0</v>
      </c>
      <c r="BN117" s="7">
        <v>0</v>
      </c>
      <c r="BO117" s="7">
        <v>0</v>
      </c>
      <c r="BP117" s="7">
        <v>0</v>
      </c>
      <c r="BQ117" s="7">
        <v>0</v>
      </c>
      <c r="BR117" s="7">
        <v>0</v>
      </c>
      <c r="BS117" s="7">
        <v>0</v>
      </c>
      <c r="BT117" s="7">
        <v>0</v>
      </c>
      <c r="BU117" s="7">
        <v>0</v>
      </c>
      <c r="BV117" s="7">
        <v>0</v>
      </c>
      <c r="BW117" s="7">
        <v>0</v>
      </c>
      <c r="BX117" s="7">
        <v>0</v>
      </c>
      <c r="BY117" s="7">
        <v>0</v>
      </c>
      <c r="BZ117" s="7">
        <v>0</v>
      </c>
      <c r="CA117" s="7">
        <v>0</v>
      </c>
      <c r="CB117" s="7">
        <v>0</v>
      </c>
      <c r="CC117" s="7">
        <v>0</v>
      </c>
      <c r="CD117" s="7">
        <v>0</v>
      </c>
      <c r="CE117" s="7">
        <v>0</v>
      </c>
      <c r="CF117" s="22">
        <v>0</v>
      </c>
      <c r="CG117" s="22">
        <v>0</v>
      </c>
      <c r="CH117" s="22">
        <v>0</v>
      </c>
      <c r="CI117" s="22">
        <v>0</v>
      </c>
      <c r="CJ117" s="22">
        <v>0</v>
      </c>
      <c r="CK117" s="22">
        <v>0</v>
      </c>
      <c r="CL117" s="22">
        <v>0</v>
      </c>
      <c r="CM117" s="22">
        <v>0</v>
      </c>
      <c r="CN117" s="22">
        <v>0</v>
      </c>
      <c r="CO117" s="22">
        <v>0</v>
      </c>
      <c r="CP117" s="22">
        <v>0</v>
      </c>
      <c r="CQ117" s="22">
        <v>0</v>
      </c>
      <c r="CR117" s="22">
        <v>0</v>
      </c>
      <c r="CS117" s="22">
        <v>0</v>
      </c>
      <c r="CT117" s="22">
        <v>0</v>
      </c>
      <c r="CU117" s="22">
        <v>0</v>
      </c>
      <c r="CV117" s="22">
        <v>0</v>
      </c>
      <c r="CW117" s="22">
        <v>0</v>
      </c>
      <c r="CX117" s="22">
        <v>0</v>
      </c>
      <c r="CY117" s="22">
        <v>0</v>
      </c>
      <c r="CZ117" s="22">
        <v>0</v>
      </c>
      <c r="DA117" s="22">
        <v>0</v>
      </c>
      <c r="DB117" s="22">
        <v>0</v>
      </c>
      <c r="DC117" s="22">
        <v>0</v>
      </c>
      <c r="DD117" s="7">
        <v>0</v>
      </c>
      <c r="DE117" s="7">
        <v>0</v>
      </c>
      <c r="DF117" s="7">
        <v>0</v>
      </c>
      <c r="DG117" s="7">
        <v>0</v>
      </c>
      <c r="DH117" s="7">
        <v>0</v>
      </c>
      <c r="DI117" s="7">
        <v>0</v>
      </c>
      <c r="DJ117" s="7">
        <v>0</v>
      </c>
      <c r="DK117" s="7">
        <v>0</v>
      </c>
      <c r="DL117" s="7">
        <v>0</v>
      </c>
      <c r="DM117" s="7">
        <v>0</v>
      </c>
      <c r="DN117" s="7">
        <v>0</v>
      </c>
      <c r="DO117" s="7">
        <v>0</v>
      </c>
      <c r="DP117" s="7">
        <v>0</v>
      </c>
      <c r="DQ117" s="7">
        <v>0</v>
      </c>
      <c r="DR117" s="7">
        <v>0</v>
      </c>
      <c r="DS117" s="7">
        <v>0</v>
      </c>
      <c r="DT117" s="7">
        <v>0</v>
      </c>
      <c r="DU117" s="7">
        <v>0</v>
      </c>
      <c r="DV117" s="7">
        <v>0</v>
      </c>
      <c r="DW117" s="7">
        <v>0</v>
      </c>
      <c r="DX117" s="7">
        <v>0</v>
      </c>
      <c r="DY117" s="7">
        <v>0</v>
      </c>
      <c r="DZ117" s="7">
        <v>0</v>
      </c>
      <c r="EA117" s="7">
        <v>0</v>
      </c>
      <c r="EB117" s="7">
        <v>0</v>
      </c>
      <c r="EC117" s="7">
        <v>0</v>
      </c>
      <c r="ED117" s="7">
        <v>0</v>
      </c>
      <c r="EE117" s="7">
        <v>0</v>
      </c>
      <c r="EF117" s="7">
        <v>0</v>
      </c>
      <c r="EG117" s="7">
        <v>0</v>
      </c>
      <c r="EH117" s="7">
        <v>0</v>
      </c>
      <c r="EI117" s="7">
        <v>0</v>
      </c>
      <c r="EJ117" s="25">
        <f t="shared" si="7"/>
        <v>0</v>
      </c>
      <c r="EK117" s="7">
        <v>0</v>
      </c>
      <c r="EL117" s="25">
        <f t="shared" si="8"/>
        <v>0</v>
      </c>
      <c r="EM117" s="7">
        <v>0</v>
      </c>
      <c r="EN117" s="25">
        <f t="shared" si="9"/>
        <v>0</v>
      </c>
      <c r="EO117" s="7">
        <v>0</v>
      </c>
      <c r="EP117" s="25">
        <f t="shared" si="10"/>
        <v>0</v>
      </c>
      <c r="EQ117" s="7">
        <v>0</v>
      </c>
      <c r="ER117" s="25">
        <f t="shared" si="11"/>
        <v>0</v>
      </c>
      <c r="ES117" s="7">
        <v>0</v>
      </c>
      <c r="ET117" s="25">
        <f t="shared" si="12"/>
        <v>0</v>
      </c>
      <c r="EU117" s="7">
        <v>0</v>
      </c>
      <c r="EV117" s="25">
        <f t="shared" si="13"/>
        <v>0</v>
      </c>
      <c r="EW117" s="7">
        <v>0</v>
      </c>
      <c r="EX117" s="7">
        <v>0</v>
      </c>
      <c r="EY117" s="7">
        <v>0</v>
      </c>
      <c r="EZ117" s="7">
        <v>0</v>
      </c>
      <c r="FA117" s="7">
        <v>0</v>
      </c>
      <c r="FB117" s="7">
        <v>0</v>
      </c>
      <c r="FC117" s="7">
        <v>0</v>
      </c>
      <c r="FD117" s="7">
        <v>0</v>
      </c>
      <c r="FE117" s="7">
        <v>0</v>
      </c>
      <c r="FF117" s="7">
        <v>0</v>
      </c>
      <c r="FG117" s="7">
        <v>0</v>
      </c>
      <c r="FH117" s="7">
        <v>0</v>
      </c>
      <c r="FI117" s="7">
        <v>0</v>
      </c>
      <c r="FJ117" s="7">
        <v>0</v>
      </c>
    </row>
    <row r="118" spans="1:166" x14ac:dyDescent="0.4">
      <c r="A118" s="35" t="s">
        <v>14</v>
      </c>
      <c r="B118" s="7">
        <v>0</v>
      </c>
      <c r="C118" s="7">
        <v>0</v>
      </c>
      <c r="D118" s="7">
        <v>0</v>
      </c>
      <c r="E118" s="7">
        <v>0</v>
      </c>
      <c r="F118" s="7">
        <v>0</v>
      </c>
      <c r="G118" s="7">
        <v>0</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c r="AF118" s="7">
        <v>0</v>
      </c>
      <c r="AG118" s="7">
        <v>0</v>
      </c>
      <c r="AH118" s="7">
        <v>0</v>
      </c>
      <c r="AI118" s="7">
        <v>0</v>
      </c>
      <c r="AJ118" s="7">
        <v>0</v>
      </c>
      <c r="AK118" s="7">
        <v>0</v>
      </c>
      <c r="AL118" s="7">
        <v>0</v>
      </c>
      <c r="AM118" s="7">
        <v>0</v>
      </c>
      <c r="AN118" s="7">
        <v>0</v>
      </c>
      <c r="AO118" s="7">
        <v>0</v>
      </c>
      <c r="AP118" s="7">
        <v>0</v>
      </c>
      <c r="AQ118" s="7">
        <v>0</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0</v>
      </c>
      <c r="BI118" s="7">
        <v>0</v>
      </c>
      <c r="BJ118" s="7">
        <v>0</v>
      </c>
      <c r="BK118" s="7">
        <v>0</v>
      </c>
      <c r="BL118" s="7">
        <v>0</v>
      </c>
      <c r="BM118" s="7">
        <v>0</v>
      </c>
      <c r="BN118" s="7">
        <v>0</v>
      </c>
      <c r="BO118" s="7">
        <v>0</v>
      </c>
      <c r="BP118" s="7">
        <v>0</v>
      </c>
      <c r="BQ118" s="7">
        <v>0</v>
      </c>
      <c r="BR118" s="7">
        <v>0</v>
      </c>
      <c r="BS118" s="7">
        <v>0</v>
      </c>
      <c r="BT118" s="7">
        <v>0</v>
      </c>
      <c r="BU118" s="7">
        <v>0</v>
      </c>
      <c r="BV118" s="7">
        <v>0</v>
      </c>
      <c r="BW118" s="7">
        <v>0</v>
      </c>
      <c r="BX118" s="7">
        <v>0</v>
      </c>
      <c r="BY118" s="7">
        <v>0</v>
      </c>
      <c r="BZ118" s="7">
        <v>0</v>
      </c>
      <c r="CA118" s="7">
        <v>0</v>
      </c>
      <c r="CB118" s="7">
        <v>0</v>
      </c>
      <c r="CC118" s="7">
        <v>0</v>
      </c>
      <c r="CD118" s="7">
        <v>0</v>
      </c>
      <c r="CE118" s="7">
        <v>0</v>
      </c>
      <c r="CF118" s="22">
        <v>0</v>
      </c>
      <c r="CG118" s="22">
        <v>0</v>
      </c>
      <c r="CH118" s="22">
        <v>0</v>
      </c>
      <c r="CI118" s="22">
        <v>0</v>
      </c>
      <c r="CJ118" s="22">
        <v>0</v>
      </c>
      <c r="CK118" s="22">
        <v>0</v>
      </c>
      <c r="CL118" s="22">
        <v>0</v>
      </c>
      <c r="CM118" s="22">
        <v>0</v>
      </c>
      <c r="CN118" s="22">
        <v>0</v>
      </c>
      <c r="CO118" s="22">
        <v>0</v>
      </c>
      <c r="CP118" s="22">
        <v>0</v>
      </c>
      <c r="CQ118" s="22">
        <v>0</v>
      </c>
      <c r="CR118" s="22">
        <v>0</v>
      </c>
      <c r="CS118" s="22">
        <v>0</v>
      </c>
      <c r="CT118" s="22">
        <v>0</v>
      </c>
      <c r="CU118" s="22">
        <v>0</v>
      </c>
      <c r="CV118" s="22">
        <v>0</v>
      </c>
      <c r="CW118" s="22">
        <v>0</v>
      </c>
      <c r="CX118" s="22">
        <v>0</v>
      </c>
      <c r="CY118" s="22">
        <v>0</v>
      </c>
      <c r="CZ118" s="22">
        <v>0</v>
      </c>
      <c r="DA118" s="22">
        <v>0</v>
      </c>
      <c r="DB118" s="22">
        <v>0</v>
      </c>
      <c r="DC118" s="22">
        <v>0</v>
      </c>
      <c r="DD118" s="7">
        <v>0</v>
      </c>
      <c r="DE118" s="7">
        <v>0</v>
      </c>
      <c r="DF118" s="7">
        <v>0</v>
      </c>
      <c r="DG118" s="7">
        <v>0</v>
      </c>
      <c r="DH118" s="7">
        <v>0</v>
      </c>
      <c r="DI118" s="7">
        <v>0</v>
      </c>
      <c r="DJ118" s="7">
        <v>0</v>
      </c>
      <c r="DK118" s="7">
        <v>0</v>
      </c>
      <c r="DL118" s="7">
        <v>0</v>
      </c>
      <c r="DM118" s="7">
        <v>0</v>
      </c>
      <c r="DN118" s="7">
        <v>0</v>
      </c>
      <c r="DO118" s="7">
        <v>0</v>
      </c>
      <c r="DP118" s="7">
        <v>0</v>
      </c>
      <c r="DQ118" s="7">
        <v>0</v>
      </c>
      <c r="DR118" s="7">
        <v>0</v>
      </c>
      <c r="DS118" s="7">
        <v>0</v>
      </c>
      <c r="DT118" s="7">
        <v>0</v>
      </c>
      <c r="DU118" s="7">
        <v>0</v>
      </c>
      <c r="DV118" s="7">
        <v>0</v>
      </c>
      <c r="DW118" s="7">
        <v>0</v>
      </c>
      <c r="DX118" s="7">
        <v>0</v>
      </c>
      <c r="DY118" s="7">
        <v>0</v>
      </c>
      <c r="DZ118" s="7">
        <v>0</v>
      </c>
      <c r="EA118" s="7">
        <v>0</v>
      </c>
      <c r="EB118" s="7">
        <v>0</v>
      </c>
      <c r="EC118" s="7">
        <v>0</v>
      </c>
      <c r="ED118" s="7">
        <v>0</v>
      </c>
      <c r="EE118" s="7">
        <v>0</v>
      </c>
      <c r="EF118" s="7">
        <v>0</v>
      </c>
      <c r="EG118" s="7">
        <v>0</v>
      </c>
      <c r="EH118" s="7">
        <v>0</v>
      </c>
      <c r="EI118" s="7">
        <v>0</v>
      </c>
      <c r="EJ118" s="25">
        <f t="shared" si="7"/>
        <v>0</v>
      </c>
      <c r="EK118" s="7">
        <v>0</v>
      </c>
      <c r="EL118" s="25">
        <f t="shared" si="8"/>
        <v>0</v>
      </c>
      <c r="EM118" s="7">
        <v>0</v>
      </c>
      <c r="EN118" s="25">
        <f t="shared" si="9"/>
        <v>0</v>
      </c>
      <c r="EO118" s="7">
        <v>0</v>
      </c>
      <c r="EP118" s="25">
        <f t="shared" si="10"/>
        <v>0</v>
      </c>
      <c r="EQ118" s="7">
        <v>0</v>
      </c>
      <c r="ER118" s="25">
        <f t="shared" si="11"/>
        <v>0</v>
      </c>
      <c r="ES118" s="7">
        <v>0</v>
      </c>
      <c r="ET118" s="25">
        <f t="shared" si="12"/>
        <v>0</v>
      </c>
      <c r="EU118" s="7">
        <v>0</v>
      </c>
      <c r="EV118" s="25">
        <f t="shared" si="13"/>
        <v>2127801</v>
      </c>
      <c r="EW118" s="7">
        <v>2127801</v>
      </c>
      <c r="EX118" s="7">
        <v>2061989</v>
      </c>
      <c r="EY118" s="7">
        <v>1852717</v>
      </c>
      <c r="EZ118" s="7">
        <v>1770278</v>
      </c>
      <c r="FA118" s="7">
        <v>1749384</v>
      </c>
      <c r="FB118" s="7">
        <v>1684423</v>
      </c>
      <c r="FC118" s="7">
        <v>1686152</v>
      </c>
      <c r="FD118" s="7">
        <v>1757759</v>
      </c>
      <c r="FE118" s="7">
        <v>1737229</v>
      </c>
      <c r="FF118" s="7">
        <v>1786683</v>
      </c>
      <c r="FG118" s="7">
        <v>1731488</v>
      </c>
      <c r="FH118" s="7">
        <v>1682682</v>
      </c>
      <c r="FI118" s="7">
        <v>1774268</v>
      </c>
      <c r="FJ118" s="7">
        <v>1730964</v>
      </c>
    </row>
    <row r="119" spans="1:166" x14ac:dyDescent="0.4">
      <c r="A119" s="35" t="s">
        <v>27</v>
      </c>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v>0</v>
      </c>
      <c r="BW119" s="7">
        <v>0</v>
      </c>
      <c r="BX119" s="7">
        <v>0</v>
      </c>
      <c r="BY119" s="7">
        <v>0</v>
      </c>
      <c r="BZ119" s="7">
        <v>0</v>
      </c>
      <c r="CA119" s="7">
        <v>0</v>
      </c>
      <c r="CB119" s="7">
        <v>0</v>
      </c>
      <c r="CC119" s="7">
        <v>0</v>
      </c>
      <c r="CD119" s="7">
        <v>0</v>
      </c>
      <c r="CE119" s="7">
        <v>0</v>
      </c>
      <c r="CF119" s="22">
        <v>0</v>
      </c>
      <c r="CG119" s="22">
        <v>0</v>
      </c>
      <c r="CH119" s="22">
        <v>0</v>
      </c>
      <c r="CI119" s="22">
        <v>0</v>
      </c>
      <c r="CJ119" s="22">
        <v>0</v>
      </c>
      <c r="CK119" s="22">
        <v>0</v>
      </c>
      <c r="CL119" s="22">
        <v>0</v>
      </c>
      <c r="CM119" s="22">
        <v>0</v>
      </c>
      <c r="CN119" s="22">
        <v>0</v>
      </c>
      <c r="CO119" s="22">
        <v>0</v>
      </c>
      <c r="CP119" s="22">
        <v>0</v>
      </c>
      <c r="CQ119" s="22">
        <v>0</v>
      </c>
      <c r="CR119" s="22">
        <v>0</v>
      </c>
      <c r="CS119" s="22">
        <v>0</v>
      </c>
      <c r="CT119" s="22">
        <v>0</v>
      </c>
      <c r="CU119" s="22">
        <v>0</v>
      </c>
      <c r="CV119" s="22">
        <v>0</v>
      </c>
      <c r="CW119" s="22">
        <v>0</v>
      </c>
      <c r="CX119" s="22">
        <v>0</v>
      </c>
      <c r="CY119" s="22">
        <v>0</v>
      </c>
      <c r="CZ119" s="22">
        <v>0</v>
      </c>
      <c r="DA119" s="22">
        <v>0</v>
      </c>
      <c r="DB119" s="22">
        <v>0</v>
      </c>
      <c r="DC119" s="22">
        <v>0</v>
      </c>
      <c r="DD119" s="7">
        <v>0</v>
      </c>
      <c r="DE119" s="7">
        <v>0</v>
      </c>
      <c r="DF119" s="7">
        <v>0</v>
      </c>
      <c r="DG119" s="7">
        <v>0</v>
      </c>
      <c r="DH119" s="7">
        <v>0</v>
      </c>
      <c r="DI119" s="7">
        <v>0</v>
      </c>
      <c r="DJ119" s="7">
        <v>0</v>
      </c>
      <c r="DK119" s="7">
        <v>0</v>
      </c>
      <c r="DL119" s="7">
        <v>0</v>
      </c>
      <c r="DM119" s="7">
        <v>0</v>
      </c>
      <c r="DN119" s="7">
        <v>0</v>
      </c>
      <c r="DO119" s="7">
        <v>0</v>
      </c>
      <c r="DP119" s="7">
        <v>0</v>
      </c>
      <c r="DQ119" s="7">
        <v>0</v>
      </c>
      <c r="DR119" s="7">
        <v>0</v>
      </c>
      <c r="DS119" s="7">
        <v>0</v>
      </c>
      <c r="DT119" s="7">
        <v>0</v>
      </c>
      <c r="DU119" s="7">
        <v>0</v>
      </c>
      <c r="DV119" s="7">
        <v>0</v>
      </c>
      <c r="DW119" s="7">
        <v>0</v>
      </c>
      <c r="DX119" s="7">
        <v>0</v>
      </c>
      <c r="DY119" s="7">
        <v>0</v>
      </c>
      <c r="DZ119" s="7">
        <v>0</v>
      </c>
      <c r="EA119" s="7">
        <v>0</v>
      </c>
      <c r="EB119" s="7">
        <v>0</v>
      </c>
      <c r="EC119" s="7">
        <v>0</v>
      </c>
      <c r="ED119" s="7">
        <v>0</v>
      </c>
      <c r="EE119" s="7">
        <v>0</v>
      </c>
      <c r="EF119" s="7">
        <v>0</v>
      </c>
      <c r="EG119" s="7">
        <v>0</v>
      </c>
      <c r="EH119" s="7">
        <v>0</v>
      </c>
      <c r="EI119" s="7">
        <v>0</v>
      </c>
      <c r="EJ119" s="25">
        <f t="shared" si="7"/>
        <v>0</v>
      </c>
      <c r="EK119" s="7">
        <v>0</v>
      </c>
      <c r="EL119" s="25">
        <f t="shared" si="8"/>
        <v>0</v>
      </c>
      <c r="EM119" s="7">
        <v>0</v>
      </c>
      <c r="EN119" s="25">
        <f t="shared" si="9"/>
        <v>0</v>
      </c>
      <c r="EO119" s="7">
        <v>0</v>
      </c>
      <c r="EP119" s="25">
        <f t="shared" si="10"/>
        <v>0</v>
      </c>
      <c r="EQ119" s="7">
        <v>0</v>
      </c>
      <c r="ER119" s="25">
        <f t="shared" si="11"/>
        <v>0</v>
      </c>
      <c r="ES119" s="7">
        <v>0</v>
      </c>
      <c r="ET119" s="25">
        <f t="shared" si="12"/>
        <v>0</v>
      </c>
      <c r="EU119" s="7">
        <v>0</v>
      </c>
      <c r="EV119" s="25">
        <f t="shared" si="13"/>
        <v>0</v>
      </c>
      <c r="EW119" s="7">
        <v>0</v>
      </c>
      <c r="EX119" s="7">
        <v>0</v>
      </c>
      <c r="EY119" s="7">
        <v>124896</v>
      </c>
      <c r="EZ119" s="7">
        <v>121961</v>
      </c>
      <c r="FA119" s="7">
        <v>127043</v>
      </c>
      <c r="FB119" s="7">
        <v>304571</v>
      </c>
      <c r="FC119" s="7">
        <v>309379</v>
      </c>
      <c r="FD119" s="7">
        <v>321954</v>
      </c>
      <c r="FE119" s="7">
        <v>318242</v>
      </c>
      <c r="FF119" s="7">
        <v>329566</v>
      </c>
      <c r="FG119" s="7">
        <v>319824</v>
      </c>
      <c r="FH119" s="7">
        <v>307576</v>
      </c>
      <c r="FI119" s="7">
        <v>182394</v>
      </c>
      <c r="FJ119" s="7">
        <v>177275</v>
      </c>
    </row>
    <row r="120" spans="1:166" x14ac:dyDescent="0.4">
      <c r="A120" s="35" t="s">
        <v>30</v>
      </c>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v>0</v>
      </c>
      <c r="BW120" s="7">
        <v>0</v>
      </c>
      <c r="BX120" s="7">
        <v>0</v>
      </c>
      <c r="BY120" s="7">
        <v>0</v>
      </c>
      <c r="BZ120" s="7">
        <v>0</v>
      </c>
      <c r="CA120" s="7">
        <v>0</v>
      </c>
      <c r="CB120" s="7">
        <v>0</v>
      </c>
      <c r="CC120" s="7">
        <v>0</v>
      </c>
      <c r="CD120" s="7">
        <v>0</v>
      </c>
      <c r="CE120" s="7">
        <v>0</v>
      </c>
      <c r="CF120" s="22">
        <v>0</v>
      </c>
      <c r="CG120" s="22">
        <v>0</v>
      </c>
      <c r="CH120" s="22">
        <v>0</v>
      </c>
      <c r="CI120" s="22">
        <v>0</v>
      </c>
      <c r="CJ120" s="22">
        <v>0</v>
      </c>
      <c r="CK120" s="22">
        <v>0</v>
      </c>
      <c r="CL120" s="22">
        <v>0</v>
      </c>
      <c r="CM120" s="22">
        <v>0</v>
      </c>
      <c r="CN120" s="22">
        <v>0</v>
      </c>
      <c r="CO120" s="22">
        <v>0</v>
      </c>
      <c r="CP120" s="22">
        <v>0</v>
      </c>
      <c r="CQ120" s="22">
        <v>0</v>
      </c>
      <c r="CR120" s="22">
        <v>0</v>
      </c>
      <c r="CS120" s="22">
        <v>0</v>
      </c>
      <c r="CT120" s="22">
        <v>0</v>
      </c>
      <c r="CU120" s="22">
        <v>0</v>
      </c>
      <c r="CV120" s="22">
        <v>0</v>
      </c>
      <c r="CW120" s="22">
        <v>0</v>
      </c>
      <c r="CX120" s="22">
        <v>0</v>
      </c>
      <c r="CY120" s="22">
        <v>0</v>
      </c>
      <c r="CZ120" s="22">
        <v>0</v>
      </c>
      <c r="DA120" s="22">
        <v>0</v>
      </c>
      <c r="DB120" s="22">
        <v>0</v>
      </c>
      <c r="DC120" s="22">
        <v>0</v>
      </c>
      <c r="DD120" s="7">
        <v>0</v>
      </c>
      <c r="DE120" s="7">
        <v>0</v>
      </c>
      <c r="DF120" s="7">
        <v>0</v>
      </c>
      <c r="DG120" s="7">
        <v>0</v>
      </c>
      <c r="DH120" s="7">
        <v>0</v>
      </c>
      <c r="DI120" s="7">
        <v>0</v>
      </c>
      <c r="DJ120" s="7">
        <v>0</v>
      </c>
      <c r="DK120" s="7">
        <v>0</v>
      </c>
      <c r="DL120" s="7">
        <v>0</v>
      </c>
      <c r="DM120" s="7">
        <v>0</v>
      </c>
      <c r="DN120" s="7">
        <v>0</v>
      </c>
      <c r="DO120" s="7">
        <v>0</v>
      </c>
      <c r="DP120" s="7">
        <v>0</v>
      </c>
      <c r="DQ120" s="7">
        <v>0</v>
      </c>
      <c r="DR120" s="7">
        <v>0</v>
      </c>
      <c r="DS120" s="7">
        <v>0</v>
      </c>
      <c r="DT120" s="7">
        <v>0</v>
      </c>
      <c r="DU120" s="7">
        <v>0</v>
      </c>
      <c r="DV120" s="7">
        <v>0</v>
      </c>
      <c r="DW120" s="7">
        <v>0</v>
      </c>
      <c r="DX120" s="7">
        <v>0</v>
      </c>
      <c r="DY120" s="7">
        <v>0</v>
      </c>
      <c r="DZ120" s="7">
        <v>0</v>
      </c>
      <c r="EA120" s="7">
        <v>0</v>
      </c>
      <c r="EB120" s="7">
        <v>0</v>
      </c>
      <c r="EC120" s="7">
        <v>0</v>
      </c>
      <c r="ED120" s="7">
        <v>0</v>
      </c>
      <c r="EE120" s="7">
        <v>0</v>
      </c>
      <c r="EF120" s="7">
        <v>0</v>
      </c>
      <c r="EG120" s="7">
        <v>0</v>
      </c>
      <c r="EH120" s="7">
        <v>0</v>
      </c>
      <c r="EI120" s="7">
        <v>0</v>
      </c>
      <c r="EJ120" s="25">
        <f t="shared" si="7"/>
        <v>0</v>
      </c>
      <c r="EK120" s="7">
        <v>0</v>
      </c>
      <c r="EL120" s="25">
        <f t="shared" si="8"/>
        <v>0</v>
      </c>
      <c r="EM120" s="7">
        <v>0</v>
      </c>
      <c r="EN120" s="25">
        <f t="shared" si="9"/>
        <v>0</v>
      </c>
      <c r="EO120" s="7">
        <v>0</v>
      </c>
      <c r="EP120" s="25">
        <f t="shared" si="10"/>
        <v>0</v>
      </c>
      <c r="EQ120" s="7">
        <v>0</v>
      </c>
      <c r="ER120" s="25">
        <f t="shared" si="11"/>
        <v>0</v>
      </c>
      <c r="ES120" s="7">
        <v>0</v>
      </c>
      <c r="ET120" s="25">
        <f t="shared" si="12"/>
        <v>0</v>
      </c>
      <c r="EU120" s="7">
        <v>0</v>
      </c>
      <c r="EV120" s="25">
        <f t="shared" si="13"/>
        <v>2127801</v>
      </c>
      <c r="EW120" s="7">
        <v>2127801</v>
      </c>
      <c r="EX120" s="7">
        <v>2061989</v>
      </c>
      <c r="EY120" s="7">
        <v>1727820</v>
      </c>
      <c r="EZ120" s="7">
        <v>1648317</v>
      </c>
      <c r="FA120" s="7">
        <v>1622341</v>
      </c>
      <c r="FB120" s="7">
        <v>1379852</v>
      </c>
      <c r="FC120" s="7">
        <v>1376773</v>
      </c>
      <c r="FD120" s="7">
        <v>1435805</v>
      </c>
      <c r="FE120" s="7">
        <v>1418987</v>
      </c>
      <c r="FF120" s="7">
        <v>1457117</v>
      </c>
      <c r="FG120" s="7">
        <v>1411664</v>
      </c>
      <c r="FH120" s="7">
        <v>1375106</v>
      </c>
      <c r="FI120" s="7">
        <v>1591873</v>
      </c>
      <c r="FJ120" s="7">
        <v>1553689</v>
      </c>
    </row>
    <row r="121" spans="1:166" x14ac:dyDescent="0.4">
      <c r="A121" s="34" t="s">
        <v>7</v>
      </c>
      <c r="B121" s="7">
        <v>0</v>
      </c>
      <c r="C121" s="7">
        <v>0</v>
      </c>
      <c r="D121" s="7">
        <v>0</v>
      </c>
      <c r="E121" s="7">
        <v>0</v>
      </c>
      <c r="F121" s="7">
        <v>0</v>
      </c>
      <c r="G121" s="7">
        <v>0</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c r="AF121" s="7">
        <v>0</v>
      </c>
      <c r="AG121" s="7">
        <v>0</v>
      </c>
      <c r="AH121" s="7">
        <v>0</v>
      </c>
      <c r="AI121" s="7">
        <v>0</v>
      </c>
      <c r="AJ121" s="7">
        <v>0</v>
      </c>
      <c r="AK121" s="7">
        <v>0</v>
      </c>
      <c r="AL121" s="7">
        <v>127545</v>
      </c>
      <c r="AM121" s="7">
        <v>135393</v>
      </c>
      <c r="AN121" s="7">
        <v>131408</v>
      </c>
      <c r="AO121" s="7">
        <v>199917</v>
      </c>
      <c r="AP121" s="7">
        <v>268947</v>
      </c>
      <c r="AQ121" s="7">
        <v>271813</v>
      </c>
      <c r="AR121" s="7">
        <v>264306</v>
      </c>
      <c r="AS121" s="7">
        <v>271936</v>
      </c>
      <c r="AT121" s="7">
        <v>266978</v>
      </c>
      <c r="AU121" s="7">
        <v>310310</v>
      </c>
      <c r="AV121" s="7">
        <v>309060</v>
      </c>
      <c r="AW121" s="7">
        <v>319089</v>
      </c>
      <c r="AX121" s="7">
        <v>298021</v>
      </c>
      <c r="AY121" s="7">
        <v>295589</v>
      </c>
      <c r="AZ121" s="7">
        <v>284658</v>
      </c>
      <c r="BA121" s="7">
        <v>276998</v>
      </c>
      <c r="BB121" s="7">
        <v>279910</v>
      </c>
      <c r="BC121" s="7">
        <v>277680</v>
      </c>
      <c r="BD121" s="7">
        <v>290301</v>
      </c>
      <c r="BE121" s="7">
        <v>292551</v>
      </c>
      <c r="BF121" s="7">
        <v>288557</v>
      </c>
      <c r="BG121" s="7">
        <v>287058</v>
      </c>
      <c r="BH121" s="7">
        <v>284336</v>
      </c>
      <c r="BI121" s="7">
        <v>286739</v>
      </c>
      <c r="BJ121" s="7">
        <v>283146</v>
      </c>
      <c r="BK121" s="7">
        <v>276713</v>
      </c>
      <c r="BL121" s="7">
        <v>273666</v>
      </c>
      <c r="BM121" s="7">
        <v>281498</v>
      </c>
      <c r="BN121" s="7">
        <v>313453</v>
      </c>
      <c r="BO121" s="7">
        <v>316456</v>
      </c>
      <c r="BP121" s="7">
        <v>319981</v>
      </c>
      <c r="BQ121" s="7">
        <v>317400</v>
      </c>
      <c r="BR121" s="7">
        <v>344204</v>
      </c>
      <c r="BS121" s="7">
        <v>332739</v>
      </c>
      <c r="BT121" s="7">
        <v>332429</v>
      </c>
      <c r="BU121" s="7">
        <v>336776</v>
      </c>
      <c r="BV121" s="7">
        <v>351111</v>
      </c>
      <c r="BW121" s="7">
        <v>334069</v>
      </c>
      <c r="BX121" s="7">
        <v>332342</v>
      </c>
      <c r="BY121" s="7">
        <v>275671</v>
      </c>
      <c r="BZ121" s="7">
        <v>275205</v>
      </c>
      <c r="CA121" s="7">
        <v>276764</v>
      </c>
      <c r="CB121" s="7">
        <v>268330</v>
      </c>
      <c r="CC121" s="7">
        <v>269621</v>
      </c>
      <c r="CD121" s="7">
        <v>282854</v>
      </c>
      <c r="CE121" s="7">
        <v>274030</v>
      </c>
      <c r="CF121" s="7">
        <v>271724</v>
      </c>
      <c r="CG121" s="7">
        <v>272690</v>
      </c>
      <c r="CH121" s="7">
        <v>263353</v>
      </c>
      <c r="CI121" s="7">
        <v>268161</v>
      </c>
      <c r="CJ121" s="7">
        <v>282173</v>
      </c>
      <c r="CK121" s="7">
        <v>332771</v>
      </c>
      <c r="CL121" s="7">
        <v>315846</v>
      </c>
      <c r="CM121" s="7">
        <v>303982</v>
      </c>
      <c r="CN121" s="7">
        <v>299187</v>
      </c>
      <c r="CO121" s="7">
        <v>314431</v>
      </c>
      <c r="CP121" s="7">
        <v>318453</v>
      </c>
      <c r="CQ121" s="7">
        <v>340570</v>
      </c>
      <c r="CR121" s="7">
        <v>339294</v>
      </c>
      <c r="CS121" s="7">
        <v>325002</v>
      </c>
      <c r="CT121" s="7">
        <v>315571</v>
      </c>
      <c r="CU121" s="7">
        <v>326004</v>
      </c>
      <c r="CV121" s="7">
        <v>314898</v>
      </c>
      <c r="CW121" s="7">
        <v>323492</v>
      </c>
      <c r="CX121" s="7">
        <v>318029</v>
      </c>
      <c r="CY121" s="7">
        <v>315167</v>
      </c>
      <c r="CZ121" s="7">
        <v>317135</v>
      </c>
      <c r="DA121" s="7">
        <v>503957</v>
      </c>
      <c r="DB121" s="7">
        <v>539590</v>
      </c>
      <c r="DC121" s="7">
        <v>533779</v>
      </c>
      <c r="DD121" s="7">
        <v>731117</v>
      </c>
      <c r="DE121" s="7">
        <v>777423</v>
      </c>
      <c r="DF121" s="7">
        <v>770022</v>
      </c>
      <c r="DG121" s="7">
        <v>806022</v>
      </c>
      <c r="DH121" s="7">
        <v>810896</v>
      </c>
      <c r="DI121" s="7">
        <v>718364</v>
      </c>
      <c r="DJ121" s="7">
        <v>605735</v>
      </c>
      <c r="DK121" s="7">
        <v>538514</v>
      </c>
      <c r="DL121" s="7">
        <v>430702</v>
      </c>
      <c r="DM121" s="7">
        <v>515537</v>
      </c>
      <c r="DN121" s="7">
        <v>565277</v>
      </c>
      <c r="DO121" s="7">
        <v>656422</v>
      </c>
      <c r="DP121" s="7">
        <v>780573</v>
      </c>
      <c r="DQ121" s="7">
        <v>807544</v>
      </c>
      <c r="DR121" s="7">
        <v>1060596</v>
      </c>
      <c r="DS121" s="7">
        <v>1056400</v>
      </c>
      <c r="DT121" s="7">
        <v>1099192</v>
      </c>
      <c r="DU121" s="7">
        <v>1296100</v>
      </c>
      <c r="DV121" s="7">
        <v>1355892</v>
      </c>
      <c r="DW121" s="7">
        <v>1370065</v>
      </c>
      <c r="DX121" s="7">
        <v>1457059</v>
      </c>
      <c r="DY121" s="7">
        <v>1603061</v>
      </c>
      <c r="DZ121" s="7">
        <v>1671315</v>
      </c>
      <c r="EA121" s="7">
        <v>1694511</v>
      </c>
      <c r="EB121" s="7">
        <v>1605290</v>
      </c>
      <c r="EC121" s="7">
        <v>1550011</v>
      </c>
      <c r="ED121" s="7">
        <v>1721436</v>
      </c>
      <c r="EE121" s="7">
        <v>1763696</v>
      </c>
      <c r="EF121" s="7">
        <v>1908200</v>
      </c>
      <c r="EG121" s="7">
        <v>2195297</v>
      </c>
      <c r="EH121" s="7">
        <v>2215915</v>
      </c>
      <c r="EI121" s="7">
        <v>2294936</v>
      </c>
      <c r="EJ121" s="25">
        <f t="shared" si="7"/>
        <v>-13600</v>
      </c>
      <c r="EK121" s="7">
        <v>2281336</v>
      </c>
      <c r="EL121" s="25">
        <f t="shared" si="8"/>
        <v>86720</v>
      </c>
      <c r="EM121" s="7">
        <v>2368056</v>
      </c>
      <c r="EN121" s="25">
        <f t="shared" si="9"/>
        <v>155288</v>
      </c>
      <c r="EO121" s="7">
        <v>2523344</v>
      </c>
      <c r="EP121" s="25">
        <f t="shared" si="10"/>
        <v>301564</v>
      </c>
      <c r="EQ121" s="7">
        <v>2824908</v>
      </c>
      <c r="ER121" s="25">
        <f t="shared" si="11"/>
        <v>140941</v>
      </c>
      <c r="ES121" s="7">
        <v>2965849</v>
      </c>
      <c r="ET121" s="25">
        <f t="shared" si="12"/>
        <v>289608</v>
      </c>
      <c r="EU121" s="7">
        <v>3255457</v>
      </c>
      <c r="EV121" s="25">
        <f t="shared" si="13"/>
        <v>-229201</v>
      </c>
      <c r="EW121" s="7">
        <v>3026256</v>
      </c>
      <c r="EX121" s="7">
        <v>2929817</v>
      </c>
      <c r="EY121" s="7">
        <v>2704169</v>
      </c>
      <c r="EZ121" s="7">
        <v>2697465</v>
      </c>
      <c r="FA121" s="7">
        <v>2702158</v>
      </c>
      <c r="FB121" s="7">
        <v>2668105</v>
      </c>
      <c r="FC121" s="7">
        <v>2885452</v>
      </c>
      <c r="FD121" s="7">
        <v>3087453</v>
      </c>
      <c r="FE121" s="7">
        <v>3222084</v>
      </c>
      <c r="FF121" s="7">
        <v>3485380</v>
      </c>
      <c r="FG121" s="7">
        <v>3439244</v>
      </c>
      <c r="FH121" s="7">
        <v>3349025</v>
      </c>
      <c r="FI121" s="7">
        <v>3304990</v>
      </c>
      <c r="FJ121" s="7">
        <v>3158717</v>
      </c>
    </row>
    <row r="122" spans="1:166" x14ac:dyDescent="0.4">
      <c r="A122" s="35" t="s">
        <v>13</v>
      </c>
      <c r="B122" s="7">
        <v>0</v>
      </c>
      <c r="C122" s="7">
        <v>0</v>
      </c>
      <c r="D122" s="7">
        <v>0</v>
      </c>
      <c r="E122" s="7">
        <v>0</v>
      </c>
      <c r="F122" s="7">
        <v>0</v>
      </c>
      <c r="G122" s="7">
        <v>0</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c r="AF122" s="7">
        <v>0</v>
      </c>
      <c r="AG122" s="7">
        <v>0</v>
      </c>
      <c r="AH122" s="7">
        <v>0</v>
      </c>
      <c r="AI122" s="7">
        <v>0</v>
      </c>
      <c r="AJ122" s="7">
        <v>0</v>
      </c>
      <c r="AK122" s="7">
        <v>0</v>
      </c>
      <c r="AL122" s="7">
        <v>0</v>
      </c>
      <c r="AM122" s="7">
        <v>0</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0</v>
      </c>
      <c r="BI122" s="7">
        <v>0</v>
      </c>
      <c r="BJ122" s="7">
        <v>0</v>
      </c>
      <c r="BK122" s="7">
        <v>0</v>
      </c>
      <c r="BL122" s="7">
        <v>0</v>
      </c>
      <c r="BM122" s="7">
        <v>0</v>
      </c>
      <c r="BN122" s="7">
        <v>0</v>
      </c>
      <c r="BO122" s="7">
        <v>0</v>
      </c>
      <c r="BP122" s="7">
        <v>0</v>
      </c>
      <c r="BQ122" s="7">
        <v>0</v>
      </c>
      <c r="BR122" s="7">
        <v>0</v>
      </c>
      <c r="BS122" s="7">
        <v>0</v>
      </c>
      <c r="BT122" s="7">
        <v>0</v>
      </c>
      <c r="BU122" s="7">
        <v>0</v>
      </c>
      <c r="BV122" s="7">
        <v>0</v>
      </c>
      <c r="BW122" s="7">
        <v>0</v>
      </c>
      <c r="BX122" s="7">
        <v>0</v>
      </c>
      <c r="BY122" s="7">
        <v>0</v>
      </c>
      <c r="BZ122" s="7">
        <v>0</v>
      </c>
      <c r="CA122" s="7">
        <v>0</v>
      </c>
      <c r="CB122" s="7">
        <v>0</v>
      </c>
      <c r="CC122" s="7">
        <v>0</v>
      </c>
      <c r="CD122" s="7">
        <v>0</v>
      </c>
      <c r="CE122" s="7">
        <v>0</v>
      </c>
      <c r="CF122" s="22">
        <v>0</v>
      </c>
      <c r="CG122" s="22">
        <v>0</v>
      </c>
      <c r="CH122" s="22">
        <v>0</v>
      </c>
      <c r="CI122" s="22">
        <v>0</v>
      </c>
      <c r="CJ122" s="22">
        <v>0</v>
      </c>
      <c r="CK122" s="22">
        <v>0</v>
      </c>
      <c r="CL122" s="22">
        <v>0</v>
      </c>
      <c r="CM122" s="22">
        <v>0</v>
      </c>
      <c r="CN122" s="22">
        <v>0</v>
      </c>
      <c r="CO122" s="22">
        <v>0</v>
      </c>
      <c r="CP122" s="22">
        <v>0</v>
      </c>
      <c r="CQ122" s="22">
        <v>0</v>
      </c>
      <c r="CR122" s="22">
        <v>0</v>
      </c>
      <c r="CS122" s="22">
        <v>0</v>
      </c>
      <c r="CT122" s="22">
        <v>0</v>
      </c>
      <c r="CU122" s="22">
        <v>0</v>
      </c>
      <c r="CV122" s="22">
        <v>0</v>
      </c>
      <c r="CW122" s="22">
        <v>0</v>
      </c>
      <c r="CX122" s="22">
        <v>0</v>
      </c>
      <c r="CY122" s="22">
        <v>0</v>
      </c>
      <c r="CZ122" s="22">
        <v>0</v>
      </c>
      <c r="DA122" s="22">
        <v>0</v>
      </c>
      <c r="DB122" s="22">
        <v>0</v>
      </c>
      <c r="DC122" s="22">
        <v>0</v>
      </c>
      <c r="DD122" s="7">
        <v>6284</v>
      </c>
      <c r="DE122" s="7">
        <v>6689</v>
      </c>
      <c r="DF122" s="7">
        <v>6636</v>
      </c>
      <c r="DG122" s="7">
        <v>6960</v>
      </c>
      <c r="DH122" s="7">
        <v>7481</v>
      </c>
      <c r="DI122" s="7">
        <v>7539</v>
      </c>
      <c r="DJ122" s="7">
        <v>6375</v>
      </c>
      <c r="DK122" s="7">
        <v>5671</v>
      </c>
      <c r="DL122" s="7">
        <v>4604</v>
      </c>
      <c r="DM122" s="7">
        <v>5524</v>
      </c>
      <c r="DN122" s="7">
        <v>5446</v>
      </c>
      <c r="DO122" s="7">
        <v>5186</v>
      </c>
      <c r="DP122" s="7">
        <v>34656</v>
      </c>
      <c r="DQ122" s="7">
        <v>34528</v>
      </c>
      <c r="DR122" s="7">
        <v>39915</v>
      </c>
      <c r="DS122" s="7">
        <v>39641</v>
      </c>
      <c r="DT122" s="7">
        <v>43129</v>
      </c>
      <c r="DU122" s="7">
        <v>44240</v>
      </c>
      <c r="DV122" s="7">
        <v>0</v>
      </c>
      <c r="DW122" s="7">
        <v>2019</v>
      </c>
      <c r="DX122" s="7">
        <v>2188</v>
      </c>
      <c r="DY122" s="7">
        <v>2297</v>
      </c>
      <c r="DZ122" s="7">
        <v>2434</v>
      </c>
      <c r="EA122" s="7">
        <v>2442</v>
      </c>
      <c r="EB122" s="7">
        <v>2348</v>
      </c>
      <c r="EC122" s="7">
        <v>2249</v>
      </c>
      <c r="ED122" s="7">
        <v>32785</v>
      </c>
      <c r="EE122" s="7">
        <v>56478</v>
      </c>
      <c r="EF122" s="7">
        <v>58323</v>
      </c>
      <c r="EG122" s="7">
        <v>55924</v>
      </c>
      <c r="EH122" s="7">
        <v>55127</v>
      </c>
      <c r="EI122" s="7">
        <v>54116</v>
      </c>
      <c r="EJ122" s="25">
        <f t="shared" si="7"/>
        <v>9827</v>
      </c>
      <c r="EK122" s="7">
        <v>63943</v>
      </c>
      <c r="EL122" s="25">
        <f t="shared" si="8"/>
        <v>681</v>
      </c>
      <c r="EM122" s="7">
        <v>64624</v>
      </c>
      <c r="EN122" s="25">
        <f t="shared" si="9"/>
        <v>3849</v>
      </c>
      <c r="EO122" s="7">
        <v>68473</v>
      </c>
      <c r="EP122" s="25">
        <f t="shared" si="10"/>
        <v>-36621</v>
      </c>
      <c r="EQ122" s="7">
        <v>31852</v>
      </c>
      <c r="ER122" s="25">
        <f t="shared" si="11"/>
        <v>-31852</v>
      </c>
      <c r="ES122" s="7">
        <v>0</v>
      </c>
      <c r="ET122" s="25">
        <f t="shared" si="12"/>
        <v>0</v>
      </c>
      <c r="EU122" s="7">
        <v>0</v>
      </c>
      <c r="EV122" s="25">
        <f t="shared" si="13"/>
        <v>0</v>
      </c>
      <c r="EW122" s="7">
        <v>0</v>
      </c>
      <c r="EX122" s="7">
        <v>0</v>
      </c>
      <c r="EY122" s="7">
        <v>0</v>
      </c>
      <c r="EZ122" s="7">
        <v>0</v>
      </c>
      <c r="FA122" s="7">
        <v>28557</v>
      </c>
      <c r="FB122" s="7">
        <v>27531</v>
      </c>
      <c r="FC122" s="7">
        <v>27479</v>
      </c>
      <c r="FD122" s="7">
        <v>28663</v>
      </c>
      <c r="FE122" s="7">
        <v>28142</v>
      </c>
      <c r="FF122" s="7">
        <v>29036</v>
      </c>
      <c r="FG122" s="7">
        <v>28207</v>
      </c>
      <c r="FH122" s="7">
        <v>27410</v>
      </c>
      <c r="FI122" s="7">
        <v>27415</v>
      </c>
      <c r="FJ122" s="7">
        <v>26545</v>
      </c>
    </row>
    <row r="123" spans="1:166" x14ac:dyDescent="0.4">
      <c r="A123" s="35" t="s">
        <v>14</v>
      </c>
      <c r="B123" s="7">
        <v>0</v>
      </c>
      <c r="C123" s="7">
        <v>0</v>
      </c>
      <c r="D123" s="7">
        <v>0</v>
      </c>
      <c r="E123" s="7">
        <v>0</v>
      </c>
      <c r="F123" s="7">
        <v>0</v>
      </c>
      <c r="G123" s="7">
        <v>0</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c r="AF123" s="7">
        <v>0</v>
      </c>
      <c r="AG123" s="7">
        <v>0</v>
      </c>
      <c r="AH123" s="7">
        <v>0</v>
      </c>
      <c r="AI123" s="7">
        <v>0</v>
      </c>
      <c r="AJ123" s="7">
        <v>0</v>
      </c>
      <c r="AK123" s="7">
        <v>0</v>
      </c>
      <c r="AL123" s="7">
        <v>127545</v>
      </c>
      <c r="AM123" s="7">
        <v>135393</v>
      </c>
      <c r="AN123" s="7">
        <v>131408</v>
      </c>
      <c r="AO123" s="7">
        <v>199917</v>
      </c>
      <c r="AP123" s="7">
        <v>268947</v>
      </c>
      <c r="AQ123" s="7">
        <v>271813</v>
      </c>
      <c r="AR123" s="7">
        <v>264306</v>
      </c>
      <c r="AS123" s="7">
        <v>271936</v>
      </c>
      <c r="AT123" s="7">
        <v>266978</v>
      </c>
      <c r="AU123" s="7">
        <v>310310</v>
      </c>
      <c r="AV123" s="7">
        <v>309060</v>
      </c>
      <c r="AW123" s="7">
        <v>319089</v>
      </c>
      <c r="AX123" s="7">
        <v>298021</v>
      </c>
      <c r="AY123" s="7">
        <v>295589</v>
      </c>
      <c r="AZ123" s="7">
        <v>284658</v>
      </c>
      <c r="BA123" s="7">
        <v>276998</v>
      </c>
      <c r="BB123" s="7">
        <v>279910</v>
      </c>
      <c r="BC123" s="7">
        <v>277680</v>
      </c>
      <c r="BD123" s="7">
        <v>290301</v>
      </c>
      <c r="BE123" s="7">
        <v>292551</v>
      </c>
      <c r="BF123" s="7">
        <v>288557</v>
      </c>
      <c r="BG123" s="7">
        <v>287058</v>
      </c>
      <c r="BH123" s="7">
        <v>284336</v>
      </c>
      <c r="BI123" s="7">
        <v>286739</v>
      </c>
      <c r="BJ123" s="7">
        <v>283146</v>
      </c>
      <c r="BK123" s="7">
        <v>276713</v>
      </c>
      <c r="BL123" s="7">
        <v>273666</v>
      </c>
      <c r="BM123" s="7">
        <v>281498</v>
      </c>
      <c r="BN123" s="7">
        <v>313453</v>
      </c>
      <c r="BO123" s="7">
        <v>316456</v>
      </c>
      <c r="BP123" s="7">
        <v>319981</v>
      </c>
      <c r="BQ123" s="7">
        <v>317400</v>
      </c>
      <c r="BR123" s="7">
        <v>344204</v>
      </c>
      <c r="BS123" s="7">
        <v>332739</v>
      </c>
      <c r="BT123" s="7">
        <v>332429</v>
      </c>
      <c r="BU123" s="7">
        <v>336776</v>
      </c>
      <c r="BV123" s="7">
        <v>351111</v>
      </c>
      <c r="BW123" s="7">
        <v>334069</v>
      </c>
      <c r="BX123" s="7">
        <v>332342</v>
      </c>
      <c r="BY123" s="7">
        <v>275671</v>
      </c>
      <c r="BZ123" s="7">
        <v>275205</v>
      </c>
      <c r="CA123" s="7">
        <v>276764</v>
      </c>
      <c r="CB123" s="7">
        <v>268330</v>
      </c>
      <c r="CC123" s="7">
        <v>269621</v>
      </c>
      <c r="CD123" s="7">
        <v>282854</v>
      </c>
      <c r="CE123" s="7">
        <v>274030</v>
      </c>
      <c r="CF123" s="7">
        <v>271724</v>
      </c>
      <c r="CG123" s="7">
        <v>272690</v>
      </c>
      <c r="CH123" s="7">
        <v>263353</v>
      </c>
      <c r="CI123" s="7">
        <v>268161</v>
      </c>
      <c r="CJ123" s="7">
        <v>282173</v>
      </c>
      <c r="CK123" s="7">
        <v>332771</v>
      </c>
      <c r="CL123" s="7">
        <v>315846</v>
      </c>
      <c r="CM123" s="7">
        <v>303982</v>
      </c>
      <c r="CN123" s="7">
        <v>299187</v>
      </c>
      <c r="CO123" s="7">
        <v>314431</v>
      </c>
      <c r="CP123" s="7">
        <v>318453</v>
      </c>
      <c r="CQ123" s="7">
        <v>340570</v>
      </c>
      <c r="CR123" s="7">
        <v>339294</v>
      </c>
      <c r="CS123" s="7">
        <v>325002</v>
      </c>
      <c r="CT123" s="7">
        <v>315571</v>
      </c>
      <c r="CU123" s="7">
        <v>326004</v>
      </c>
      <c r="CV123" s="7">
        <v>314898</v>
      </c>
      <c r="CW123" s="7">
        <v>323492</v>
      </c>
      <c r="CX123" s="7">
        <v>318029</v>
      </c>
      <c r="CY123" s="7">
        <v>315167</v>
      </c>
      <c r="CZ123" s="7">
        <v>317135</v>
      </c>
      <c r="DA123" s="7">
        <v>503957</v>
      </c>
      <c r="DB123" s="7">
        <v>539590</v>
      </c>
      <c r="DC123" s="7">
        <v>533779</v>
      </c>
      <c r="DD123" s="7">
        <v>724834</v>
      </c>
      <c r="DE123" s="7">
        <v>770733</v>
      </c>
      <c r="DF123" s="7">
        <v>763386</v>
      </c>
      <c r="DG123" s="7">
        <v>799062</v>
      </c>
      <c r="DH123" s="7">
        <v>803415</v>
      </c>
      <c r="DI123" s="7">
        <v>710826</v>
      </c>
      <c r="DJ123" s="7">
        <v>599360</v>
      </c>
      <c r="DK123" s="7">
        <v>532842</v>
      </c>
      <c r="DL123" s="7">
        <v>426099</v>
      </c>
      <c r="DM123" s="7">
        <v>510013</v>
      </c>
      <c r="DN123" s="7">
        <v>559831</v>
      </c>
      <c r="DO123" s="7">
        <v>651236</v>
      </c>
      <c r="DP123" s="7">
        <v>745917</v>
      </c>
      <c r="DQ123" s="7">
        <v>773017</v>
      </c>
      <c r="DR123" s="7">
        <v>1020681</v>
      </c>
      <c r="DS123" s="7">
        <v>1016759</v>
      </c>
      <c r="DT123" s="7">
        <v>1056063</v>
      </c>
      <c r="DU123" s="7">
        <v>1251860</v>
      </c>
      <c r="DV123" s="7">
        <v>1355892</v>
      </c>
      <c r="DW123" s="7">
        <v>1368046</v>
      </c>
      <c r="DX123" s="7">
        <v>1454871</v>
      </c>
      <c r="DY123" s="7">
        <v>1600764</v>
      </c>
      <c r="DZ123" s="7">
        <v>1668881</v>
      </c>
      <c r="EA123" s="7">
        <v>1692069</v>
      </c>
      <c r="EB123" s="7">
        <v>1602942</v>
      </c>
      <c r="EC123" s="7">
        <v>1547762</v>
      </c>
      <c r="ED123" s="7">
        <v>1688652</v>
      </c>
      <c r="EE123" s="7">
        <v>1707218</v>
      </c>
      <c r="EF123" s="7">
        <v>1849877</v>
      </c>
      <c r="EG123" s="7">
        <v>2139372</v>
      </c>
      <c r="EH123" s="7">
        <v>2160788</v>
      </c>
      <c r="EI123" s="7">
        <v>2240819</v>
      </c>
      <c r="EJ123" s="25">
        <f t="shared" si="7"/>
        <v>-23425</v>
      </c>
      <c r="EK123" s="7">
        <v>2217394</v>
      </c>
      <c r="EL123" s="25">
        <f t="shared" si="8"/>
        <v>86038</v>
      </c>
      <c r="EM123" s="7">
        <v>2303432</v>
      </c>
      <c r="EN123" s="25">
        <f t="shared" si="9"/>
        <v>151439</v>
      </c>
      <c r="EO123" s="7">
        <v>2454871</v>
      </c>
      <c r="EP123" s="25">
        <f t="shared" si="10"/>
        <v>338185</v>
      </c>
      <c r="EQ123" s="7">
        <v>2793056</v>
      </c>
      <c r="ER123" s="25">
        <f t="shared" si="11"/>
        <v>172793</v>
      </c>
      <c r="ES123" s="7">
        <v>2965849</v>
      </c>
      <c r="ET123" s="25">
        <f t="shared" si="12"/>
        <v>289608</v>
      </c>
      <c r="EU123" s="7">
        <v>3255457</v>
      </c>
      <c r="EV123" s="25">
        <f t="shared" si="13"/>
        <v>-229201</v>
      </c>
      <c r="EW123" s="7">
        <v>3026256</v>
      </c>
      <c r="EX123" s="7">
        <v>2929817</v>
      </c>
      <c r="EY123" s="7">
        <v>2704169</v>
      </c>
      <c r="EZ123" s="7">
        <v>2697465</v>
      </c>
      <c r="FA123" s="7">
        <v>2673601</v>
      </c>
      <c r="FB123" s="7">
        <v>2640574</v>
      </c>
      <c r="FC123" s="7">
        <v>2857972</v>
      </c>
      <c r="FD123" s="7">
        <v>3058789</v>
      </c>
      <c r="FE123" s="7">
        <v>3193943</v>
      </c>
      <c r="FF123" s="7">
        <v>3456344</v>
      </c>
      <c r="FG123" s="7">
        <v>3411037</v>
      </c>
      <c r="FH123" s="7">
        <v>3321615</v>
      </c>
      <c r="FI123" s="7">
        <v>3277575</v>
      </c>
      <c r="FJ123" s="7">
        <v>3132172</v>
      </c>
    </row>
    <row r="124" spans="1:166" x14ac:dyDescent="0.4">
      <c r="A124" s="35" t="s">
        <v>27</v>
      </c>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v>0</v>
      </c>
      <c r="BW124" s="7">
        <v>0</v>
      </c>
      <c r="BX124" s="7">
        <v>52606</v>
      </c>
      <c r="BY124" s="7">
        <v>0</v>
      </c>
      <c r="BZ124" s="7">
        <v>0</v>
      </c>
      <c r="CA124" s="7">
        <v>0</v>
      </c>
      <c r="CB124" s="7">
        <v>0</v>
      </c>
      <c r="CC124" s="7">
        <v>0</v>
      </c>
      <c r="CD124" s="7">
        <v>58</v>
      </c>
      <c r="CE124" s="7">
        <v>56</v>
      </c>
      <c r="CF124" s="7">
        <v>56</v>
      </c>
      <c r="CG124" s="7">
        <v>56</v>
      </c>
      <c r="CH124" s="7">
        <v>54</v>
      </c>
      <c r="CI124" s="7">
        <v>55</v>
      </c>
      <c r="CJ124" s="7">
        <v>57</v>
      </c>
      <c r="CK124" s="7">
        <v>68</v>
      </c>
      <c r="CL124" s="7">
        <v>65</v>
      </c>
      <c r="CM124" s="7">
        <v>63</v>
      </c>
      <c r="CN124" s="7">
        <v>63</v>
      </c>
      <c r="CO124" s="7">
        <v>66</v>
      </c>
      <c r="CP124" s="7">
        <v>0</v>
      </c>
      <c r="CQ124" s="7">
        <v>0</v>
      </c>
      <c r="CR124" s="7">
        <v>0</v>
      </c>
      <c r="CS124" s="7">
        <v>0</v>
      </c>
      <c r="CT124" s="7">
        <v>0</v>
      </c>
      <c r="CU124" s="7">
        <v>0</v>
      </c>
      <c r="CV124" s="7">
        <v>0</v>
      </c>
      <c r="CW124" s="7">
        <v>0</v>
      </c>
      <c r="CX124" s="7">
        <v>0</v>
      </c>
      <c r="CY124" s="7">
        <v>0</v>
      </c>
      <c r="CZ124" s="7">
        <v>0</v>
      </c>
      <c r="DA124" s="7">
        <v>0</v>
      </c>
      <c r="DB124" s="7">
        <v>0</v>
      </c>
      <c r="DC124" s="7">
        <v>0</v>
      </c>
      <c r="DD124" s="7">
        <v>0</v>
      </c>
      <c r="DE124" s="7">
        <v>0</v>
      </c>
      <c r="DF124" s="7">
        <v>0</v>
      </c>
      <c r="DG124" s="7">
        <v>0</v>
      </c>
      <c r="DH124" s="7">
        <v>0</v>
      </c>
      <c r="DI124" s="7">
        <v>0</v>
      </c>
      <c r="DJ124" s="7">
        <v>0</v>
      </c>
      <c r="DK124" s="7">
        <v>0</v>
      </c>
      <c r="DL124" s="7">
        <v>0</v>
      </c>
      <c r="DM124" s="7">
        <v>0</v>
      </c>
      <c r="DN124" s="7">
        <v>0</v>
      </c>
      <c r="DO124" s="7">
        <v>0</v>
      </c>
      <c r="DP124" s="7">
        <v>7540</v>
      </c>
      <c r="DQ124" s="7">
        <v>7493</v>
      </c>
      <c r="DR124" s="7">
        <v>8641</v>
      </c>
      <c r="DS124" s="7">
        <v>8560</v>
      </c>
      <c r="DT124" s="7">
        <v>9289</v>
      </c>
      <c r="DU124" s="7">
        <v>9505</v>
      </c>
      <c r="DV124" s="7">
        <v>9939</v>
      </c>
      <c r="DW124" s="7">
        <v>9974</v>
      </c>
      <c r="DX124" s="7">
        <v>37605</v>
      </c>
      <c r="DY124" s="7">
        <v>39425</v>
      </c>
      <c r="DZ124" s="7">
        <v>41693</v>
      </c>
      <c r="EA124" s="7">
        <v>46255</v>
      </c>
      <c r="EB124" s="7">
        <v>44230</v>
      </c>
      <c r="EC124" s="7">
        <v>51027</v>
      </c>
      <c r="ED124" s="7">
        <v>51058</v>
      </c>
      <c r="EE124" s="7">
        <v>82797</v>
      </c>
      <c r="EF124" s="7">
        <v>85406</v>
      </c>
      <c r="EG124" s="7">
        <v>93856</v>
      </c>
      <c r="EH124" s="7">
        <v>93304</v>
      </c>
      <c r="EI124" s="7">
        <v>104188</v>
      </c>
      <c r="EJ124" s="25">
        <f t="shared" si="7"/>
        <v>-31924</v>
      </c>
      <c r="EK124" s="7">
        <v>72264</v>
      </c>
      <c r="EL124" s="25">
        <f t="shared" si="8"/>
        <v>27454</v>
      </c>
      <c r="EM124" s="7">
        <v>99718</v>
      </c>
      <c r="EN124" s="25">
        <f t="shared" si="9"/>
        <v>4571</v>
      </c>
      <c r="EO124" s="7">
        <v>104289</v>
      </c>
      <c r="EP124" s="25">
        <f t="shared" si="10"/>
        <v>29838</v>
      </c>
      <c r="EQ124" s="7">
        <v>134127</v>
      </c>
      <c r="ER124" s="25">
        <f t="shared" si="11"/>
        <v>14205</v>
      </c>
      <c r="ES124" s="7">
        <v>148332</v>
      </c>
      <c r="ET124" s="25">
        <f t="shared" si="12"/>
        <v>5166</v>
      </c>
      <c r="EU124" s="7">
        <v>153498</v>
      </c>
      <c r="EV124" s="25">
        <f t="shared" si="13"/>
        <v>130012</v>
      </c>
      <c r="EW124" s="7">
        <v>283510</v>
      </c>
      <c r="EX124" s="7">
        <v>243092</v>
      </c>
      <c r="EY124" s="7">
        <v>221885</v>
      </c>
      <c r="EZ124" s="7">
        <v>242588</v>
      </c>
      <c r="FA124" s="7">
        <v>253781</v>
      </c>
      <c r="FB124" s="7">
        <v>280689</v>
      </c>
      <c r="FC124" s="7">
        <v>350543</v>
      </c>
      <c r="FD124" s="7">
        <v>339372</v>
      </c>
      <c r="FE124" s="7">
        <v>347520</v>
      </c>
      <c r="FF124" s="7">
        <v>331290</v>
      </c>
      <c r="FG124" s="7">
        <v>356773</v>
      </c>
      <c r="FH124" s="7">
        <v>402088</v>
      </c>
      <c r="FI124" s="7">
        <v>356927</v>
      </c>
      <c r="FJ124" s="7">
        <v>322406</v>
      </c>
    </row>
    <row r="125" spans="1:166" x14ac:dyDescent="0.4">
      <c r="A125" s="35" t="s">
        <v>30</v>
      </c>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v>351111</v>
      </c>
      <c r="BW125" s="7">
        <v>334069</v>
      </c>
      <c r="BX125" s="7">
        <v>279737</v>
      </c>
      <c r="BY125" s="7">
        <v>275671</v>
      </c>
      <c r="BZ125" s="7">
        <v>275205</v>
      </c>
      <c r="CA125" s="7">
        <v>276764</v>
      </c>
      <c r="CB125" s="7">
        <v>268330</v>
      </c>
      <c r="CC125" s="7">
        <v>269621</v>
      </c>
      <c r="CD125" s="7">
        <v>282796</v>
      </c>
      <c r="CE125" s="7">
        <v>273974</v>
      </c>
      <c r="CF125" s="7">
        <v>271668</v>
      </c>
      <c r="CG125" s="7">
        <v>272634</v>
      </c>
      <c r="CH125" s="7">
        <v>263299</v>
      </c>
      <c r="CI125" s="7">
        <v>268106</v>
      </c>
      <c r="CJ125" s="7">
        <v>282116</v>
      </c>
      <c r="CK125" s="7">
        <v>332702</v>
      </c>
      <c r="CL125" s="7">
        <v>315781</v>
      </c>
      <c r="CM125" s="7">
        <v>303919</v>
      </c>
      <c r="CN125" s="7">
        <v>299124</v>
      </c>
      <c r="CO125" s="7">
        <v>314364</v>
      </c>
      <c r="CP125" s="7">
        <v>318453</v>
      </c>
      <c r="CQ125" s="7">
        <v>340570</v>
      </c>
      <c r="CR125" s="7">
        <v>339294</v>
      </c>
      <c r="CS125" s="7">
        <v>325002</v>
      </c>
      <c r="CT125" s="7">
        <v>315571</v>
      </c>
      <c r="CU125" s="7">
        <v>326004</v>
      </c>
      <c r="CV125" s="7">
        <v>314898</v>
      </c>
      <c r="CW125" s="7">
        <v>323492</v>
      </c>
      <c r="CX125" s="7">
        <v>318029</v>
      </c>
      <c r="CY125" s="7">
        <v>315167</v>
      </c>
      <c r="CZ125" s="7">
        <v>317135</v>
      </c>
      <c r="DA125" s="7">
        <v>503957</v>
      </c>
      <c r="DB125" s="7">
        <v>539590</v>
      </c>
      <c r="DC125" s="7">
        <v>533779</v>
      </c>
      <c r="DD125" s="7">
        <v>724834</v>
      </c>
      <c r="DE125" s="7">
        <v>770733</v>
      </c>
      <c r="DF125" s="7">
        <v>763386</v>
      </c>
      <c r="DG125" s="7">
        <v>799062</v>
      </c>
      <c r="DH125" s="7">
        <v>803415</v>
      </c>
      <c r="DI125" s="7">
        <v>710826</v>
      </c>
      <c r="DJ125" s="7">
        <v>599360</v>
      </c>
      <c r="DK125" s="7">
        <v>532842</v>
      </c>
      <c r="DL125" s="7">
        <v>426099</v>
      </c>
      <c r="DM125" s="7">
        <v>510013</v>
      </c>
      <c r="DN125" s="7">
        <v>559831</v>
      </c>
      <c r="DO125" s="7">
        <v>651236</v>
      </c>
      <c r="DP125" s="7">
        <v>738376</v>
      </c>
      <c r="DQ125" s="7">
        <v>765523</v>
      </c>
      <c r="DR125" s="7">
        <v>1012041</v>
      </c>
      <c r="DS125" s="7">
        <v>1008199</v>
      </c>
      <c r="DT125" s="7">
        <v>1046774</v>
      </c>
      <c r="DU125" s="7">
        <v>1242355</v>
      </c>
      <c r="DV125" s="7">
        <v>1345953</v>
      </c>
      <c r="DW125" s="7">
        <v>1358072</v>
      </c>
      <c r="DX125" s="7">
        <v>1417266</v>
      </c>
      <c r="DY125" s="7">
        <v>1561339</v>
      </c>
      <c r="DZ125" s="7">
        <v>1627189</v>
      </c>
      <c r="EA125" s="7">
        <v>1645814</v>
      </c>
      <c r="EB125" s="7">
        <v>1558711</v>
      </c>
      <c r="EC125" s="7">
        <v>1496735</v>
      </c>
      <c r="ED125" s="7">
        <v>1637594</v>
      </c>
      <c r="EE125" s="7">
        <v>1624421</v>
      </c>
      <c r="EF125" s="7">
        <v>1764471</v>
      </c>
      <c r="EG125" s="7">
        <v>2045516</v>
      </c>
      <c r="EH125" s="7">
        <v>2067484</v>
      </c>
      <c r="EI125" s="7">
        <v>2136631</v>
      </c>
      <c r="EJ125" s="25">
        <f t="shared" si="7"/>
        <v>8499</v>
      </c>
      <c r="EK125" s="7">
        <v>2145130</v>
      </c>
      <c r="EL125" s="56">
        <f t="shared" si="8"/>
        <v>58584</v>
      </c>
      <c r="EM125" s="7">
        <v>2203714</v>
      </c>
      <c r="EN125" s="56">
        <f t="shared" si="9"/>
        <v>146868</v>
      </c>
      <c r="EO125" s="7">
        <v>2350582</v>
      </c>
      <c r="EP125" s="56">
        <f t="shared" si="10"/>
        <v>308347</v>
      </c>
      <c r="EQ125" s="7">
        <v>2658929</v>
      </c>
      <c r="ER125" s="56">
        <f t="shared" si="11"/>
        <v>158588</v>
      </c>
      <c r="ES125" s="7">
        <v>2817517</v>
      </c>
      <c r="ET125" s="56">
        <f t="shared" si="12"/>
        <v>284442</v>
      </c>
      <c r="EU125" s="7">
        <v>3101959</v>
      </c>
      <c r="EV125" s="25">
        <f t="shared" si="13"/>
        <v>-359212</v>
      </c>
      <c r="EW125" s="7">
        <v>2742747</v>
      </c>
      <c r="EX125" s="7">
        <v>2686725</v>
      </c>
      <c r="EY125" s="7">
        <v>2482285</v>
      </c>
      <c r="EZ125" s="7">
        <v>2454877</v>
      </c>
      <c r="FA125" s="7">
        <v>2419820</v>
      </c>
      <c r="FB125" s="7">
        <v>2359885</v>
      </c>
      <c r="FC125" s="7">
        <v>2507430</v>
      </c>
      <c r="FD125" s="7">
        <v>2719417</v>
      </c>
      <c r="FE125" s="7">
        <v>2846423</v>
      </c>
      <c r="FF125" s="7">
        <v>3125055</v>
      </c>
      <c r="FG125" s="7">
        <v>3054264</v>
      </c>
      <c r="FH125" s="7">
        <v>2919526</v>
      </c>
      <c r="FI125" s="7">
        <v>2920648</v>
      </c>
      <c r="FJ125" s="7">
        <v>2809766</v>
      </c>
    </row>
    <row r="126" spans="1:166" x14ac:dyDescent="0.4">
      <c r="A126" s="34" t="s">
        <v>8</v>
      </c>
      <c r="B126" s="7">
        <v>0</v>
      </c>
      <c r="C126" s="7">
        <v>0</v>
      </c>
      <c r="D126" s="7">
        <v>0</v>
      </c>
      <c r="E126" s="7">
        <v>0</v>
      </c>
      <c r="F126" s="7">
        <v>0</v>
      </c>
      <c r="G126" s="7">
        <v>0</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c r="AF126" s="7">
        <v>0</v>
      </c>
      <c r="AG126" s="7">
        <v>0</v>
      </c>
      <c r="AH126" s="7">
        <v>0</v>
      </c>
      <c r="AI126" s="7">
        <v>0</v>
      </c>
      <c r="AJ126" s="7">
        <v>0</v>
      </c>
      <c r="AK126" s="7">
        <v>0</v>
      </c>
      <c r="AL126" s="7">
        <v>0</v>
      </c>
      <c r="AM126" s="7">
        <v>0</v>
      </c>
      <c r="AN126" s="7">
        <v>0</v>
      </c>
      <c r="AO126" s="7">
        <v>0</v>
      </c>
      <c r="AP126" s="7">
        <v>0</v>
      </c>
      <c r="AQ126" s="7">
        <v>0</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0</v>
      </c>
      <c r="BI126" s="7">
        <v>0</v>
      </c>
      <c r="BJ126" s="7">
        <v>0</v>
      </c>
      <c r="BK126" s="7">
        <v>0</v>
      </c>
      <c r="BL126" s="7">
        <v>0</v>
      </c>
      <c r="BM126" s="7">
        <v>0</v>
      </c>
      <c r="BN126" s="7">
        <v>0</v>
      </c>
      <c r="BO126" s="7">
        <v>0</v>
      </c>
      <c r="BP126" s="7">
        <v>0</v>
      </c>
      <c r="BQ126" s="7">
        <v>0</v>
      </c>
      <c r="BR126" s="7">
        <v>0</v>
      </c>
      <c r="BS126" s="7">
        <v>0</v>
      </c>
      <c r="BT126" s="7">
        <v>0</v>
      </c>
      <c r="BU126" s="7">
        <v>0</v>
      </c>
      <c r="BV126" s="7">
        <v>0</v>
      </c>
      <c r="BW126" s="7">
        <v>0</v>
      </c>
      <c r="BX126" s="7">
        <v>0</v>
      </c>
      <c r="BY126" s="7">
        <v>0</v>
      </c>
      <c r="BZ126" s="7">
        <v>0</v>
      </c>
      <c r="CA126" s="7">
        <v>0</v>
      </c>
      <c r="CB126" s="7">
        <v>0</v>
      </c>
      <c r="CC126" s="7">
        <v>0</v>
      </c>
      <c r="CD126" s="7">
        <v>0</v>
      </c>
      <c r="CE126" s="7">
        <v>0</v>
      </c>
      <c r="CF126" s="22">
        <v>0</v>
      </c>
      <c r="CG126" s="22">
        <v>0</v>
      </c>
      <c r="CH126" s="22">
        <v>0</v>
      </c>
      <c r="CI126" s="22">
        <v>0</v>
      </c>
      <c r="CJ126" s="22">
        <v>0</v>
      </c>
      <c r="CK126" s="22">
        <v>0</v>
      </c>
      <c r="CL126" s="22">
        <v>0</v>
      </c>
      <c r="CM126" s="22">
        <v>0</v>
      </c>
      <c r="CN126" s="22">
        <v>0</v>
      </c>
      <c r="CO126" s="22">
        <v>0</v>
      </c>
      <c r="CP126" s="22">
        <v>0</v>
      </c>
      <c r="CQ126" s="22">
        <v>0</v>
      </c>
      <c r="CR126" s="22">
        <v>0</v>
      </c>
      <c r="CS126" s="22">
        <v>0</v>
      </c>
      <c r="CT126" s="22">
        <v>0</v>
      </c>
      <c r="CU126" s="22">
        <v>0</v>
      </c>
      <c r="CV126" s="22">
        <v>0</v>
      </c>
      <c r="CW126" s="22">
        <v>0</v>
      </c>
      <c r="CX126" s="22">
        <v>0</v>
      </c>
      <c r="CY126" s="22">
        <v>0</v>
      </c>
      <c r="CZ126" s="22">
        <v>0</v>
      </c>
      <c r="DA126" s="22">
        <v>0</v>
      </c>
      <c r="DB126" s="22">
        <v>0</v>
      </c>
      <c r="DC126" s="22">
        <v>0</v>
      </c>
      <c r="DD126" s="7">
        <v>0</v>
      </c>
      <c r="DE126" s="7">
        <v>0</v>
      </c>
      <c r="DF126" s="7">
        <v>0</v>
      </c>
      <c r="DG126" s="7">
        <v>0</v>
      </c>
      <c r="DH126" s="7">
        <v>0</v>
      </c>
      <c r="DI126" s="7">
        <v>0</v>
      </c>
      <c r="DJ126" s="7">
        <v>0</v>
      </c>
      <c r="DK126" s="7">
        <v>0</v>
      </c>
      <c r="DL126" s="7">
        <v>0</v>
      </c>
      <c r="DM126" s="7">
        <v>0</v>
      </c>
      <c r="DN126" s="7">
        <v>0</v>
      </c>
      <c r="DO126" s="7">
        <v>40239</v>
      </c>
      <c r="DP126" s="7">
        <v>43264</v>
      </c>
      <c r="DQ126" s="7">
        <v>59231</v>
      </c>
      <c r="DR126" s="7">
        <v>68655</v>
      </c>
      <c r="DS126" s="7">
        <v>69129</v>
      </c>
      <c r="DT126" s="7">
        <v>74409</v>
      </c>
      <c r="DU126" s="7">
        <v>75565</v>
      </c>
      <c r="DV126" s="7">
        <v>78935</v>
      </c>
      <c r="DW126" s="7">
        <v>78533</v>
      </c>
      <c r="DX126" s="7">
        <v>84458</v>
      </c>
      <c r="DY126" s="7">
        <v>88858</v>
      </c>
      <c r="DZ126" s="7">
        <v>93505</v>
      </c>
      <c r="EA126" s="7">
        <v>94009</v>
      </c>
      <c r="EB126" s="7">
        <v>90100</v>
      </c>
      <c r="EC126" s="7">
        <v>86400</v>
      </c>
      <c r="ED126" s="7">
        <v>87473</v>
      </c>
      <c r="EE126" s="7">
        <v>87127</v>
      </c>
      <c r="EF126" s="7">
        <v>89804</v>
      </c>
      <c r="EG126" s="7">
        <v>112246</v>
      </c>
      <c r="EH126" s="7">
        <v>111751</v>
      </c>
      <c r="EI126" s="7">
        <v>109316</v>
      </c>
      <c r="EJ126" s="25">
        <f t="shared" si="7"/>
        <v>-5113</v>
      </c>
      <c r="EK126" s="7">
        <v>104203</v>
      </c>
      <c r="EL126" s="25">
        <f t="shared" si="8"/>
        <v>1341</v>
      </c>
      <c r="EM126" s="7">
        <v>105544</v>
      </c>
      <c r="EN126" s="25">
        <f t="shared" si="9"/>
        <v>5248</v>
      </c>
      <c r="EO126" s="7">
        <v>110792</v>
      </c>
      <c r="EP126" s="25">
        <f t="shared" si="10"/>
        <v>2834</v>
      </c>
      <c r="EQ126" s="7">
        <v>113626</v>
      </c>
      <c r="ER126" s="25">
        <f t="shared" si="11"/>
        <v>5145</v>
      </c>
      <c r="ES126" s="7">
        <v>118771</v>
      </c>
      <c r="ET126" s="25">
        <f t="shared" si="12"/>
        <v>12197</v>
      </c>
      <c r="EU126" s="7">
        <v>130968</v>
      </c>
      <c r="EV126" s="25">
        <f t="shared" si="13"/>
        <v>-7946</v>
      </c>
      <c r="EW126" s="7">
        <v>123022</v>
      </c>
      <c r="EX126" s="7">
        <v>119694</v>
      </c>
      <c r="EY126" s="7">
        <v>107322</v>
      </c>
      <c r="EZ126" s="7">
        <v>101657</v>
      </c>
      <c r="FA126" s="7">
        <v>99386</v>
      </c>
      <c r="FB126" s="7">
        <v>95852</v>
      </c>
      <c r="FC126" s="7">
        <v>96041</v>
      </c>
      <c r="FD126" s="7">
        <v>100323</v>
      </c>
      <c r="FE126" s="7">
        <v>98937</v>
      </c>
      <c r="FF126" s="7">
        <v>101170</v>
      </c>
      <c r="FG126" s="7">
        <v>98574</v>
      </c>
      <c r="FH126" s="7">
        <v>95752</v>
      </c>
      <c r="FI126" s="7">
        <v>96269</v>
      </c>
      <c r="FJ126" s="7">
        <v>93573</v>
      </c>
    </row>
    <row r="127" spans="1:166" x14ac:dyDescent="0.4">
      <c r="A127" s="35" t="s">
        <v>13</v>
      </c>
      <c r="B127" s="7">
        <v>0</v>
      </c>
      <c r="C127" s="7">
        <v>0</v>
      </c>
      <c r="D127" s="7">
        <v>0</v>
      </c>
      <c r="E127" s="7">
        <v>0</v>
      </c>
      <c r="F127" s="7">
        <v>0</v>
      </c>
      <c r="G127" s="7">
        <v>0</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c r="AF127" s="7">
        <v>0</v>
      </c>
      <c r="AG127" s="7">
        <v>0</v>
      </c>
      <c r="AH127" s="7">
        <v>0</v>
      </c>
      <c r="AI127" s="7">
        <v>0</v>
      </c>
      <c r="AJ127" s="7">
        <v>0</v>
      </c>
      <c r="AK127" s="7">
        <v>0</v>
      </c>
      <c r="AL127" s="7">
        <v>0</v>
      </c>
      <c r="AM127" s="7">
        <v>0</v>
      </c>
      <c r="AN127" s="7">
        <v>0</v>
      </c>
      <c r="AO127" s="7">
        <v>0</v>
      </c>
      <c r="AP127" s="7">
        <v>0</v>
      </c>
      <c r="AQ127" s="7">
        <v>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0</v>
      </c>
      <c r="BI127" s="7">
        <v>0</v>
      </c>
      <c r="BJ127" s="7">
        <v>0</v>
      </c>
      <c r="BK127" s="7">
        <v>0</v>
      </c>
      <c r="BL127" s="7">
        <v>0</v>
      </c>
      <c r="BM127" s="7">
        <v>0</v>
      </c>
      <c r="BN127" s="7">
        <v>0</v>
      </c>
      <c r="BO127" s="7">
        <v>0</v>
      </c>
      <c r="BP127" s="7">
        <v>0</v>
      </c>
      <c r="BQ127" s="7">
        <v>0</v>
      </c>
      <c r="BR127" s="7">
        <v>0</v>
      </c>
      <c r="BS127" s="7">
        <v>0</v>
      </c>
      <c r="BT127" s="7">
        <v>0</v>
      </c>
      <c r="BU127" s="7">
        <v>0</v>
      </c>
      <c r="BV127" s="7">
        <v>0</v>
      </c>
      <c r="BW127" s="7">
        <v>0</v>
      </c>
      <c r="BX127" s="7">
        <v>0</v>
      </c>
      <c r="BY127" s="7">
        <v>0</v>
      </c>
      <c r="BZ127" s="7">
        <v>0</v>
      </c>
      <c r="CA127" s="7">
        <v>0</v>
      </c>
      <c r="CB127" s="7">
        <v>0</v>
      </c>
      <c r="CC127" s="7">
        <v>0</v>
      </c>
      <c r="CD127" s="7">
        <v>0</v>
      </c>
      <c r="CE127" s="7">
        <v>0</v>
      </c>
      <c r="CF127" s="22">
        <v>0</v>
      </c>
      <c r="CG127" s="22">
        <v>0</v>
      </c>
      <c r="CH127" s="22">
        <v>0</v>
      </c>
      <c r="CI127" s="22">
        <v>0</v>
      </c>
      <c r="CJ127" s="22">
        <v>0</v>
      </c>
      <c r="CK127" s="22">
        <v>0</v>
      </c>
      <c r="CL127" s="22">
        <v>0</v>
      </c>
      <c r="CM127" s="22">
        <v>0</v>
      </c>
      <c r="CN127" s="22">
        <v>0</v>
      </c>
      <c r="CO127" s="22">
        <v>0</v>
      </c>
      <c r="CP127" s="22">
        <v>0</v>
      </c>
      <c r="CQ127" s="22">
        <v>0</v>
      </c>
      <c r="CR127" s="22">
        <v>0</v>
      </c>
      <c r="CS127" s="22">
        <v>0</v>
      </c>
      <c r="CT127" s="22">
        <v>0</v>
      </c>
      <c r="CU127" s="22">
        <v>0</v>
      </c>
      <c r="CV127" s="22">
        <v>0</v>
      </c>
      <c r="CW127" s="22">
        <v>0</v>
      </c>
      <c r="CX127" s="22">
        <v>0</v>
      </c>
      <c r="CY127" s="22">
        <v>0</v>
      </c>
      <c r="CZ127" s="22">
        <v>0</v>
      </c>
      <c r="DA127" s="22">
        <v>0</v>
      </c>
      <c r="DB127" s="22">
        <v>0</v>
      </c>
      <c r="DC127" s="22">
        <v>0</v>
      </c>
      <c r="DD127" s="7">
        <v>0</v>
      </c>
      <c r="DE127" s="7">
        <v>0</v>
      </c>
      <c r="DF127" s="7">
        <v>0</v>
      </c>
      <c r="DG127" s="7">
        <v>0</v>
      </c>
      <c r="DH127" s="7">
        <v>0</v>
      </c>
      <c r="DI127" s="7">
        <v>0</v>
      </c>
      <c r="DJ127" s="7">
        <v>0</v>
      </c>
      <c r="DK127" s="7">
        <v>0</v>
      </c>
      <c r="DL127" s="7">
        <v>0</v>
      </c>
      <c r="DM127" s="7">
        <v>0</v>
      </c>
      <c r="DN127" s="7">
        <v>0</v>
      </c>
      <c r="DO127" s="7">
        <v>0</v>
      </c>
      <c r="DP127" s="7">
        <v>0</v>
      </c>
      <c r="DQ127" s="7">
        <v>0</v>
      </c>
      <c r="DR127" s="7">
        <v>0</v>
      </c>
      <c r="DS127" s="7">
        <v>0</v>
      </c>
      <c r="DT127" s="7">
        <v>0</v>
      </c>
      <c r="DU127" s="7">
        <v>0</v>
      </c>
      <c r="DV127" s="7">
        <v>0</v>
      </c>
      <c r="DW127" s="7">
        <v>0</v>
      </c>
      <c r="DX127" s="7">
        <v>0</v>
      </c>
      <c r="DY127" s="7">
        <v>0</v>
      </c>
      <c r="DZ127" s="7">
        <v>0</v>
      </c>
      <c r="EA127" s="7">
        <v>0</v>
      </c>
      <c r="EB127" s="7">
        <v>0</v>
      </c>
      <c r="EC127" s="7">
        <v>0</v>
      </c>
      <c r="ED127" s="7">
        <v>0</v>
      </c>
      <c r="EE127" s="7">
        <v>0</v>
      </c>
      <c r="EF127" s="7">
        <v>0</v>
      </c>
      <c r="EG127" s="7">
        <v>0</v>
      </c>
      <c r="EH127" s="7">
        <v>0</v>
      </c>
      <c r="EI127" s="7">
        <v>0</v>
      </c>
      <c r="EJ127" s="25">
        <f t="shared" si="7"/>
        <v>0</v>
      </c>
      <c r="EK127" s="7">
        <v>0</v>
      </c>
      <c r="EL127" s="25">
        <f t="shared" si="8"/>
        <v>0</v>
      </c>
      <c r="EM127" s="7">
        <v>0</v>
      </c>
      <c r="EN127" s="25">
        <f t="shared" si="9"/>
        <v>0</v>
      </c>
      <c r="EO127" s="7">
        <v>0</v>
      </c>
      <c r="EP127" s="25">
        <f t="shared" si="10"/>
        <v>0</v>
      </c>
      <c r="EQ127" s="7">
        <v>0</v>
      </c>
      <c r="ER127" s="25">
        <f t="shared" si="11"/>
        <v>0</v>
      </c>
      <c r="ES127" s="7">
        <v>0</v>
      </c>
      <c r="ET127" s="25">
        <f t="shared" si="12"/>
        <v>0</v>
      </c>
      <c r="EU127" s="7">
        <v>0</v>
      </c>
      <c r="EV127" s="25">
        <f t="shared" si="13"/>
        <v>0</v>
      </c>
      <c r="EW127" s="7">
        <v>0</v>
      </c>
      <c r="EX127" s="7">
        <v>0</v>
      </c>
      <c r="EY127" s="7">
        <v>0</v>
      </c>
      <c r="EZ127" s="7">
        <v>0</v>
      </c>
      <c r="FA127" s="7">
        <v>0</v>
      </c>
      <c r="FB127" s="7">
        <v>0</v>
      </c>
      <c r="FC127" s="7">
        <v>0</v>
      </c>
      <c r="FD127" s="7">
        <v>0</v>
      </c>
      <c r="FE127" s="7">
        <v>0</v>
      </c>
      <c r="FF127" s="7">
        <v>0</v>
      </c>
      <c r="FG127" s="7">
        <v>0</v>
      </c>
      <c r="FH127" s="7">
        <v>0</v>
      </c>
      <c r="FI127" s="7">
        <v>0</v>
      </c>
      <c r="FJ127" s="7">
        <v>0</v>
      </c>
    </row>
    <row r="128" spans="1:166" x14ac:dyDescent="0.4">
      <c r="A128" s="35" t="s">
        <v>14</v>
      </c>
      <c r="B128" s="7">
        <v>0</v>
      </c>
      <c r="C128" s="7">
        <v>0</v>
      </c>
      <c r="D128" s="7">
        <v>0</v>
      </c>
      <c r="E128" s="7">
        <v>0</v>
      </c>
      <c r="F128" s="7">
        <v>0</v>
      </c>
      <c r="G128" s="7">
        <v>0</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c r="AF128" s="7">
        <v>0</v>
      </c>
      <c r="AG128" s="7">
        <v>0</v>
      </c>
      <c r="AH128" s="7">
        <v>0</v>
      </c>
      <c r="AI128" s="7">
        <v>0</v>
      </c>
      <c r="AJ128" s="7">
        <v>0</v>
      </c>
      <c r="AK128" s="7">
        <v>0</v>
      </c>
      <c r="AL128" s="7">
        <v>0</v>
      </c>
      <c r="AM128" s="7">
        <v>0</v>
      </c>
      <c r="AN128" s="7">
        <v>0</v>
      </c>
      <c r="AO128" s="7">
        <v>0</v>
      </c>
      <c r="AP128" s="7">
        <v>0</v>
      </c>
      <c r="AQ128" s="7">
        <v>0</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0</v>
      </c>
      <c r="BI128" s="7">
        <v>0</v>
      </c>
      <c r="BJ128" s="7">
        <v>0</v>
      </c>
      <c r="BK128" s="22">
        <v>0</v>
      </c>
      <c r="BL128" s="22">
        <v>0</v>
      </c>
      <c r="BM128" s="22">
        <v>0</v>
      </c>
      <c r="BN128" s="22">
        <v>0</v>
      </c>
      <c r="BO128" s="22">
        <v>0</v>
      </c>
      <c r="BP128" s="22">
        <v>0</v>
      </c>
      <c r="BQ128" s="22">
        <v>0</v>
      </c>
      <c r="BR128" s="22">
        <v>0</v>
      </c>
      <c r="BS128" s="22">
        <v>0</v>
      </c>
      <c r="BT128" s="22">
        <v>0</v>
      </c>
      <c r="BU128" s="22">
        <v>0</v>
      </c>
      <c r="BV128" s="22">
        <v>0</v>
      </c>
      <c r="BW128" s="22">
        <v>0</v>
      </c>
      <c r="BX128" s="22">
        <v>0</v>
      </c>
      <c r="BY128" s="22">
        <v>0</v>
      </c>
      <c r="BZ128" s="22">
        <v>0</v>
      </c>
      <c r="CA128" s="22">
        <v>0</v>
      </c>
      <c r="CB128" s="22">
        <v>0</v>
      </c>
      <c r="CC128" s="22">
        <v>0</v>
      </c>
      <c r="CD128" s="22">
        <v>0</v>
      </c>
      <c r="CE128" s="22">
        <v>0</v>
      </c>
      <c r="CF128" s="22">
        <v>0</v>
      </c>
      <c r="CG128" s="22">
        <v>0</v>
      </c>
      <c r="CH128" s="22">
        <v>0</v>
      </c>
      <c r="CI128" s="22">
        <v>0</v>
      </c>
      <c r="CJ128" s="22">
        <v>0</v>
      </c>
      <c r="CK128" s="22">
        <v>0</v>
      </c>
      <c r="CL128" s="22">
        <v>0</v>
      </c>
      <c r="CM128" s="22">
        <v>0</v>
      </c>
      <c r="CN128" s="22">
        <v>0</v>
      </c>
      <c r="CO128" s="22">
        <v>0</v>
      </c>
      <c r="CP128" s="22">
        <v>0</v>
      </c>
      <c r="CQ128" s="22">
        <v>0</v>
      </c>
      <c r="CR128" s="22">
        <v>0</v>
      </c>
      <c r="CS128" s="22">
        <v>0</v>
      </c>
      <c r="CT128" s="22">
        <v>0</v>
      </c>
      <c r="CU128" s="22">
        <v>0</v>
      </c>
      <c r="CV128" s="22">
        <v>0</v>
      </c>
      <c r="CW128" s="22">
        <v>0</v>
      </c>
      <c r="CX128" s="22">
        <v>0</v>
      </c>
      <c r="CY128" s="22">
        <v>0</v>
      </c>
      <c r="CZ128" s="22">
        <v>0</v>
      </c>
      <c r="DA128" s="22">
        <v>0</v>
      </c>
      <c r="DB128" s="22">
        <v>0</v>
      </c>
      <c r="DC128" s="22">
        <v>0</v>
      </c>
      <c r="DD128" s="22">
        <v>0</v>
      </c>
      <c r="DE128" s="22">
        <v>0</v>
      </c>
      <c r="DF128" s="22">
        <v>0</v>
      </c>
      <c r="DG128" s="22">
        <v>0</v>
      </c>
      <c r="DH128" s="22">
        <v>0</v>
      </c>
      <c r="DI128" s="22">
        <v>0</v>
      </c>
      <c r="DJ128" s="7">
        <v>0</v>
      </c>
      <c r="DK128" s="7">
        <v>0</v>
      </c>
      <c r="DL128" s="7">
        <v>0</v>
      </c>
      <c r="DM128" s="7">
        <v>0</v>
      </c>
      <c r="DN128" s="7">
        <v>0</v>
      </c>
      <c r="DO128" s="7">
        <v>40239</v>
      </c>
      <c r="DP128" s="7">
        <v>43264</v>
      </c>
      <c r="DQ128" s="7">
        <v>59231</v>
      </c>
      <c r="DR128" s="7">
        <v>68655</v>
      </c>
      <c r="DS128" s="7">
        <v>69129</v>
      </c>
      <c r="DT128" s="7">
        <v>74409</v>
      </c>
      <c r="DU128" s="7">
        <v>75565</v>
      </c>
      <c r="DV128" s="7">
        <v>78935</v>
      </c>
      <c r="DW128" s="7">
        <v>78533</v>
      </c>
      <c r="DX128" s="7">
        <v>84458</v>
      </c>
      <c r="DY128" s="7">
        <v>88858</v>
      </c>
      <c r="DZ128" s="7">
        <v>93505</v>
      </c>
      <c r="EA128" s="7">
        <v>94009</v>
      </c>
      <c r="EB128" s="7">
        <v>90100</v>
      </c>
      <c r="EC128" s="7">
        <v>86400</v>
      </c>
      <c r="ED128" s="7">
        <v>87473</v>
      </c>
      <c r="EE128" s="7">
        <v>87127</v>
      </c>
      <c r="EF128" s="7">
        <v>89804</v>
      </c>
      <c r="EG128" s="7">
        <v>112246</v>
      </c>
      <c r="EH128" s="7">
        <v>111751</v>
      </c>
      <c r="EI128" s="7">
        <v>109316</v>
      </c>
      <c r="EJ128" s="25">
        <f t="shared" si="7"/>
        <v>-5113</v>
      </c>
      <c r="EK128" s="7">
        <v>104203</v>
      </c>
      <c r="EL128" s="25">
        <f t="shared" si="8"/>
        <v>1341</v>
      </c>
      <c r="EM128" s="7">
        <v>105544</v>
      </c>
      <c r="EN128" s="25">
        <f t="shared" si="9"/>
        <v>5248</v>
      </c>
      <c r="EO128" s="7">
        <v>110792</v>
      </c>
      <c r="EP128" s="25">
        <f t="shared" si="10"/>
        <v>2834</v>
      </c>
      <c r="EQ128" s="7">
        <v>113626</v>
      </c>
      <c r="ER128" s="25">
        <f t="shared" si="11"/>
        <v>5145</v>
      </c>
      <c r="ES128" s="7">
        <v>118771</v>
      </c>
      <c r="ET128" s="25">
        <f t="shared" si="12"/>
        <v>12197</v>
      </c>
      <c r="EU128" s="7">
        <v>130968</v>
      </c>
      <c r="EV128" s="25">
        <f t="shared" si="13"/>
        <v>-7946</v>
      </c>
      <c r="EW128" s="7">
        <v>123022</v>
      </c>
      <c r="EX128" s="7">
        <v>119694</v>
      </c>
      <c r="EY128" s="7">
        <v>107322</v>
      </c>
      <c r="EZ128" s="7">
        <v>101657</v>
      </c>
      <c r="FA128" s="7">
        <v>99386</v>
      </c>
      <c r="FB128" s="7">
        <v>95852</v>
      </c>
      <c r="FC128" s="7">
        <v>96041</v>
      </c>
      <c r="FD128" s="7">
        <v>100323</v>
      </c>
      <c r="FE128" s="7">
        <v>98937</v>
      </c>
      <c r="FF128" s="7">
        <v>101170</v>
      </c>
      <c r="FG128" s="7">
        <v>98574</v>
      </c>
      <c r="FH128" s="7">
        <v>95752</v>
      </c>
      <c r="FI128" s="7">
        <v>96269</v>
      </c>
      <c r="FJ128" s="7">
        <v>93573</v>
      </c>
    </row>
    <row r="129" spans="1:166" x14ac:dyDescent="0.4">
      <c r="A129" s="35" t="s">
        <v>27</v>
      </c>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22"/>
      <c r="BL129" s="22"/>
      <c r="BM129" s="22"/>
      <c r="BN129" s="22"/>
      <c r="BO129" s="22"/>
      <c r="BP129" s="22"/>
      <c r="BQ129" s="22"/>
      <c r="BR129" s="22"/>
      <c r="BS129" s="22"/>
      <c r="BT129" s="22"/>
      <c r="BU129" s="22"/>
      <c r="BV129" s="22">
        <v>0</v>
      </c>
      <c r="BW129" s="22">
        <v>0</v>
      </c>
      <c r="BX129" s="22">
        <v>0</v>
      </c>
      <c r="BY129" s="22">
        <v>0</v>
      </c>
      <c r="BZ129" s="22">
        <v>0</v>
      </c>
      <c r="CA129" s="22">
        <v>0</v>
      </c>
      <c r="CB129" s="22">
        <v>0</v>
      </c>
      <c r="CC129" s="22">
        <v>0</v>
      </c>
      <c r="CD129" s="22">
        <v>0</v>
      </c>
      <c r="CE129" s="22">
        <v>0</v>
      </c>
      <c r="CF129" s="22">
        <v>0</v>
      </c>
      <c r="CG129" s="22">
        <v>0</v>
      </c>
      <c r="CH129" s="22">
        <v>0</v>
      </c>
      <c r="CI129" s="22">
        <v>0</v>
      </c>
      <c r="CJ129" s="22">
        <v>0</v>
      </c>
      <c r="CK129" s="22">
        <v>0</v>
      </c>
      <c r="CL129" s="22">
        <v>0</v>
      </c>
      <c r="CM129" s="22">
        <v>0</v>
      </c>
      <c r="CN129" s="22">
        <v>0</v>
      </c>
      <c r="CO129" s="22">
        <v>0</v>
      </c>
      <c r="CP129" s="22">
        <v>0</v>
      </c>
      <c r="CQ129" s="22">
        <v>0</v>
      </c>
      <c r="CR129" s="22">
        <v>0</v>
      </c>
      <c r="CS129" s="22">
        <v>0</v>
      </c>
      <c r="CT129" s="22">
        <v>0</v>
      </c>
      <c r="CU129" s="22">
        <v>0</v>
      </c>
      <c r="CV129" s="22">
        <v>0</v>
      </c>
      <c r="CW129" s="22">
        <v>0</v>
      </c>
      <c r="CX129" s="22">
        <v>0</v>
      </c>
      <c r="CY129" s="22">
        <v>0</v>
      </c>
      <c r="CZ129" s="22">
        <v>0</v>
      </c>
      <c r="DA129" s="22">
        <v>0</v>
      </c>
      <c r="DB129" s="22">
        <v>0</v>
      </c>
      <c r="DC129" s="22">
        <v>0</v>
      </c>
      <c r="DD129" s="22">
        <v>0</v>
      </c>
      <c r="DE129" s="22">
        <v>0</v>
      </c>
      <c r="DF129" s="22">
        <v>0</v>
      </c>
      <c r="DG129" s="22">
        <v>0</v>
      </c>
      <c r="DH129" s="22">
        <v>0</v>
      </c>
      <c r="DI129" s="22">
        <v>0</v>
      </c>
      <c r="DJ129" s="7">
        <v>0</v>
      </c>
      <c r="DK129" s="7">
        <v>0</v>
      </c>
      <c r="DL129" s="7">
        <v>0</v>
      </c>
      <c r="DM129" s="7">
        <v>0</v>
      </c>
      <c r="DN129" s="7">
        <v>0</v>
      </c>
      <c r="DO129" s="7">
        <v>0</v>
      </c>
      <c r="DP129" s="7">
        <v>0</v>
      </c>
      <c r="DQ129" s="7">
        <v>0</v>
      </c>
      <c r="DR129" s="7">
        <v>0</v>
      </c>
      <c r="DS129" s="7">
        <v>0</v>
      </c>
      <c r="DT129" s="7">
        <v>0</v>
      </c>
      <c r="DU129" s="7">
        <v>0</v>
      </c>
      <c r="DV129" s="7">
        <v>0</v>
      </c>
      <c r="DW129" s="7">
        <v>0</v>
      </c>
      <c r="DX129" s="7">
        <v>0</v>
      </c>
      <c r="DY129" s="7">
        <v>0</v>
      </c>
      <c r="DZ129" s="7">
        <v>0</v>
      </c>
      <c r="EA129" s="7">
        <v>0</v>
      </c>
      <c r="EB129" s="7">
        <v>0</v>
      </c>
      <c r="EC129" s="7">
        <v>0</v>
      </c>
      <c r="ED129" s="7">
        <v>0</v>
      </c>
      <c r="EE129" s="7">
        <v>0</v>
      </c>
      <c r="EF129" s="7">
        <v>0</v>
      </c>
      <c r="EG129" s="7">
        <v>0</v>
      </c>
      <c r="EH129" s="7">
        <v>0</v>
      </c>
      <c r="EI129" s="7">
        <v>0</v>
      </c>
      <c r="EJ129" s="25">
        <f t="shared" si="7"/>
        <v>0</v>
      </c>
      <c r="EK129" s="7">
        <v>0</v>
      </c>
      <c r="EL129" s="25">
        <f t="shared" si="8"/>
        <v>0</v>
      </c>
      <c r="EM129" s="7">
        <v>0</v>
      </c>
      <c r="EN129" s="25">
        <f t="shared" si="9"/>
        <v>0</v>
      </c>
      <c r="EO129" s="7">
        <v>0</v>
      </c>
      <c r="EP129" s="25">
        <f t="shared" si="10"/>
        <v>0</v>
      </c>
      <c r="EQ129" s="7">
        <v>0</v>
      </c>
      <c r="ER129" s="25">
        <f t="shared" si="11"/>
        <v>0</v>
      </c>
      <c r="ES129" s="7">
        <v>0</v>
      </c>
      <c r="ET129" s="25">
        <f t="shared" si="12"/>
        <v>0</v>
      </c>
      <c r="EU129" s="7">
        <v>0</v>
      </c>
      <c r="EV129" s="25">
        <f t="shared" si="13"/>
        <v>0</v>
      </c>
      <c r="EW129" s="7">
        <v>0</v>
      </c>
      <c r="EX129" s="7">
        <v>0</v>
      </c>
      <c r="EY129" s="7">
        <v>0</v>
      </c>
      <c r="EZ129" s="7">
        <v>0</v>
      </c>
      <c r="FA129" s="7">
        <v>0</v>
      </c>
      <c r="FB129" s="7">
        <v>0</v>
      </c>
      <c r="FC129" s="7">
        <v>0</v>
      </c>
      <c r="FD129" s="7">
        <v>0</v>
      </c>
      <c r="FE129" s="7">
        <v>0</v>
      </c>
      <c r="FF129" s="7">
        <v>0</v>
      </c>
      <c r="FG129" s="7">
        <v>0</v>
      </c>
      <c r="FH129" s="7">
        <v>0</v>
      </c>
      <c r="FI129" s="7">
        <v>0</v>
      </c>
      <c r="FJ129" s="7">
        <v>0</v>
      </c>
    </row>
    <row r="130" spans="1:166" x14ac:dyDescent="0.4">
      <c r="A130" s="35" t="s">
        <v>30</v>
      </c>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22"/>
      <c r="BL130" s="22"/>
      <c r="BM130" s="22"/>
      <c r="BN130" s="22"/>
      <c r="BO130" s="22"/>
      <c r="BP130" s="22"/>
      <c r="BQ130" s="22"/>
      <c r="BR130" s="22"/>
      <c r="BS130" s="22"/>
      <c r="BT130" s="22"/>
      <c r="BU130" s="22"/>
      <c r="BV130" s="22">
        <v>0</v>
      </c>
      <c r="BW130" s="22">
        <v>0</v>
      </c>
      <c r="BX130" s="22">
        <v>0</v>
      </c>
      <c r="BY130" s="22">
        <v>0</v>
      </c>
      <c r="BZ130" s="22">
        <v>0</v>
      </c>
      <c r="CA130" s="22">
        <v>0</v>
      </c>
      <c r="CB130" s="22">
        <v>0</v>
      </c>
      <c r="CC130" s="22">
        <v>0</v>
      </c>
      <c r="CD130" s="22">
        <v>0</v>
      </c>
      <c r="CE130" s="22">
        <v>0</v>
      </c>
      <c r="CF130" s="22">
        <v>0</v>
      </c>
      <c r="CG130" s="22">
        <v>0</v>
      </c>
      <c r="CH130" s="22">
        <v>0</v>
      </c>
      <c r="CI130" s="22">
        <v>0</v>
      </c>
      <c r="CJ130" s="22">
        <v>0</v>
      </c>
      <c r="CK130" s="22">
        <v>0</v>
      </c>
      <c r="CL130" s="22">
        <v>0</v>
      </c>
      <c r="CM130" s="22">
        <v>0</v>
      </c>
      <c r="CN130" s="22">
        <v>0</v>
      </c>
      <c r="CO130" s="22">
        <v>0</v>
      </c>
      <c r="CP130" s="22">
        <v>0</v>
      </c>
      <c r="CQ130" s="22">
        <v>0</v>
      </c>
      <c r="CR130" s="22">
        <v>0</v>
      </c>
      <c r="CS130" s="22">
        <v>0</v>
      </c>
      <c r="CT130" s="22">
        <v>0</v>
      </c>
      <c r="CU130" s="22">
        <v>0</v>
      </c>
      <c r="CV130" s="22">
        <v>0</v>
      </c>
      <c r="CW130" s="22">
        <v>0</v>
      </c>
      <c r="CX130" s="22">
        <v>0</v>
      </c>
      <c r="CY130" s="22">
        <v>0</v>
      </c>
      <c r="CZ130" s="22">
        <v>0</v>
      </c>
      <c r="DA130" s="22">
        <v>0</v>
      </c>
      <c r="DB130" s="22">
        <v>0</v>
      </c>
      <c r="DC130" s="22">
        <v>0</v>
      </c>
      <c r="DD130" s="22">
        <v>0</v>
      </c>
      <c r="DE130" s="22">
        <v>0</v>
      </c>
      <c r="DF130" s="22">
        <v>0</v>
      </c>
      <c r="DG130" s="22">
        <v>0</v>
      </c>
      <c r="DH130" s="22">
        <v>0</v>
      </c>
      <c r="DI130" s="22">
        <v>0</v>
      </c>
      <c r="DJ130" s="7">
        <v>0</v>
      </c>
      <c r="DK130" s="7">
        <v>0</v>
      </c>
      <c r="DL130" s="7">
        <v>0</v>
      </c>
      <c r="DM130" s="7">
        <v>0</v>
      </c>
      <c r="DN130" s="7">
        <v>0</v>
      </c>
      <c r="DO130" s="7">
        <v>40239</v>
      </c>
      <c r="DP130" s="7">
        <v>43264</v>
      </c>
      <c r="DQ130" s="7">
        <v>59231</v>
      </c>
      <c r="DR130" s="7">
        <v>68655</v>
      </c>
      <c r="DS130" s="7">
        <v>69129</v>
      </c>
      <c r="DT130" s="7">
        <v>74409</v>
      </c>
      <c r="DU130" s="7">
        <v>75565</v>
      </c>
      <c r="DV130" s="7">
        <v>78935</v>
      </c>
      <c r="DW130" s="7">
        <v>78533</v>
      </c>
      <c r="DX130" s="7">
        <v>84458</v>
      </c>
      <c r="DY130" s="7">
        <v>88858</v>
      </c>
      <c r="DZ130" s="7">
        <v>93505</v>
      </c>
      <c r="EA130" s="7">
        <v>94009</v>
      </c>
      <c r="EB130" s="7">
        <v>90100</v>
      </c>
      <c r="EC130" s="7">
        <v>86400</v>
      </c>
      <c r="ED130" s="7">
        <v>87473</v>
      </c>
      <c r="EE130" s="7">
        <v>87127</v>
      </c>
      <c r="EF130" s="7">
        <v>89804</v>
      </c>
      <c r="EG130" s="7">
        <v>112246</v>
      </c>
      <c r="EH130" s="7">
        <v>111751</v>
      </c>
      <c r="EI130" s="7">
        <v>109316</v>
      </c>
      <c r="EJ130" s="25">
        <f t="shared" si="7"/>
        <v>-5113</v>
      </c>
      <c r="EK130" s="7">
        <v>104203</v>
      </c>
      <c r="EL130" s="25">
        <f t="shared" si="8"/>
        <v>1341</v>
      </c>
      <c r="EM130" s="7">
        <v>105544</v>
      </c>
      <c r="EN130" s="25">
        <f t="shared" si="9"/>
        <v>5248</v>
      </c>
      <c r="EO130" s="7">
        <v>110792</v>
      </c>
      <c r="EP130" s="25">
        <f t="shared" si="10"/>
        <v>2834</v>
      </c>
      <c r="EQ130" s="7">
        <v>113626</v>
      </c>
      <c r="ER130" s="25">
        <f t="shared" si="11"/>
        <v>5145</v>
      </c>
      <c r="ES130" s="7">
        <v>118771</v>
      </c>
      <c r="ET130" s="25">
        <f t="shared" si="12"/>
        <v>12197</v>
      </c>
      <c r="EU130" s="7">
        <v>130968</v>
      </c>
      <c r="EV130" s="25">
        <f t="shared" si="13"/>
        <v>-7946</v>
      </c>
      <c r="EW130" s="7">
        <v>123022</v>
      </c>
      <c r="EX130" s="7">
        <v>119694</v>
      </c>
      <c r="EY130" s="7">
        <v>107322</v>
      </c>
      <c r="EZ130" s="7">
        <v>101657</v>
      </c>
      <c r="FA130" s="7">
        <v>99386</v>
      </c>
      <c r="FB130" s="7">
        <v>95852</v>
      </c>
      <c r="FC130" s="7">
        <v>96041</v>
      </c>
      <c r="FD130" s="7">
        <v>100323</v>
      </c>
      <c r="FE130" s="7">
        <v>98937</v>
      </c>
      <c r="FF130" s="7">
        <v>101170</v>
      </c>
      <c r="FG130" s="7">
        <v>98574</v>
      </c>
      <c r="FH130" s="7">
        <v>95752</v>
      </c>
      <c r="FI130" s="7">
        <v>96269</v>
      </c>
      <c r="FJ130" s="7">
        <v>93573</v>
      </c>
    </row>
    <row r="131" spans="1:166" x14ac:dyDescent="0.4">
      <c r="A131" s="35"/>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row>
    <row r="132" spans="1:166" x14ac:dyDescent="0.4">
      <c r="A132" s="51" t="s">
        <v>29</v>
      </c>
      <c r="B132" s="51"/>
      <c r="C132" s="51"/>
      <c r="D132" s="51"/>
      <c r="E132" s="51"/>
      <c r="F132" s="51"/>
      <c r="G132" s="51"/>
      <c r="H132" s="51"/>
      <c r="I132" s="51"/>
      <c r="J132" s="36"/>
      <c r="K132" s="36"/>
      <c r="L132" s="36"/>
      <c r="O132" s="45"/>
      <c r="P132" s="45"/>
    </row>
    <row r="133" spans="1:166" x14ac:dyDescent="0.4">
      <c r="A133" s="49"/>
      <c r="B133" s="49"/>
      <c r="C133" s="49"/>
      <c r="D133" s="49"/>
      <c r="E133" s="49"/>
      <c r="F133" s="49"/>
      <c r="G133" s="49"/>
      <c r="H133" s="49"/>
      <c r="I133" s="49"/>
      <c r="J133" s="36"/>
      <c r="K133" s="36"/>
      <c r="L133" s="36"/>
      <c r="O133" s="45"/>
      <c r="P133" s="45"/>
    </row>
    <row r="134" spans="1:166" x14ac:dyDescent="0.4">
      <c r="A134" s="8" t="s">
        <v>9</v>
      </c>
      <c r="B134" s="36"/>
      <c r="D134" s="36"/>
      <c r="E134" s="36"/>
      <c r="F134" s="36"/>
      <c r="H134" s="36"/>
      <c r="I134" s="36"/>
    </row>
    <row r="135" spans="1:166" x14ac:dyDescent="0.4">
      <c r="A135" s="8"/>
      <c r="B135" s="36"/>
      <c r="D135" s="36"/>
      <c r="E135" s="36"/>
      <c r="F135" s="36"/>
      <c r="H135" s="36"/>
      <c r="I135" s="36"/>
    </row>
    <row r="136" spans="1:166" x14ac:dyDescent="0.4">
      <c r="A136" s="8" t="s">
        <v>10</v>
      </c>
      <c r="B136" s="36"/>
      <c r="D136" s="36"/>
      <c r="E136" s="36"/>
      <c r="F136" s="36"/>
      <c r="H136" s="36"/>
      <c r="I136" s="36"/>
      <c r="J136" s="36"/>
      <c r="K136" s="36"/>
      <c r="L136" s="36"/>
      <c r="O136" s="45"/>
      <c r="P136" s="45"/>
    </row>
    <row r="137" spans="1:166" s="37" customFormat="1" ht="18.75" customHeight="1" x14ac:dyDescent="0.4">
      <c r="A137" s="51" t="s">
        <v>36</v>
      </c>
      <c r="B137" s="51"/>
      <c r="C137" s="51"/>
      <c r="D137" s="51"/>
      <c r="E137" s="51"/>
      <c r="F137" s="51"/>
      <c r="G137" s="51"/>
      <c r="H137" s="51"/>
      <c r="I137" s="51"/>
      <c r="J137" s="46"/>
      <c r="K137" s="46"/>
      <c r="L137" s="46"/>
    </row>
    <row r="138" spans="1:166" s="37" customFormat="1" ht="38.25" customHeight="1" x14ac:dyDescent="0.4">
      <c r="A138" s="53" t="s">
        <v>23</v>
      </c>
      <c r="B138" s="53"/>
      <c r="C138" s="53"/>
      <c r="D138" s="53"/>
      <c r="E138" s="53"/>
      <c r="F138" s="53"/>
      <c r="G138" s="53"/>
      <c r="H138" s="53"/>
      <c r="I138" s="53"/>
      <c r="J138" s="46"/>
      <c r="K138" s="46"/>
      <c r="L138" s="46"/>
    </row>
    <row r="139" spans="1:166" s="40" customFormat="1" ht="18" customHeight="1" x14ac:dyDescent="0.4">
      <c r="A139" s="51" t="s">
        <v>15</v>
      </c>
      <c r="B139" s="51"/>
      <c r="C139" s="51"/>
      <c r="D139" s="51"/>
      <c r="E139" s="51"/>
      <c r="F139" s="51"/>
      <c r="G139" s="51"/>
      <c r="H139" s="51"/>
      <c r="I139" s="51"/>
      <c r="J139" s="39"/>
      <c r="K139" s="39"/>
      <c r="L139" s="39"/>
      <c r="CU139" s="37"/>
      <c r="CV139" s="37"/>
      <c r="CW139" s="37"/>
      <c r="CX139" s="37"/>
      <c r="CY139" s="37"/>
      <c r="CZ139" s="37"/>
      <c r="DA139" s="37"/>
      <c r="DB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37"/>
      <c r="EQ139" s="37"/>
      <c r="ER139" s="37"/>
      <c r="ES139" s="37"/>
      <c r="ET139" s="37"/>
      <c r="EU139" s="37"/>
      <c r="EV139" s="37"/>
      <c r="EW139" s="37"/>
      <c r="EX139" s="37"/>
      <c r="EY139" s="37"/>
      <c r="EZ139" s="37"/>
      <c r="FA139" s="37"/>
      <c r="FB139" s="37"/>
      <c r="FC139" s="37"/>
      <c r="FD139" s="37"/>
      <c r="FE139" s="37"/>
      <c r="FF139" s="37"/>
      <c r="FG139" s="37"/>
      <c r="FH139" s="37"/>
      <c r="FI139" s="37"/>
      <c r="FJ139" s="37"/>
    </row>
    <row r="140" spans="1:166" x14ac:dyDescent="0.4">
      <c r="A140" s="52" t="s">
        <v>26</v>
      </c>
      <c r="B140" s="52"/>
      <c r="C140" s="52"/>
      <c r="D140" s="52"/>
      <c r="J140" s="36"/>
      <c r="K140" s="36"/>
      <c r="L140" s="36"/>
      <c r="CU140" s="40"/>
      <c r="CV140" s="40"/>
      <c r="CW140" s="40"/>
      <c r="CX140" s="40"/>
      <c r="CY140" s="40"/>
      <c r="CZ140" s="40"/>
      <c r="DA140" s="40"/>
      <c r="DB140" s="40"/>
      <c r="DJ140" s="40"/>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c r="EY140" s="40"/>
      <c r="EZ140" s="40"/>
      <c r="FA140" s="40"/>
      <c r="FB140" s="40"/>
      <c r="FC140" s="40"/>
      <c r="FD140" s="40"/>
      <c r="FE140" s="40"/>
      <c r="FF140" s="40"/>
      <c r="FG140" s="40"/>
      <c r="FH140" s="40"/>
      <c r="FI140" s="40"/>
      <c r="FJ140" s="40"/>
    </row>
    <row r="141" spans="1:166" x14ac:dyDescent="0.4">
      <c r="A141" s="51" t="s">
        <v>12</v>
      </c>
      <c r="B141" s="51"/>
      <c r="C141" s="51"/>
      <c r="D141" s="51"/>
      <c r="E141" s="51"/>
      <c r="F141" s="51"/>
      <c r="G141" s="51"/>
      <c r="H141" s="51"/>
      <c r="I141" s="51"/>
      <c r="J141" s="41"/>
      <c r="K141" s="41"/>
      <c r="L141" s="41"/>
      <c r="M141" s="41"/>
      <c r="N141" s="41"/>
    </row>
    <row r="142" spans="1:166" ht="36" x14ac:dyDescent="0.4">
      <c r="A142" s="48" t="s">
        <v>25</v>
      </c>
      <c r="B142" s="42"/>
      <c r="C142" s="42"/>
      <c r="D142" s="42"/>
      <c r="E142" s="42"/>
      <c r="F142" s="42"/>
      <c r="G142" s="42"/>
      <c r="H142" s="42"/>
      <c r="I142" s="42"/>
      <c r="J142" s="41"/>
      <c r="K142" s="41"/>
      <c r="L142" s="41"/>
      <c r="M142" s="41"/>
      <c r="N142" s="41"/>
    </row>
    <row r="143" spans="1:166" x14ac:dyDescent="0.4">
      <c r="A143" s="43"/>
      <c r="B143" s="41"/>
      <c r="C143" s="41"/>
      <c r="D143" s="41"/>
      <c r="E143" s="41"/>
      <c r="F143" s="41"/>
      <c r="G143" s="41"/>
      <c r="H143" s="41"/>
      <c r="I143" s="41"/>
      <c r="J143" s="41"/>
      <c r="K143" s="41"/>
      <c r="L143" s="41"/>
      <c r="M143" s="41"/>
      <c r="N143" s="41"/>
    </row>
    <row r="144" spans="1:166" x14ac:dyDescent="0.4">
      <c r="A144" s="43"/>
      <c r="B144" s="41"/>
      <c r="C144" s="41"/>
      <c r="D144" s="41"/>
      <c r="E144" s="41"/>
      <c r="F144" s="41"/>
      <c r="G144" s="41"/>
      <c r="H144" s="41"/>
      <c r="I144" s="41"/>
      <c r="J144" s="41"/>
      <c r="K144" s="41"/>
      <c r="L144" s="41"/>
      <c r="M144" s="41"/>
      <c r="N144" s="41"/>
    </row>
    <row r="146" spans="99:106" x14ac:dyDescent="0.4">
      <c r="CU146" s="25"/>
      <c r="CV146" s="25"/>
      <c r="CW146" s="25"/>
      <c r="CX146" s="25"/>
      <c r="CY146" s="25"/>
      <c r="CZ146" s="25"/>
      <c r="DA146" s="25"/>
      <c r="DB146" s="25"/>
    </row>
    <row r="147" spans="99:106" x14ac:dyDescent="0.4">
      <c r="CU147" s="25"/>
      <c r="CV147" s="25"/>
      <c r="CW147" s="25"/>
      <c r="CX147" s="25"/>
      <c r="CY147" s="25"/>
      <c r="CZ147" s="25"/>
      <c r="DA147" s="25"/>
      <c r="DB147" s="25"/>
    </row>
    <row r="148" spans="99:106" x14ac:dyDescent="0.4">
      <c r="CU148" s="25"/>
      <c r="CV148" s="25"/>
      <c r="CW148" s="25"/>
      <c r="CX148" s="25"/>
      <c r="CY148" s="25"/>
      <c r="CZ148" s="25"/>
      <c r="DA148" s="25"/>
      <c r="DB148" s="25"/>
    </row>
    <row r="149" spans="99:106" x14ac:dyDescent="0.4">
      <c r="CU149" s="13"/>
      <c r="CV149" s="13"/>
      <c r="CW149" s="13"/>
      <c r="CX149" s="13"/>
      <c r="CY149" s="13"/>
      <c r="CZ149" s="13"/>
      <c r="DA149" s="13"/>
      <c r="DB149" s="13"/>
    </row>
    <row r="150" spans="99:106" x14ac:dyDescent="0.4">
      <c r="CU150" s="13"/>
      <c r="CV150" s="13"/>
      <c r="CW150" s="13"/>
      <c r="CX150" s="13"/>
      <c r="CY150" s="13"/>
      <c r="CZ150" s="13"/>
      <c r="DA150" s="13"/>
      <c r="DB150" s="13"/>
    </row>
    <row r="151" spans="99:106" x14ac:dyDescent="0.4">
      <c r="CU151" s="13"/>
      <c r="CV151" s="13"/>
      <c r="CW151" s="13"/>
      <c r="CX151" s="13"/>
      <c r="CY151" s="13"/>
      <c r="CZ151" s="13"/>
      <c r="DA151" s="13"/>
      <c r="DB151" s="13"/>
    </row>
    <row r="152" spans="99:106" x14ac:dyDescent="0.4">
      <c r="CU152" s="13"/>
      <c r="CV152" s="13"/>
      <c r="CW152" s="13"/>
      <c r="CX152" s="13"/>
      <c r="CY152" s="13"/>
      <c r="CZ152" s="13"/>
      <c r="DA152" s="13"/>
      <c r="DB152" s="13"/>
    </row>
    <row r="153" spans="99:106" x14ac:dyDescent="0.4">
      <c r="CU153" s="13"/>
      <c r="CV153" s="13"/>
      <c r="CW153" s="13"/>
      <c r="CX153" s="13"/>
      <c r="CY153" s="13"/>
      <c r="CZ153" s="13"/>
      <c r="DA153" s="13"/>
      <c r="DB153" s="13"/>
    </row>
    <row r="154" spans="99:106" x14ac:dyDescent="0.4">
      <c r="CU154" s="13"/>
      <c r="CV154" s="13"/>
      <c r="CW154" s="13"/>
      <c r="CX154" s="13"/>
      <c r="CY154" s="13"/>
      <c r="CZ154" s="13"/>
      <c r="DA154" s="13"/>
      <c r="DB154" s="13"/>
    </row>
    <row r="155" spans="99:106" x14ac:dyDescent="0.4">
      <c r="CU155" s="13"/>
      <c r="CV155" s="13"/>
      <c r="CW155" s="13"/>
      <c r="CX155" s="13"/>
      <c r="CY155" s="13"/>
      <c r="CZ155" s="13"/>
      <c r="DA155" s="13"/>
      <c r="DB155" s="13"/>
    </row>
    <row r="156" spans="99:106" x14ac:dyDescent="0.4">
      <c r="CU156" s="13"/>
      <c r="CV156" s="13"/>
      <c r="CW156" s="13"/>
      <c r="CX156" s="13"/>
      <c r="CY156" s="13"/>
      <c r="CZ156" s="13"/>
      <c r="DA156" s="13"/>
      <c r="DB156" s="13"/>
    </row>
    <row r="157" spans="99:106" x14ac:dyDescent="0.4">
      <c r="CU157" s="13"/>
      <c r="CV157" s="13"/>
      <c r="CW157" s="13"/>
      <c r="CX157" s="13"/>
      <c r="CY157" s="13"/>
      <c r="CZ157" s="13"/>
      <c r="DA157" s="13"/>
      <c r="DB157" s="13"/>
    </row>
    <row r="158" spans="99:106" x14ac:dyDescent="0.4">
      <c r="CU158" s="13"/>
      <c r="CV158" s="13"/>
      <c r="CW158" s="13"/>
      <c r="CX158" s="13"/>
      <c r="CY158" s="13"/>
      <c r="CZ158" s="13"/>
      <c r="DA158" s="13"/>
      <c r="DB158" s="13"/>
    </row>
    <row r="159" spans="99:106" x14ac:dyDescent="0.4">
      <c r="CU159" s="13"/>
      <c r="CV159" s="13"/>
      <c r="CW159" s="13"/>
      <c r="CX159" s="13"/>
      <c r="CY159" s="13"/>
      <c r="CZ159" s="13"/>
      <c r="DA159" s="13"/>
      <c r="DB159" s="13"/>
    </row>
    <row r="160" spans="99:106" x14ac:dyDescent="0.4">
      <c r="CU160" s="13"/>
      <c r="CV160" s="13"/>
      <c r="CW160" s="13"/>
      <c r="CX160" s="13"/>
      <c r="CY160" s="13"/>
      <c r="CZ160" s="13"/>
      <c r="DA160" s="13"/>
      <c r="DB160" s="13"/>
    </row>
    <row r="161" spans="99:106" x14ac:dyDescent="0.4">
      <c r="CU161" s="13"/>
      <c r="CV161" s="13"/>
      <c r="CW161" s="13"/>
      <c r="CX161" s="13"/>
      <c r="CY161" s="13"/>
      <c r="CZ161" s="13"/>
      <c r="DA161" s="13"/>
      <c r="DB161" s="13"/>
    </row>
    <row r="162" spans="99:106" x14ac:dyDescent="0.4">
      <c r="CU162" s="13"/>
      <c r="CV162" s="13"/>
      <c r="CW162" s="13"/>
      <c r="CX162" s="13"/>
      <c r="CY162" s="13"/>
      <c r="CZ162" s="13"/>
      <c r="DA162" s="13"/>
      <c r="DB162" s="13"/>
    </row>
    <row r="163" spans="99:106" x14ac:dyDescent="0.4">
      <c r="CU163" s="13"/>
      <c r="CV163" s="13"/>
      <c r="CW163" s="13"/>
      <c r="CX163" s="13"/>
      <c r="CY163" s="13"/>
      <c r="CZ163" s="13"/>
      <c r="DA163" s="13"/>
      <c r="DB163" s="13"/>
    </row>
    <row r="164" spans="99:106" x14ac:dyDescent="0.4">
      <c r="CU164" s="13"/>
      <c r="CV164" s="13"/>
      <c r="CW164" s="13"/>
      <c r="CX164" s="13"/>
      <c r="CY164" s="13"/>
      <c r="CZ164" s="13"/>
      <c r="DA164" s="13"/>
      <c r="DB164" s="13"/>
    </row>
    <row r="165" spans="99:106" x14ac:dyDescent="0.4">
      <c r="CU165" s="13"/>
      <c r="CV165" s="13"/>
      <c r="CW165" s="13"/>
      <c r="CX165" s="13"/>
      <c r="CY165" s="13"/>
      <c r="CZ165" s="13"/>
      <c r="DA165" s="13"/>
      <c r="DB165" s="13"/>
    </row>
    <row r="166" spans="99:106" x14ac:dyDescent="0.4">
      <c r="CU166" s="13"/>
      <c r="CV166" s="13"/>
      <c r="CW166" s="13"/>
      <c r="CX166" s="13"/>
      <c r="CY166" s="13"/>
      <c r="CZ166" s="13"/>
      <c r="DA166" s="13"/>
      <c r="DB166" s="13"/>
    </row>
    <row r="167" spans="99:106" x14ac:dyDescent="0.4">
      <c r="CU167" s="13"/>
      <c r="CV167" s="13"/>
      <c r="CW167" s="13"/>
      <c r="CX167" s="13"/>
      <c r="CY167" s="13"/>
      <c r="CZ167" s="13"/>
      <c r="DA167" s="13"/>
      <c r="DB167" s="13"/>
    </row>
    <row r="168" spans="99:106" x14ac:dyDescent="0.4">
      <c r="CU168" s="13"/>
      <c r="CV168" s="13"/>
      <c r="CW168" s="13"/>
      <c r="CX168" s="13"/>
      <c r="CY168" s="13"/>
      <c r="CZ168" s="13"/>
      <c r="DA168" s="13"/>
      <c r="DB168" s="13"/>
    </row>
    <row r="169" spans="99:106" x14ac:dyDescent="0.4">
      <c r="CU169" s="13"/>
      <c r="CV169" s="13"/>
      <c r="CW169" s="13"/>
      <c r="CX169" s="13"/>
      <c r="CY169" s="13"/>
      <c r="CZ169" s="13"/>
      <c r="DA169" s="13"/>
      <c r="DB169" s="13"/>
    </row>
  </sheetData>
  <mergeCells count="6">
    <mergeCell ref="A132:I132"/>
    <mergeCell ref="A137:I137"/>
    <mergeCell ref="A138:I138"/>
    <mergeCell ref="A139:I139"/>
    <mergeCell ref="A141:I141"/>
    <mergeCell ref="A140:D140"/>
  </mergeCells>
  <pageMargins left="0.25" right="0.25" top="0.75" bottom="0.75" header="0.3" footer="0.3"/>
  <pageSetup paperSize="9" scale="5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45"/>
  <sheetViews>
    <sheetView zoomScale="70" zoomScaleNormal="70" zoomScaleSheetLayoutView="90" workbookViewId="0">
      <pane xSplit="1" ySplit="5" topLeftCell="AX6" activePane="bottomRight" state="frozen"/>
      <selection activeCell="A44" sqref="A44"/>
      <selection pane="topRight" activeCell="A44" sqref="A44"/>
      <selection pane="bottomLeft" activeCell="A44" sqref="A44"/>
      <selection pane="bottomRight" activeCell="BB5" sqref="BB5"/>
    </sheetView>
  </sheetViews>
  <sheetFormatPr defaultColWidth="9.1796875" defaultRowHeight="18" x14ac:dyDescent="0.4"/>
  <cols>
    <col min="1" max="1" width="90.7265625" style="1" customWidth="1"/>
    <col min="2" max="7" width="16.7265625" style="1" bestFit="1" customWidth="1"/>
    <col min="8" max="11" width="18.26953125" style="1" bestFit="1" customWidth="1"/>
    <col min="12" max="12" width="18.26953125" style="20" bestFit="1" customWidth="1"/>
    <col min="13" max="38" width="18.26953125" style="1" bestFit="1" customWidth="1"/>
    <col min="39" max="40" width="18.453125" style="1" customWidth="1"/>
    <col min="41" max="41" width="17.54296875" style="1" customWidth="1"/>
    <col min="42" max="49" width="18.453125" style="1" customWidth="1"/>
    <col min="50" max="54" width="17.54296875" style="1" customWidth="1"/>
    <col min="55" max="16384" width="9.1796875" style="1"/>
  </cols>
  <sheetData>
    <row r="1" spans="1:54" x14ac:dyDescent="0.4">
      <c r="D1" s="2"/>
    </row>
    <row r="2" spans="1:54" x14ac:dyDescent="0.4">
      <c r="A2" s="3" t="s">
        <v>21</v>
      </c>
    </row>
    <row r="3" spans="1:54" x14ac:dyDescent="0.4">
      <c r="A3" s="1" t="s">
        <v>0</v>
      </c>
    </row>
    <row r="4" spans="1:54" x14ac:dyDescent="0.4">
      <c r="A4" s="3" t="s">
        <v>1</v>
      </c>
    </row>
    <row r="5" spans="1:54" s="5" customFormat="1" ht="17.5" x14ac:dyDescent="0.35">
      <c r="B5" s="5">
        <v>41275</v>
      </c>
      <c r="C5" s="5">
        <v>41365</v>
      </c>
      <c r="D5" s="5">
        <v>41456</v>
      </c>
      <c r="E5" s="5">
        <v>41548</v>
      </c>
      <c r="F5" s="5">
        <v>41640</v>
      </c>
      <c r="G5" s="5">
        <v>41730</v>
      </c>
      <c r="H5" s="5">
        <v>41821</v>
      </c>
      <c r="I5" s="5">
        <v>41913</v>
      </c>
      <c r="J5" s="5">
        <v>42005</v>
      </c>
      <c r="K5" s="5">
        <v>42095</v>
      </c>
      <c r="L5" s="5">
        <v>42186</v>
      </c>
      <c r="M5" s="5">
        <v>42278</v>
      </c>
      <c r="N5" s="5">
        <v>42370</v>
      </c>
      <c r="O5" s="5">
        <v>42461</v>
      </c>
      <c r="P5" s="5">
        <v>42552</v>
      </c>
      <c r="Q5" s="5">
        <v>42644</v>
      </c>
      <c r="R5" s="5">
        <v>42736</v>
      </c>
      <c r="S5" s="5">
        <v>42826</v>
      </c>
      <c r="T5" s="5">
        <v>42917</v>
      </c>
      <c r="U5" s="5">
        <v>43009</v>
      </c>
      <c r="V5" s="5">
        <v>43101</v>
      </c>
      <c r="W5" s="5">
        <v>43191</v>
      </c>
      <c r="X5" s="5">
        <v>43282</v>
      </c>
      <c r="Y5" s="5">
        <v>43374</v>
      </c>
      <c r="Z5" s="5" t="s">
        <v>28</v>
      </c>
      <c r="AA5" s="5">
        <v>43556</v>
      </c>
      <c r="AB5" s="5">
        <v>43647</v>
      </c>
      <c r="AC5" s="5">
        <v>43739</v>
      </c>
      <c r="AD5" s="5">
        <v>43831</v>
      </c>
      <c r="AE5" s="5">
        <v>43922</v>
      </c>
      <c r="AF5" s="5">
        <v>44013</v>
      </c>
      <c r="AG5" s="5">
        <v>44105</v>
      </c>
      <c r="AH5" s="5">
        <v>44197</v>
      </c>
      <c r="AI5" s="5">
        <v>44287</v>
      </c>
      <c r="AJ5" s="5">
        <v>44378</v>
      </c>
      <c r="AK5" s="5">
        <v>44470</v>
      </c>
      <c r="AL5" s="5">
        <v>44562</v>
      </c>
      <c r="AM5" s="5">
        <v>44652</v>
      </c>
      <c r="AN5" s="5">
        <v>44743</v>
      </c>
      <c r="AO5" s="5">
        <v>44835</v>
      </c>
      <c r="AP5" s="5">
        <v>44927</v>
      </c>
      <c r="AQ5" s="5">
        <v>45017</v>
      </c>
      <c r="AR5" s="5">
        <v>45108</v>
      </c>
      <c r="AS5" s="5">
        <v>45200</v>
      </c>
      <c r="AT5" s="5">
        <v>45292</v>
      </c>
      <c r="AU5" s="5">
        <v>45383</v>
      </c>
      <c r="AV5" s="5">
        <v>45474</v>
      </c>
      <c r="AW5" s="5">
        <v>45566</v>
      </c>
      <c r="AX5" s="5">
        <v>45658</v>
      </c>
      <c r="AY5" s="5">
        <v>45748</v>
      </c>
      <c r="AZ5" s="5">
        <v>45839</v>
      </c>
      <c r="BA5" s="5">
        <v>45931</v>
      </c>
      <c r="BB5" s="5">
        <v>46023</v>
      </c>
    </row>
    <row r="6" spans="1:54" x14ac:dyDescent="0.4">
      <c r="A6" s="31" t="s">
        <v>18</v>
      </c>
      <c r="L6" s="1"/>
      <c r="AF6" s="27"/>
      <c r="AG6" s="26"/>
      <c r="AH6" s="27"/>
      <c r="AI6" s="27"/>
      <c r="AJ6" s="27"/>
    </row>
    <row r="7" spans="1:54" x14ac:dyDescent="0.4">
      <c r="A7" s="32" t="s">
        <v>2</v>
      </c>
      <c r="B7" s="27">
        <v>8521880</v>
      </c>
      <c r="C7" s="27">
        <v>8628221</v>
      </c>
      <c r="D7" s="27">
        <v>8926930</v>
      </c>
      <c r="E7" s="27">
        <v>9307570</v>
      </c>
      <c r="F7" s="27">
        <v>9786379</v>
      </c>
      <c r="G7" s="27">
        <v>9914430</v>
      </c>
      <c r="H7" s="27">
        <v>10014974</v>
      </c>
      <c r="I7" s="27">
        <v>10212973</v>
      </c>
      <c r="J7" s="27">
        <v>12008138</v>
      </c>
      <c r="K7" s="27">
        <v>12344278</v>
      </c>
      <c r="L7" s="27">
        <v>12770308</v>
      </c>
      <c r="M7" s="27">
        <v>12967567</v>
      </c>
      <c r="N7" s="27">
        <v>13507595</v>
      </c>
      <c r="O7" s="27">
        <v>13603150</v>
      </c>
      <c r="P7" s="27">
        <v>14244405</v>
      </c>
      <c r="Q7" s="27">
        <v>14476390</v>
      </c>
      <c r="R7" s="27">
        <v>15600770</v>
      </c>
      <c r="S7" s="27">
        <v>16176968</v>
      </c>
      <c r="T7" s="27">
        <v>16941675</v>
      </c>
      <c r="U7" s="27">
        <v>17792592</v>
      </c>
      <c r="V7" s="27">
        <v>19047201</v>
      </c>
      <c r="W7" s="27">
        <v>20192472</v>
      </c>
      <c r="X7" s="27">
        <v>20316126</v>
      </c>
      <c r="Y7" s="27">
        <v>20604926</v>
      </c>
      <c r="Z7" s="27">
        <v>20844682</v>
      </c>
      <c r="AA7" s="27">
        <v>21657727</v>
      </c>
      <c r="AB7" s="27">
        <v>22927470</v>
      </c>
      <c r="AC7" s="27">
        <v>22695686</v>
      </c>
      <c r="AD7" s="27">
        <v>24791857</v>
      </c>
      <c r="AE7" s="27">
        <v>25078550</v>
      </c>
      <c r="AF7" s="27">
        <v>25403109</v>
      </c>
      <c r="AG7" s="27">
        <v>27104048</v>
      </c>
      <c r="AH7" s="27">
        <v>31184131</v>
      </c>
      <c r="AI7" s="27">
        <v>31593882</v>
      </c>
      <c r="AJ7" s="27">
        <v>32367876</v>
      </c>
      <c r="AK7" s="27">
        <v>33367826</v>
      </c>
      <c r="AL7" s="27">
        <v>33217509</v>
      </c>
      <c r="AM7" s="25">
        <v>32373339</v>
      </c>
      <c r="AN7" s="25">
        <v>32308832</v>
      </c>
      <c r="AO7" s="25">
        <v>32722112</v>
      </c>
      <c r="AP7" s="25">
        <v>37293122</v>
      </c>
      <c r="AQ7" s="25">
        <v>38703867</v>
      </c>
      <c r="AR7" s="25">
        <v>40524930</v>
      </c>
      <c r="AS7" s="25">
        <v>42051898</v>
      </c>
      <c r="AT7" s="25">
        <v>44145000</v>
      </c>
      <c r="AU7" s="25">
        <v>45640044</v>
      </c>
      <c r="AV7" s="25">
        <v>46022912</v>
      </c>
      <c r="AW7" s="25">
        <v>47961332</v>
      </c>
      <c r="AX7" s="25">
        <v>55002613</v>
      </c>
      <c r="AY7" s="25">
        <v>56392549</v>
      </c>
      <c r="AZ7" s="25">
        <v>59214168</v>
      </c>
      <c r="BA7" s="25">
        <v>62633584</v>
      </c>
      <c r="BB7" s="25">
        <v>66932876</v>
      </c>
    </row>
    <row r="8" spans="1:54" x14ac:dyDescent="0.4">
      <c r="A8" s="33" t="s">
        <v>13</v>
      </c>
      <c r="B8" s="27">
        <v>13090</v>
      </c>
      <c r="C8" s="27">
        <v>15075</v>
      </c>
      <c r="D8" s="27">
        <v>15034</v>
      </c>
      <c r="E8" s="27">
        <v>15038</v>
      </c>
      <c r="F8" s="27">
        <v>2000</v>
      </c>
      <c r="G8" s="27">
        <v>873</v>
      </c>
      <c r="H8" s="27">
        <v>15949</v>
      </c>
      <c r="I8" s="27">
        <v>15855</v>
      </c>
      <c r="J8" s="27">
        <v>0</v>
      </c>
      <c r="K8" s="27">
        <v>0</v>
      </c>
      <c r="L8" s="27">
        <v>0</v>
      </c>
      <c r="M8" s="27">
        <v>0</v>
      </c>
      <c r="N8" s="27">
        <v>0</v>
      </c>
      <c r="O8" s="27">
        <v>3000</v>
      </c>
      <c r="P8" s="27">
        <v>3010</v>
      </c>
      <c r="Q8" s="27">
        <v>3416</v>
      </c>
      <c r="R8" s="27">
        <v>4086</v>
      </c>
      <c r="S8" s="27">
        <v>71398</v>
      </c>
      <c r="T8" s="27">
        <v>81812</v>
      </c>
      <c r="U8" s="27">
        <v>165491</v>
      </c>
      <c r="V8" s="27">
        <v>400383</v>
      </c>
      <c r="W8" s="27">
        <v>1226240</v>
      </c>
      <c r="X8" s="27">
        <v>1196047</v>
      </c>
      <c r="Y8" s="27">
        <v>1540052</v>
      </c>
      <c r="Z8" s="27">
        <v>1395847</v>
      </c>
      <c r="AA8" s="27">
        <v>1537762</v>
      </c>
      <c r="AB8" s="27">
        <v>1814205</v>
      </c>
      <c r="AC8" s="27">
        <v>982080</v>
      </c>
      <c r="AD8" s="27">
        <v>2115253</v>
      </c>
      <c r="AE8" s="27">
        <v>1712256</v>
      </c>
      <c r="AF8" s="28">
        <v>871666</v>
      </c>
      <c r="AG8" s="27">
        <v>958109</v>
      </c>
      <c r="AH8" s="27">
        <v>707368</v>
      </c>
      <c r="AI8" s="27">
        <v>756547</v>
      </c>
      <c r="AJ8" s="27">
        <v>724043</v>
      </c>
      <c r="AK8" s="27">
        <v>691083</v>
      </c>
      <c r="AL8" s="27">
        <v>154484</v>
      </c>
      <c r="AM8" s="25">
        <v>142588</v>
      </c>
      <c r="AN8" s="25">
        <v>139453</v>
      </c>
      <c r="AO8" s="25">
        <v>234464</v>
      </c>
      <c r="AP8" s="25">
        <v>208239</v>
      </c>
      <c r="AQ8" s="25">
        <v>196196</v>
      </c>
      <c r="AR8" s="25">
        <v>155059</v>
      </c>
      <c r="AS8" s="25">
        <v>296577</v>
      </c>
      <c r="AT8" s="25">
        <v>347289</v>
      </c>
      <c r="AU8" s="25">
        <v>460867</v>
      </c>
      <c r="AV8" s="25">
        <v>446349</v>
      </c>
      <c r="AW8" s="25">
        <v>348520</v>
      </c>
      <c r="AX8" s="25">
        <v>412189</v>
      </c>
      <c r="AY8" s="25">
        <v>462342</v>
      </c>
      <c r="AZ8" s="25">
        <v>489437</v>
      </c>
      <c r="BA8" s="25">
        <v>555511</v>
      </c>
      <c r="BB8" s="25">
        <v>491751</v>
      </c>
    </row>
    <row r="9" spans="1:54" x14ac:dyDescent="0.4">
      <c r="A9" s="33" t="s">
        <v>14</v>
      </c>
      <c r="B9" s="27">
        <v>8508790</v>
      </c>
      <c r="C9" s="27">
        <v>8613146</v>
      </c>
      <c r="D9" s="27">
        <v>8911896</v>
      </c>
      <c r="E9" s="27">
        <v>9292532</v>
      </c>
      <c r="F9" s="27">
        <v>9784379</v>
      </c>
      <c r="G9" s="27">
        <v>9913557</v>
      </c>
      <c r="H9" s="27">
        <v>9999025</v>
      </c>
      <c r="I9" s="27">
        <v>10197118</v>
      </c>
      <c r="J9" s="27">
        <v>12008138</v>
      </c>
      <c r="K9" s="27">
        <v>12344278</v>
      </c>
      <c r="L9" s="27">
        <v>12770308</v>
      </c>
      <c r="M9" s="27">
        <v>12967567</v>
      </c>
      <c r="N9" s="27">
        <v>13507595</v>
      </c>
      <c r="O9" s="27">
        <v>13600150</v>
      </c>
      <c r="P9" s="27">
        <v>14241396</v>
      </c>
      <c r="Q9" s="27">
        <v>14472974</v>
      </c>
      <c r="R9" s="27">
        <v>15596683</v>
      </c>
      <c r="S9" s="27">
        <v>16105570</v>
      </c>
      <c r="T9" s="27">
        <v>16859862</v>
      </c>
      <c r="U9" s="27">
        <v>17627101</v>
      </c>
      <c r="V9" s="27">
        <v>18646818</v>
      </c>
      <c r="W9" s="27">
        <v>18966232</v>
      </c>
      <c r="X9" s="27">
        <v>19120079</v>
      </c>
      <c r="Y9" s="27">
        <v>19064874</v>
      </c>
      <c r="Z9" s="27">
        <v>19448835</v>
      </c>
      <c r="AA9" s="27">
        <v>20119965</v>
      </c>
      <c r="AB9" s="27">
        <v>21113266</v>
      </c>
      <c r="AC9" s="27">
        <v>21713606</v>
      </c>
      <c r="AD9" s="27">
        <v>22676604</v>
      </c>
      <c r="AE9" s="27">
        <v>23366294</v>
      </c>
      <c r="AF9" s="28">
        <v>24531443</v>
      </c>
      <c r="AG9" s="27">
        <v>26145938</v>
      </c>
      <c r="AH9" s="27">
        <v>30476763</v>
      </c>
      <c r="AI9" s="27">
        <v>30837335</v>
      </c>
      <c r="AJ9" s="27">
        <v>31643833</v>
      </c>
      <c r="AK9" s="27">
        <v>32676744</v>
      </c>
      <c r="AL9" s="27">
        <v>33063025</v>
      </c>
      <c r="AM9" s="25">
        <v>32230751</v>
      </c>
      <c r="AN9" s="25">
        <v>32169379</v>
      </c>
      <c r="AO9" s="25">
        <v>32487648</v>
      </c>
      <c r="AP9" s="25">
        <v>37084884</v>
      </c>
      <c r="AQ9" s="25">
        <v>38507671</v>
      </c>
      <c r="AR9" s="25">
        <v>40369871</v>
      </c>
      <c r="AS9" s="25">
        <v>41755320</v>
      </c>
      <c r="AT9" s="25">
        <v>43797711</v>
      </c>
      <c r="AU9" s="25">
        <v>45179177</v>
      </c>
      <c r="AV9" s="25">
        <v>45576564</v>
      </c>
      <c r="AW9" s="25">
        <v>47612812</v>
      </c>
      <c r="AX9" s="25">
        <v>54590424</v>
      </c>
      <c r="AY9" s="25">
        <v>55930207</v>
      </c>
      <c r="AZ9" s="25">
        <v>58724731</v>
      </c>
      <c r="BA9" s="25">
        <v>62078073</v>
      </c>
      <c r="BB9" s="25">
        <v>66441124</v>
      </c>
    </row>
    <row r="10" spans="1:54" x14ac:dyDescent="0.4">
      <c r="A10" s="33" t="s">
        <v>27</v>
      </c>
      <c r="B10" s="27"/>
      <c r="C10" s="27"/>
      <c r="D10" s="27"/>
      <c r="E10" s="27"/>
      <c r="F10" s="27"/>
      <c r="G10" s="27"/>
      <c r="H10" s="27"/>
      <c r="I10" s="27"/>
      <c r="J10" s="27"/>
      <c r="K10" s="27"/>
      <c r="L10" s="27"/>
      <c r="M10" s="27"/>
      <c r="N10" s="27"/>
      <c r="O10" s="27"/>
      <c r="P10" s="27"/>
      <c r="Q10" s="27"/>
      <c r="R10" s="27"/>
      <c r="S10" s="27"/>
      <c r="T10" s="27"/>
      <c r="U10" s="27"/>
      <c r="V10" s="27"/>
      <c r="W10" s="27"/>
      <c r="X10" s="27"/>
      <c r="Y10" s="27"/>
      <c r="Z10" s="27">
        <v>1225139</v>
      </c>
      <c r="AA10" s="27">
        <v>1393854</v>
      </c>
      <c r="AB10" s="27">
        <v>1472147</v>
      </c>
      <c r="AC10" s="27">
        <v>1415635</v>
      </c>
      <c r="AD10" s="27">
        <v>1736430</v>
      </c>
      <c r="AE10" s="27">
        <v>2113324</v>
      </c>
      <c r="AF10" s="28">
        <v>2270030</v>
      </c>
      <c r="AG10" s="27">
        <v>2679840</v>
      </c>
      <c r="AH10" s="27">
        <v>2638664</v>
      </c>
      <c r="AI10" s="27">
        <v>2205872</v>
      </c>
      <c r="AJ10" s="27">
        <v>1886949</v>
      </c>
      <c r="AK10" s="27">
        <v>1974043</v>
      </c>
      <c r="AL10" s="27">
        <v>2248644</v>
      </c>
      <c r="AM10" s="25">
        <v>2452150</v>
      </c>
      <c r="AN10" s="25">
        <v>2556369</v>
      </c>
      <c r="AO10" s="25">
        <v>2652554</v>
      </c>
      <c r="AP10" s="25">
        <v>2340363</v>
      </c>
      <c r="AQ10" s="25">
        <v>2580444</v>
      </c>
      <c r="AR10" s="25">
        <v>2877424</v>
      </c>
      <c r="AS10" s="25">
        <v>2924459</v>
      </c>
      <c r="AT10" s="25">
        <v>3385786</v>
      </c>
      <c r="AU10" s="25">
        <v>3659393</v>
      </c>
      <c r="AV10" s="25">
        <v>3490000</v>
      </c>
      <c r="AW10" s="25">
        <v>3755343</v>
      </c>
      <c r="AX10" s="25">
        <v>4454829</v>
      </c>
      <c r="AY10" s="25">
        <v>4361414</v>
      </c>
      <c r="AZ10" s="25">
        <v>4969876</v>
      </c>
      <c r="BA10" s="25">
        <v>5678168</v>
      </c>
      <c r="BB10" s="25">
        <v>5815694</v>
      </c>
    </row>
    <row r="11" spans="1:54" x14ac:dyDescent="0.4">
      <c r="A11" s="33" t="s">
        <v>30</v>
      </c>
      <c r="B11" s="27"/>
      <c r="C11" s="27"/>
      <c r="D11" s="27"/>
      <c r="E11" s="27"/>
      <c r="F11" s="27"/>
      <c r="G11" s="27"/>
      <c r="H11" s="27"/>
      <c r="I11" s="27"/>
      <c r="J11" s="27"/>
      <c r="K11" s="27"/>
      <c r="L11" s="27"/>
      <c r="M11" s="27"/>
      <c r="N11" s="27"/>
      <c r="O11" s="27"/>
      <c r="P11" s="27"/>
      <c r="Q11" s="27"/>
      <c r="R11" s="27"/>
      <c r="S11" s="27"/>
      <c r="T11" s="27"/>
      <c r="U11" s="27"/>
      <c r="V11" s="27"/>
      <c r="W11" s="27"/>
      <c r="X11" s="27"/>
      <c r="Y11" s="27"/>
      <c r="Z11" s="27">
        <v>18223696</v>
      </c>
      <c r="AA11" s="27">
        <v>18726111</v>
      </c>
      <c r="AB11" s="27">
        <v>19641118</v>
      </c>
      <c r="AC11" s="27">
        <v>20297970</v>
      </c>
      <c r="AD11" s="27">
        <v>20940174</v>
      </c>
      <c r="AE11" s="27">
        <v>21252969</v>
      </c>
      <c r="AF11" s="28">
        <v>22261413</v>
      </c>
      <c r="AG11" s="27">
        <v>23466098</v>
      </c>
      <c r="AH11" s="27">
        <v>27838099</v>
      </c>
      <c r="AI11" s="27">
        <v>28631463</v>
      </c>
      <c r="AJ11" s="27">
        <v>29756884</v>
      </c>
      <c r="AK11" s="27">
        <v>30702701</v>
      </c>
      <c r="AL11" s="27">
        <v>30814381</v>
      </c>
      <c r="AM11" s="25">
        <v>29778601</v>
      </c>
      <c r="AN11" s="25">
        <v>29613010</v>
      </c>
      <c r="AO11" s="25">
        <v>29835094</v>
      </c>
      <c r="AP11" s="25">
        <v>34744521</v>
      </c>
      <c r="AQ11" s="25">
        <v>35927228</v>
      </c>
      <c r="AR11" s="25">
        <v>37492447</v>
      </c>
      <c r="AS11" s="25">
        <v>38830862</v>
      </c>
      <c r="AT11" s="25">
        <v>40411925</v>
      </c>
      <c r="AU11" s="25">
        <v>41519784</v>
      </c>
      <c r="AV11" s="25">
        <v>42086564</v>
      </c>
      <c r="AW11" s="25">
        <v>43857469</v>
      </c>
      <c r="AX11" s="25">
        <v>50135595</v>
      </c>
      <c r="AY11" s="25">
        <v>51568792</v>
      </c>
      <c r="AZ11" s="25">
        <v>53754854</v>
      </c>
      <c r="BA11" s="25">
        <v>56399904</v>
      </c>
      <c r="BB11" s="25">
        <v>60625431</v>
      </c>
    </row>
    <row r="12" spans="1:54" x14ac:dyDescent="0.4">
      <c r="A12" s="34" t="s">
        <v>11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149651</v>
      </c>
      <c r="V12" s="16">
        <v>352372</v>
      </c>
      <c r="W12" s="16">
        <v>1128762</v>
      </c>
      <c r="X12" s="16">
        <v>1111740</v>
      </c>
      <c r="Y12" s="16">
        <v>1486149</v>
      </c>
      <c r="Z12" s="16">
        <v>1373875</v>
      </c>
      <c r="AA12" s="16">
        <v>1500345</v>
      </c>
      <c r="AB12" s="16">
        <v>1699439</v>
      </c>
      <c r="AC12" s="16">
        <v>800229</v>
      </c>
      <c r="AD12" s="16">
        <v>1936662</v>
      </c>
      <c r="AE12" s="16">
        <v>1544074</v>
      </c>
      <c r="AF12" s="16">
        <v>708366</v>
      </c>
      <c r="AG12" s="16">
        <v>818549</v>
      </c>
      <c r="AH12" s="16">
        <v>574281</v>
      </c>
      <c r="AI12" s="16">
        <v>645148</v>
      </c>
      <c r="AJ12" s="16">
        <v>626745</v>
      </c>
      <c r="AK12" s="16">
        <v>603761</v>
      </c>
      <c r="AL12" s="16">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row>
    <row r="13" spans="1:54" x14ac:dyDescent="0.4">
      <c r="A13" s="35" t="s">
        <v>13</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149651</v>
      </c>
      <c r="V13" s="16">
        <v>352372</v>
      </c>
      <c r="W13" s="16">
        <v>1128762</v>
      </c>
      <c r="X13" s="16">
        <v>1111740</v>
      </c>
      <c r="Y13" s="16">
        <v>1486149</v>
      </c>
      <c r="Z13" s="16">
        <v>1373875</v>
      </c>
      <c r="AA13" s="16">
        <v>1500345</v>
      </c>
      <c r="AB13" s="16">
        <v>1699439</v>
      </c>
      <c r="AC13" s="16">
        <v>800229</v>
      </c>
      <c r="AD13" s="16">
        <v>1936662</v>
      </c>
      <c r="AE13" s="16">
        <v>1544074</v>
      </c>
      <c r="AF13" s="16">
        <v>708366</v>
      </c>
      <c r="AG13" s="16">
        <v>818549</v>
      </c>
      <c r="AH13" s="16">
        <v>574281</v>
      </c>
      <c r="AI13" s="16">
        <v>645148</v>
      </c>
      <c r="AJ13" s="16">
        <v>626745</v>
      </c>
      <c r="AK13" s="16">
        <v>603761</v>
      </c>
      <c r="AL13" s="16">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row>
    <row r="14" spans="1:54" x14ac:dyDescent="0.4">
      <c r="A14" s="35" t="s">
        <v>14</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3">
        <v>0</v>
      </c>
      <c r="AP14" s="16">
        <v>0</v>
      </c>
      <c r="AQ14" s="16">
        <v>0</v>
      </c>
      <c r="AR14" s="16">
        <v>0</v>
      </c>
      <c r="AS14" s="16">
        <v>0</v>
      </c>
      <c r="AT14" s="13">
        <v>0</v>
      </c>
      <c r="AU14" s="13">
        <v>0</v>
      </c>
      <c r="AV14" s="13">
        <v>0</v>
      </c>
      <c r="AW14" s="13">
        <v>0</v>
      </c>
      <c r="AX14" s="13">
        <v>0</v>
      </c>
      <c r="AY14" s="13">
        <v>0</v>
      </c>
      <c r="AZ14" s="13">
        <v>0</v>
      </c>
      <c r="BA14" s="13">
        <v>0</v>
      </c>
      <c r="BB14" s="13">
        <v>0</v>
      </c>
    </row>
    <row r="15" spans="1:54" x14ac:dyDescent="0.4">
      <c r="A15" s="35"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3">
        <v>0</v>
      </c>
      <c r="AP15" s="16">
        <v>0</v>
      </c>
      <c r="AQ15" s="16">
        <v>0</v>
      </c>
      <c r="AR15" s="16">
        <v>0</v>
      </c>
      <c r="AS15" s="16">
        <v>0</v>
      </c>
      <c r="AT15" s="13">
        <v>0</v>
      </c>
      <c r="AU15" s="13">
        <v>0</v>
      </c>
      <c r="AV15" s="13">
        <v>0</v>
      </c>
      <c r="AW15" s="13">
        <v>0</v>
      </c>
      <c r="AX15" s="13">
        <v>0</v>
      </c>
      <c r="AY15" s="13">
        <v>0</v>
      </c>
      <c r="AZ15" s="13">
        <v>0</v>
      </c>
      <c r="BA15" s="13">
        <v>0</v>
      </c>
      <c r="BB15" s="13">
        <v>0</v>
      </c>
    </row>
    <row r="16" spans="1:54" x14ac:dyDescent="0.4">
      <c r="A16" s="35" t="s">
        <v>30</v>
      </c>
      <c r="B16" s="16"/>
      <c r="C16" s="16"/>
      <c r="D16" s="16"/>
      <c r="E16" s="16"/>
      <c r="F16" s="16"/>
      <c r="G16" s="16"/>
      <c r="H16" s="16"/>
      <c r="I16" s="16"/>
      <c r="J16" s="16"/>
      <c r="K16" s="16"/>
      <c r="L16" s="16"/>
      <c r="M16" s="16"/>
      <c r="N16" s="16"/>
      <c r="O16" s="16"/>
      <c r="P16" s="16"/>
      <c r="Q16" s="16"/>
      <c r="R16" s="16"/>
      <c r="S16" s="16"/>
      <c r="T16" s="16"/>
      <c r="U16" s="16"/>
      <c r="V16" s="16"/>
      <c r="W16" s="16"/>
      <c r="X16" s="16"/>
      <c r="Y16" s="16"/>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3">
        <v>0</v>
      </c>
      <c r="AP16" s="16">
        <v>0</v>
      </c>
      <c r="AQ16" s="16">
        <v>0</v>
      </c>
      <c r="AR16" s="16">
        <v>0</v>
      </c>
      <c r="AS16" s="16">
        <v>0</v>
      </c>
      <c r="AT16" s="13">
        <v>0</v>
      </c>
      <c r="AU16" s="13">
        <v>0</v>
      </c>
      <c r="AV16" s="13">
        <v>0</v>
      </c>
      <c r="AW16" s="13">
        <v>0</v>
      </c>
      <c r="AX16" s="13">
        <v>0</v>
      </c>
      <c r="AY16" s="13">
        <v>0</v>
      </c>
      <c r="AZ16" s="13">
        <v>0</v>
      </c>
      <c r="BA16" s="13">
        <v>0</v>
      </c>
      <c r="BB16" s="13">
        <v>0</v>
      </c>
    </row>
    <row r="17" spans="1:54" x14ac:dyDescent="0.4">
      <c r="A17" s="34" t="s">
        <v>3</v>
      </c>
      <c r="B17" s="16">
        <v>1136816</v>
      </c>
      <c r="C17" s="16">
        <v>1224562</v>
      </c>
      <c r="D17" s="16">
        <v>1239643</v>
      </c>
      <c r="E17" s="16">
        <v>1314046</v>
      </c>
      <c r="F17" s="16">
        <v>1356238</v>
      </c>
      <c r="G17" s="16">
        <v>1329098</v>
      </c>
      <c r="H17" s="16">
        <v>1370954</v>
      </c>
      <c r="I17" s="16">
        <v>1408501</v>
      </c>
      <c r="J17" s="16">
        <v>1477243</v>
      </c>
      <c r="K17" s="16">
        <v>1478946</v>
      </c>
      <c r="L17" s="16">
        <v>1558955</v>
      </c>
      <c r="M17" s="16">
        <v>1538925</v>
      </c>
      <c r="N17" s="16">
        <v>1570872</v>
      </c>
      <c r="O17" s="16">
        <v>1476591</v>
      </c>
      <c r="P17" s="16">
        <v>1528338</v>
      </c>
      <c r="Q17" s="16">
        <v>1473754</v>
      </c>
      <c r="R17" s="16">
        <v>1442243</v>
      </c>
      <c r="S17" s="16">
        <v>1503887</v>
      </c>
      <c r="T17" s="16">
        <v>1649935</v>
      </c>
      <c r="U17" s="16">
        <v>1554356</v>
      </c>
      <c r="V17" s="16">
        <v>1657590</v>
      </c>
      <c r="W17" s="16">
        <v>1727186</v>
      </c>
      <c r="X17" s="16">
        <v>1670705</v>
      </c>
      <c r="Y17" s="16">
        <v>1750640</v>
      </c>
      <c r="Z17" s="16">
        <v>1801710</v>
      </c>
      <c r="AA17" s="16">
        <v>1882710</v>
      </c>
      <c r="AB17" s="16">
        <v>2045194</v>
      </c>
      <c r="AC17" s="16">
        <v>2234932</v>
      </c>
      <c r="AD17" s="16">
        <v>2389467</v>
      </c>
      <c r="AE17" s="16">
        <v>2373473</v>
      </c>
      <c r="AF17" s="16">
        <v>2421438</v>
      </c>
      <c r="AG17" s="16">
        <v>2518322</v>
      </c>
      <c r="AH17" s="16">
        <v>2738943</v>
      </c>
      <c r="AI17" s="16">
        <v>2799394</v>
      </c>
      <c r="AJ17" s="16">
        <v>2938103</v>
      </c>
      <c r="AK17" s="16">
        <v>2943980</v>
      </c>
      <c r="AL17" s="16">
        <v>3069510</v>
      </c>
      <c r="AM17" s="13">
        <v>2754533</v>
      </c>
      <c r="AN17" s="13">
        <v>2648891</v>
      </c>
      <c r="AO17" s="13">
        <v>2571409</v>
      </c>
      <c r="AP17" s="13">
        <v>2536919</v>
      </c>
      <c r="AQ17" s="13">
        <v>2670477</v>
      </c>
      <c r="AR17" s="13">
        <v>2776778</v>
      </c>
      <c r="AS17" s="13">
        <v>2744477</v>
      </c>
      <c r="AT17" s="13">
        <v>2730645</v>
      </c>
      <c r="AU17" s="13">
        <v>2865604</v>
      </c>
      <c r="AV17" s="13">
        <v>2913724</v>
      </c>
      <c r="AW17" s="13">
        <v>2880001</v>
      </c>
      <c r="AX17" s="13">
        <v>2842659</v>
      </c>
      <c r="AY17" s="13">
        <v>2838752</v>
      </c>
      <c r="AZ17" s="13">
        <v>2857758</v>
      </c>
      <c r="BA17" s="13">
        <v>2913830</v>
      </c>
      <c r="BB17" s="13">
        <v>2914599</v>
      </c>
    </row>
    <row r="18" spans="1:54" x14ac:dyDescent="0.4">
      <c r="A18" s="35" t="s">
        <v>13</v>
      </c>
      <c r="B18" s="16">
        <v>0</v>
      </c>
      <c r="C18" s="16">
        <v>0</v>
      </c>
      <c r="D18" s="16">
        <v>0</v>
      </c>
      <c r="E18" s="16">
        <v>0</v>
      </c>
      <c r="F18" s="16">
        <v>0</v>
      </c>
      <c r="G18" s="16">
        <v>0</v>
      </c>
      <c r="H18" s="16">
        <v>0</v>
      </c>
      <c r="I18" s="16">
        <v>0</v>
      </c>
      <c r="J18" s="16">
        <v>0</v>
      </c>
      <c r="K18" s="16">
        <v>0</v>
      </c>
      <c r="L18" s="16">
        <v>0</v>
      </c>
      <c r="M18" s="16">
        <v>0</v>
      </c>
      <c r="N18" s="16">
        <v>0</v>
      </c>
      <c r="O18" s="16">
        <v>0</v>
      </c>
      <c r="P18" s="16">
        <v>10</v>
      </c>
      <c r="Q18" s="16">
        <v>316</v>
      </c>
      <c r="R18" s="16">
        <v>956</v>
      </c>
      <c r="S18" s="16">
        <v>58218</v>
      </c>
      <c r="T18" s="16">
        <v>81574</v>
      </c>
      <c r="U18" s="16">
        <v>12642</v>
      </c>
      <c r="V18" s="16">
        <v>37813</v>
      </c>
      <c r="W18" s="16">
        <v>34880</v>
      </c>
      <c r="X18" s="16">
        <v>32852</v>
      </c>
      <c r="Y18" s="16">
        <v>28882</v>
      </c>
      <c r="Z18" s="16">
        <v>10272</v>
      </c>
      <c r="AA18" s="16">
        <v>13289</v>
      </c>
      <c r="AB18" s="16">
        <v>69924</v>
      </c>
      <c r="AC18" s="16">
        <v>151527</v>
      </c>
      <c r="AD18" s="16">
        <v>167358</v>
      </c>
      <c r="AE18" s="16">
        <v>166358</v>
      </c>
      <c r="AF18" s="16">
        <v>160653</v>
      </c>
      <c r="AG18" s="16">
        <v>133019</v>
      </c>
      <c r="AH18" s="16">
        <v>124385</v>
      </c>
      <c r="AI18" s="16">
        <v>96247</v>
      </c>
      <c r="AJ18" s="16">
        <v>67499</v>
      </c>
      <c r="AK18" s="16">
        <v>66044</v>
      </c>
      <c r="AL18" s="16">
        <v>90847</v>
      </c>
      <c r="AM18" s="13">
        <v>69845</v>
      </c>
      <c r="AN18" s="13">
        <v>66406</v>
      </c>
      <c r="AO18" s="13">
        <v>67289</v>
      </c>
      <c r="AP18" s="13">
        <v>28794</v>
      </c>
      <c r="AQ18" s="13">
        <v>67932</v>
      </c>
      <c r="AR18" s="13">
        <v>74507</v>
      </c>
      <c r="AS18" s="13">
        <v>169056</v>
      </c>
      <c r="AT18" s="13">
        <v>125501</v>
      </c>
      <c r="AU18" s="13">
        <v>203538</v>
      </c>
      <c r="AV18" s="13">
        <v>156843</v>
      </c>
      <c r="AW18" s="13">
        <v>146523</v>
      </c>
      <c r="AX18" s="13">
        <v>113006</v>
      </c>
      <c r="AY18" s="13">
        <v>101735</v>
      </c>
      <c r="AZ18" s="13">
        <v>80842</v>
      </c>
      <c r="BA18" s="13">
        <v>96268</v>
      </c>
      <c r="BB18" s="13">
        <v>124140</v>
      </c>
    </row>
    <row r="19" spans="1:54" x14ac:dyDescent="0.4">
      <c r="A19" s="35" t="s">
        <v>14</v>
      </c>
      <c r="B19" s="16">
        <v>1136816</v>
      </c>
      <c r="C19" s="16">
        <v>1224562</v>
      </c>
      <c r="D19" s="16">
        <v>1239643</v>
      </c>
      <c r="E19" s="16">
        <v>1314046</v>
      </c>
      <c r="F19" s="16">
        <v>1356238</v>
      </c>
      <c r="G19" s="16">
        <v>1329098</v>
      </c>
      <c r="H19" s="16">
        <v>1370954</v>
      </c>
      <c r="I19" s="16">
        <v>1408501</v>
      </c>
      <c r="J19" s="16">
        <v>1477243</v>
      </c>
      <c r="K19" s="16">
        <v>1478946</v>
      </c>
      <c r="L19" s="16">
        <v>1558955</v>
      </c>
      <c r="M19" s="16">
        <v>1538925</v>
      </c>
      <c r="N19" s="16">
        <v>1570872</v>
      </c>
      <c r="O19" s="16">
        <v>1476591</v>
      </c>
      <c r="P19" s="16">
        <v>1528328</v>
      </c>
      <c r="Q19" s="16">
        <v>1473438</v>
      </c>
      <c r="R19" s="16">
        <v>1441286</v>
      </c>
      <c r="S19" s="16">
        <v>1445669</v>
      </c>
      <c r="T19" s="16">
        <v>1568361</v>
      </c>
      <c r="U19" s="16">
        <v>1541714</v>
      </c>
      <c r="V19" s="16">
        <v>1619777</v>
      </c>
      <c r="W19" s="16">
        <v>1692305</v>
      </c>
      <c r="X19" s="16">
        <v>1637854</v>
      </c>
      <c r="Y19" s="16">
        <v>1721758</v>
      </c>
      <c r="Z19" s="16">
        <v>1791439</v>
      </c>
      <c r="AA19" s="16">
        <v>1869421</v>
      </c>
      <c r="AB19" s="16">
        <v>1975270</v>
      </c>
      <c r="AC19" s="16">
        <v>2083405</v>
      </c>
      <c r="AD19" s="16">
        <v>2222110</v>
      </c>
      <c r="AE19" s="16">
        <v>2207115</v>
      </c>
      <c r="AF19" s="16">
        <v>2260784</v>
      </c>
      <c r="AG19" s="16">
        <v>2385303</v>
      </c>
      <c r="AH19" s="16">
        <v>2614558</v>
      </c>
      <c r="AI19" s="16">
        <v>2703147</v>
      </c>
      <c r="AJ19" s="16">
        <v>2870604</v>
      </c>
      <c r="AK19" s="16">
        <v>2877936</v>
      </c>
      <c r="AL19" s="16">
        <v>2978664</v>
      </c>
      <c r="AM19" s="13">
        <v>2684689</v>
      </c>
      <c r="AN19" s="13">
        <v>2582485</v>
      </c>
      <c r="AO19" s="13">
        <v>2504120</v>
      </c>
      <c r="AP19" s="13">
        <v>2508124</v>
      </c>
      <c r="AQ19" s="13">
        <v>2602545</v>
      </c>
      <c r="AR19" s="13">
        <v>2702271</v>
      </c>
      <c r="AS19" s="13">
        <v>2575422</v>
      </c>
      <c r="AT19" s="13">
        <v>2605144</v>
      </c>
      <c r="AU19" s="13">
        <v>2662066</v>
      </c>
      <c r="AV19" s="13">
        <v>2756881</v>
      </c>
      <c r="AW19" s="13">
        <v>2733478</v>
      </c>
      <c r="AX19" s="13">
        <v>2729653</v>
      </c>
      <c r="AY19" s="13">
        <v>2737017</v>
      </c>
      <c r="AZ19" s="13">
        <v>2776916</v>
      </c>
      <c r="BA19" s="13">
        <v>2817562</v>
      </c>
      <c r="BB19" s="13">
        <v>2790459</v>
      </c>
    </row>
    <row r="20" spans="1:54" x14ac:dyDescent="0.4">
      <c r="A20" s="35" t="s">
        <v>27</v>
      </c>
      <c r="B20" s="16"/>
      <c r="C20" s="16"/>
      <c r="D20" s="16"/>
      <c r="E20" s="16"/>
      <c r="F20" s="16"/>
      <c r="G20" s="16"/>
      <c r="H20" s="16"/>
      <c r="I20" s="16"/>
      <c r="J20" s="16"/>
      <c r="K20" s="16"/>
      <c r="L20" s="16"/>
      <c r="M20" s="16"/>
      <c r="N20" s="16"/>
      <c r="O20" s="16"/>
      <c r="P20" s="16"/>
      <c r="Q20" s="16"/>
      <c r="R20" s="16"/>
      <c r="S20" s="16"/>
      <c r="T20" s="16"/>
      <c r="U20" s="16"/>
      <c r="V20" s="16"/>
      <c r="W20" s="16"/>
      <c r="X20" s="16"/>
      <c r="Y20" s="16"/>
      <c r="Z20" s="16">
        <v>151698</v>
      </c>
      <c r="AA20" s="16">
        <v>181265</v>
      </c>
      <c r="AB20" s="16">
        <v>247307</v>
      </c>
      <c r="AC20" s="16">
        <v>236626</v>
      </c>
      <c r="AD20" s="16">
        <v>276791</v>
      </c>
      <c r="AE20" s="16">
        <v>329181</v>
      </c>
      <c r="AF20" s="16">
        <v>341098</v>
      </c>
      <c r="AG20" s="16">
        <v>457179</v>
      </c>
      <c r="AH20" s="16">
        <v>455631</v>
      </c>
      <c r="AI20" s="16">
        <v>500530</v>
      </c>
      <c r="AJ20" s="16">
        <v>506534</v>
      </c>
      <c r="AK20" s="16">
        <v>438336</v>
      </c>
      <c r="AL20" s="16">
        <v>457073</v>
      </c>
      <c r="AM20" s="13">
        <v>410399</v>
      </c>
      <c r="AN20" s="13">
        <v>442031</v>
      </c>
      <c r="AO20" s="13">
        <v>491685</v>
      </c>
      <c r="AP20" s="13">
        <v>608930</v>
      </c>
      <c r="AQ20" s="13">
        <v>587980</v>
      </c>
      <c r="AR20" s="13">
        <v>592539</v>
      </c>
      <c r="AS20" s="13">
        <v>570299</v>
      </c>
      <c r="AT20" s="13">
        <v>552742</v>
      </c>
      <c r="AU20" s="13">
        <v>647502</v>
      </c>
      <c r="AV20" s="13">
        <v>554626</v>
      </c>
      <c r="AW20" s="13">
        <v>567168</v>
      </c>
      <c r="AX20" s="13">
        <v>506639</v>
      </c>
      <c r="AY20" s="13">
        <v>379062</v>
      </c>
      <c r="AZ20" s="13">
        <v>563464</v>
      </c>
      <c r="BA20" s="13">
        <v>552730</v>
      </c>
      <c r="BB20" s="13">
        <v>582089</v>
      </c>
    </row>
    <row r="21" spans="1:54" x14ac:dyDescent="0.4">
      <c r="A21" s="35" t="s">
        <v>30</v>
      </c>
      <c r="B21" s="16"/>
      <c r="C21" s="16"/>
      <c r="D21" s="16"/>
      <c r="E21" s="16"/>
      <c r="F21" s="16"/>
      <c r="G21" s="16"/>
      <c r="H21" s="16"/>
      <c r="I21" s="16"/>
      <c r="J21" s="16"/>
      <c r="K21" s="16"/>
      <c r="L21" s="16"/>
      <c r="M21" s="16"/>
      <c r="N21" s="16"/>
      <c r="O21" s="16"/>
      <c r="P21" s="16"/>
      <c r="Q21" s="16"/>
      <c r="R21" s="16"/>
      <c r="S21" s="16"/>
      <c r="T21" s="16"/>
      <c r="U21" s="16"/>
      <c r="V21" s="16"/>
      <c r="W21" s="16"/>
      <c r="X21" s="16"/>
      <c r="Y21" s="16"/>
      <c r="Z21" s="16">
        <v>1639740</v>
      </c>
      <c r="AA21" s="16">
        <v>1688156</v>
      </c>
      <c r="AB21" s="16">
        <v>1727963</v>
      </c>
      <c r="AC21" s="16">
        <v>1846779</v>
      </c>
      <c r="AD21" s="16">
        <v>1945319</v>
      </c>
      <c r="AE21" s="16">
        <v>1877934</v>
      </c>
      <c r="AF21" s="16">
        <v>1919686</v>
      </c>
      <c r="AG21" s="16">
        <v>1928124</v>
      </c>
      <c r="AH21" s="16">
        <v>2158927</v>
      </c>
      <c r="AI21" s="16">
        <v>2202618</v>
      </c>
      <c r="AJ21" s="16">
        <v>2364070</v>
      </c>
      <c r="AK21" s="16">
        <v>2439600</v>
      </c>
      <c r="AL21" s="16">
        <v>2521590</v>
      </c>
      <c r="AM21" s="13">
        <v>2274289</v>
      </c>
      <c r="AN21" s="13">
        <v>2140454</v>
      </c>
      <c r="AO21" s="13">
        <v>2012435</v>
      </c>
      <c r="AP21" s="13">
        <v>1899194</v>
      </c>
      <c r="AQ21" s="13">
        <v>2014565</v>
      </c>
      <c r="AR21" s="13">
        <v>2109732</v>
      </c>
      <c r="AS21" s="13">
        <v>2005122</v>
      </c>
      <c r="AT21" s="13">
        <v>2052402</v>
      </c>
      <c r="AU21" s="13">
        <v>2014564</v>
      </c>
      <c r="AV21" s="13">
        <v>2202254</v>
      </c>
      <c r="AW21" s="13">
        <v>2166310</v>
      </c>
      <c r="AX21" s="13">
        <v>2223013</v>
      </c>
      <c r="AY21" s="13">
        <v>2357955</v>
      </c>
      <c r="AZ21" s="13">
        <v>2213453</v>
      </c>
      <c r="BA21" s="13">
        <v>2264832</v>
      </c>
      <c r="BB21" s="13">
        <v>2208370</v>
      </c>
    </row>
    <row r="22" spans="1:54" x14ac:dyDescent="0.4">
      <c r="A22" s="34" t="s">
        <v>4</v>
      </c>
      <c r="B22" s="16">
        <v>15035</v>
      </c>
      <c r="C22" s="16">
        <v>15099</v>
      </c>
      <c r="D22" s="16">
        <v>18137</v>
      </c>
      <c r="E22" s="16">
        <v>18118</v>
      </c>
      <c r="F22" s="16">
        <v>18099</v>
      </c>
      <c r="G22" s="16">
        <v>17988</v>
      </c>
      <c r="H22" s="16">
        <v>17889</v>
      </c>
      <c r="I22" s="16">
        <v>17859</v>
      </c>
      <c r="J22" s="16">
        <v>12610</v>
      </c>
      <c r="K22" s="16">
        <v>12801</v>
      </c>
      <c r="L22" s="16">
        <v>12931</v>
      </c>
      <c r="M22" s="16">
        <v>12793</v>
      </c>
      <c r="N22" s="16">
        <v>12774</v>
      </c>
      <c r="O22" s="16">
        <v>12890</v>
      </c>
      <c r="P22" s="16">
        <v>12924</v>
      </c>
      <c r="Q22" s="16">
        <v>13000</v>
      </c>
      <c r="R22" s="16">
        <v>12953</v>
      </c>
      <c r="S22" s="16">
        <v>12919</v>
      </c>
      <c r="T22" s="16">
        <v>17173</v>
      </c>
      <c r="U22" s="16">
        <v>12149</v>
      </c>
      <c r="V22" s="16">
        <v>7164</v>
      </c>
      <c r="W22" s="16">
        <v>7193</v>
      </c>
      <c r="X22" s="16">
        <v>7103</v>
      </c>
      <c r="Y22" s="16">
        <v>7087</v>
      </c>
      <c r="Z22" s="16">
        <v>7056</v>
      </c>
      <c r="AA22" s="16">
        <v>7004</v>
      </c>
      <c r="AB22" s="16">
        <v>7037</v>
      </c>
      <c r="AC22" s="16">
        <v>4097</v>
      </c>
      <c r="AD22" s="16">
        <v>7092</v>
      </c>
      <c r="AE22" s="16">
        <v>7269</v>
      </c>
      <c r="AF22" s="16">
        <v>7302</v>
      </c>
      <c r="AG22" s="16">
        <v>7457</v>
      </c>
      <c r="AH22" s="16">
        <v>7263</v>
      </c>
      <c r="AI22" s="16">
        <v>7327</v>
      </c>
      <c r="AJ22" s="16">
        <v>7125</v>
      </c>
      <c r="AK22" s="16">
        <v>7232</v>
      </c>
      <c r="AL22" s="16">
        <v>4043</v>
      </c>
      <c r="AM22" s="13">
        <v>4091</v>
      </c>
      <c r="AN22" s="13">
        <v>0</v>
      </c>
      <c r="AO22" s="13">
        <v>0</v>
      </c>
      <c r="AP22" s="13">
        <v>0</v>
      </c>
      <c r="AQ22" s="13">
        <v>0</v>
      </c>
      <c r="AR22" s="13">
        <v>0</v>
      </c>
      <c r="AS22" s="13">
        <v>0</v>
      </c>
      <c r="AT22" s="13">
        <v>0</v>
      </c>
      <c r="AU22" s="13">
        <v>0</v>
      </c>
      <c r="AV22" s="13">
        <v>0</v>
      </c>
      <c r="AW22" s="13">
        <v>0</v>
      </c>
      <c r="AX22" s="13">
        <v>0</v>
      </c>
      <c r="AY22" s="13">
        <v>0</v>
      </c>
      <c r="AZ22" s="13">
        <v>0</v>
      </c>
      <c r="BA22" s="13">
        <v>0</v>
      </c>
      <c r="BB22" s="13">
        <v>0</v>
      </c>
    </row>
    <row r="23" spans="1:54" x14ac:dyDescent="0.4">
      <c r="A23" s="35" t="s">
        <v>13</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3">
        <v>0</v>
      </c>
      <c r="AP23" s="16">
        <v>0</v>
      </c>
      <c r="AQ23" s="16">
        <v>0</v>
      </c>
      <c r="AR23" s="16">
        <v>0</v>
      </c>
      <c r="AS23" s="16">
        <v>0</v>
      </c>
      <c r="AT23" s="13">
        <v>0</v>
      </c>
      <c r="AU23" s="13">
        <v>0</v>
      </c>
      <c r="AV23" s="13">
        <v>0</v>
      </c>
      <c r="AW23" s="13">
        <v>0</v>
      </c>
      <c r="AX23" s="13">
        <v>0</v>
      </c>
      <c r="AY23" s="13">
        <v>0</v>
      </c>
      <c r="AZ23" s="13">
        <v>0</v>
      </c>
      <c r="BA23" s="13">
        <v>0</v>
      </c>
      <c r="BB23" s="13">
        <v>0</v>
      </c>
    </row>
    <row r="24" spans="1:54" x14ac:dyDescent="0.4">
      <c r="A24" s="35" t="s">
        <v>14</v>
      </c>
      <c r="B24" s="16">
        <v>15035</v>
      </c>
      <c r="C24" s="16">
        <v>15099</v>
      </c>
      <c r="D24" s="16">
        <v>18137</v>
      </c>
      <c r="E24" s="16">
        <v>18118</v>
      </c>
      <c r="F24" s="16">
        <v>18099</v>
      </c>
      <c r="G24" s="16">
        <v>17988</v>
      </c>
      <c r="H24" s="16">
        <v>17889</v>
      </c>
      <c r="I24" s="16">
        <v>17859</v>
      </c>
      <c r="J24" s="16">
        <v>12610</v>
      </c>
      <c r="K24" s="16">
        <v>12801</v>
      </c>
      <c r="L24" s="16">
        <v>12931</v>
      </c>
      <c r="M24" s="16">
        <v>12793</v>
      </c>
      <c r="N24" s="16">
        <v>12774</v>
      </c>
      <c r="O24" s="16">
        <v>12890</v>
      </c>
      <c r="P24" s="16">
        <v>12924</v>
      </c>
      <c r="Q24" s="16">
        <v>13000</v>
      </c>
      <c r="R24" s="16">
        <v>12953</v>
      </c>
      <c r="S24" s="16">
        <v>12919</v>
      </c>
      <c r="T24" s="16">
        <v>17173</v>
      </c>
      <c r="U24" s="16">
        <v>12149</v>
      </c>
      <c r="V24" s="16">
        <v>7164</v>
      </c>
      <c r="W24" s="16">
        <v>7193</v>
      </c>
      <c r="X24" s="16">
        <v>7103</v>
      </c>
      <c r="Y24" s="16">
        <v>7087</v>
      </c>
      <c r="Z24" s="16">
        <v>7056</v>
      </c>
      <c r="AA24" s="16">
        <v>7004</v>
      </c>
      <c r="AB24" s="16">
        <v>7037</v>
      </c>
      <c r="AC24" s="16">
        <v>4097</v>
      </c>
      <c r="AD24" s="16">
        <v>7092</v>
      </c>
      <c r="AE24" s="16">
        <v>7269</v>
      </c>
      <c r="AF24" s="16">
        <v>7302</v>
      </c>
      <c r="AG24" s="16">
        <v>7457</v>
      </c>
      <c r="AH24" s="16">
        <v>7263</v>
      </c>
      <c r="AI24" s="16">
        <v>7327</v>
      </c>
      <c r="AJ24" s="16">
        <v>7125</v>
      </c>
      <c r="AK24" s="16">
        <v>7232</v>
      </c>
      <c r="AL24" s="16">
        <v>4043</v>
      </c>
      <c r="AM24" s="13">
        <v>4091</v>
      </c>
      <c r="AN24" s="13">
        <v>0</v>
      </c>
      <c r="AO24" s="13">
        <v>0</v>
      </c>
      <c r="AP24" s="13">
        <v>0</v>
      </c>
      <c r="AQ24" s="13">
        <v>0</v>
      </c>
      <c r="AR24" s="13">
        <v>0</v>
      </c>
      <c r="AS24" s="13">
        <v>0</v>
      </c>
      <c r="AT24" s="13">
        <v>0</v>
      </c>
      <c r="AU24" s="13">
        <v>0</v>
      </c>
      <c r="AV24" s="13">
        <v>0</v>
      </c>
      <c r="AW24" s="13">
        <v>0</v>
      </c>
      <c r="AX24" s="13">
        <v>0</v>
      </c>
      <c r="AY24" s="13">
        <v>0</v>
      </c>
      <c r="AZ24" s="13">
        <v>0</v>
      </c>
      <c r="BA24" s="13">
        <v>0</v>
      </c>
      <c r="BB24" s="13">
        <v>0</v>
      </c>
    </row>
    <row r="25" spans="1:54" x14ac:dyDescent="0.4">
      <c r="A25" s="35" t="s">
        <v>27</v>
      </c>
      <c r="B25" s="16"/>
      <c r="C25" s="16"/>
      <c r="D25" s="16"/>
      <c r="E25" s="16"/>
      <c r="F25" s="16"/>
      <c r="G25" s="16"/>
      <c r="H25" s="16"/>
      <c r="I25" s="16"/>
      <c r="J25" s="16"/>
      <c r="K25" s="16"/>
      <c r="L25" s="16"/>
      <c r="M25" s="16"/>
      <c r="N25" s="16"/>
      <c r="O25" s="16"/>
      <c r="P25" s="16"/>
      <c r="Q25" s="16"/>
      <c r="R25" s="16"/>
      <c r="S25" s="16"/>
      <c r="T25" s="16"/>
      <c r="U25" s="16"/>
      <c r="V25" s="16"/>
      <c r="W25" s="16"/>
      <c r="X25" s="16"/>
      <c r="Y25" s="16"/>
      <c r="Z25" s="16">
        <v>0</v>
      </c>
      <c r="AA25" s="16">
        <v>0</v>
      </c>
      <c r="AB25" s="16">
        <v>0</v>
      </c>
      <c r="AC25" s="16">
        <v>0</v>
      </c>
      <c r="AD25" s="16">
        <v>0</v>
      </c>
      <c r="AE25" s="16">
        <v>0</v>
      </c>
      <c r="AF25" s="16">
        <v>0</v>
      </c>
      <c r="AG25" s="16">
        <v>0</v>
      </c>
      <c r="AH25" s="16">
        <v>0</v>
      </c>
      <c r="AI25" s="16">
        <v>0</v>
      </c>
      <c r="AJ25" s="16">
        <v>4054</v>
      </c>
      <c r="AK25" s="16">
        <v>4109</v>
      </c>
      <c r="AL25" s="16">
        <v>4043</v>
      </c>
      <c r="AM25" s="13">
        <v>4091</v>
      </c>
      <c r="AN25" s="13">
        <v>0</v>
      </c>
      <c r="AO25" s="13">
        <v>0</v>
      </c>
      <c r="AP25" s="13">
        <v>0</v>
      </c>
      <c r="AQ25" s="13">
        <v>0</v>
      </c>
      <c r="AR25" s="13">
        <v>0</v>
      </c>
      <c r="AS25" s="13">
        <v>0</v>
      </c>
      <c r="AT25" s="13">
        <v>0</v>
      </c>
      <c r="AU25" s="13">
        <v>0</v>
      </c>
      <c r="AV25" s="13">
        <v>0</v>
      </c>
      <c r="AW25" s="13">
        <v>0</v>
      </c>
      <c r="AX25" s="13">
        <v>0</v>
      </c>
      <c r="AY25" s="13">
        <v>0</v>
      </c>
      <c r="AZ25" s="13">
        <v>0</v>
      </c>
      <c r="BA25" s="13">
        <v>0</v>
      </c>
      <c r="BB25" s="13">
        <v>0</v>
      </c>
    </row>
    <row r="26" spans="1:54" x14ac:dyDescent="0.4">
      <c r="A26" s="35" t="s">
        <v>30</v>
      </c>
      <c r="B26" s="16"/>
      <c r="C26" s="16"/>
      <c r="D26" s="16"/>
      <c r="E26" s="16"/>
      <c r="F26" s="16"/>
      <c r="G26" s="16"/>
      <c r="H26" s="16"/>
      <c r="I26" s="16"/>
      <c r="J26" s="16"/>
      <c r="K26" s="16"/>
      <c r="L26" s="16"/>
      <c r="M26" s="16"/>
      <c r="N26" s="16"/>
      <c r="O26" s="16"/>
      <c r="P26" s="16"/>
      <c r="Q26" s="16"/>
      <c r="R26" s="16"/>
      <c r="S26" s="16"/>
      <c r="T26" s="16"/>
      <c r="U26" s="16"/>
      <c r="V26" s="16"/>
      <c r="W26" s="16"/>
      <c r="X26" s="16"/>
      <c r="Y26" s="16"/>
      <c r="Z26" s="16">
        <v>7056</v>
      </c>
      <c r="AA26" s="16">
        <v>7004</v>
      </c>
      <c r="AB26" s="16">
        <v>7037</v>
      </c>
      <c r="AC26" s="16">
        <v>4097</v>
      </c>
      <c r="AD26" s="16">
        <v>7092</v>
      </c>
      <c r="AE26" s="16">
        <v>7269</v>
      </c>
      <c r="AF26" s="16">
        <v>7302</v>
      </c>
      <c r="AG26" s="16">
        <v>7457</v>
      </c>
      <c r="AH26" s="16">
        <v>7263</v>
      </c>
      <c r="AI26" s="16">
        <v>7327</v>
      </c>
      <c r="AJ26" s="16">
        <v>3070</v>
      </c>
      <c r="AK26" s="16">
        <v>3123</v>
      </c>
      <c r="AL26" s="16">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row>
    <row r="27" spans="1:54" x14ac:dyDescent="0.4">
      <c r="A27" s="34" t="s">
        <v>5</v>
      </c>
      <c r="B27" s="16">
        <v>1046484</v>
      </c>
      <c r="C27" s="16">
        <v>1138663</v>
      </c>
      <c r="D27" s="16">
        <v>1173658</v>
      </c>
      <c r="E27" s="16">
        <v>1266500</v>
      </c>
      <c r="F27" s="16">
        <v>1318917</v>
      </c>
      <c r="G27" s="16">
        <v>1466375</v>
      </c>
      <c r="H27" s="16">
        <v>1492451</v>
      </c>
      <c r="I27" s="16">
        <v>1675078</v>
      </c>
      <c r="J27" s="16">
        <v>1789995</v>
      </c>
      <c r="K27" s="16">
        <v>1810838</v>
      </c>
      <c r="L27" s="16">
        <v>1875222</v>
      </c>
      <c r="M27" s="16">
        <v>2007058</v>
      </c>
      <c r="N27" s="16">
        <v>2114834</v>
      </c>
      <c r="O27" s="16">
        <v>2145970</v>
      </c>
      <c r="P27" s="16">
        <v>2279398</v>
      </c>
      <c r="Q27" s="16">
        <v>2327518</v>
      </c>
      <c r="R27" s="16">
        <v>2396325</v>
      </c>
      <c r="S27" s="16">
        <v>2453713</v>
      </c>
      <c r="T27" s="16">
        <v>2622582</v>
      </c>
      <c r="U27" s="16">
        <v>2654541</v>
      </c>
      <c r="V27" s="16">
        <v>2597115</v>
      </c>
      <c r="W27" s="16">
        <v>2686548</v>
      </c>
      <c r="X27" s="16">
        <v>2658167</v>
      </c>
      <c r="Y27" s="16">
        <v>2466929</v>
      </c>
      <c r="Z27" s="16">
        <v>2504596</v>
      </c>
      <c r="AA27" s="16">
        <v>2701065</v>
      </c>
      <c r="AB27" s="16">
        <v>2769962</v>
      </c>
      <c r="AC27" s="16">
        <v>2688383</v>
      </c>
      <c r="AD27" s="16">
        <v>2849612</v>
      </c>
      <c r="AE27" s="16">
        <v>2910523</v>
      </c>
      <c r="AF27" s="16">
        <v>2900592</v>
      </c>
      <c r="AG27" s="16">
        <v>2964760</v>
      </c>
      <c r="AH27" s="16">
        <v>3402416</v>
      </c>
      <c r="AI27" s="16">
        <v>3317787</v>
      </c>
      <c r="AJ27" s="16">
        <v>3251343</v>
      </c>
      <c r="AK27" s="16">
        <v>3379282</v>
      </c>
      <c r="AL27" s="16">
        <v>3806054</v>
      </c>
      <c r="AM27" s="13">
        <v>3548994</v>
      </c>
      <c r="AN27" s="13">
        <v>3650938</v>
      </c>
      <c r="AO27" s="13">
        <v>4104319</v>
      </c>
      <c r="AP27" s="13">
        <v>5668393</v>
      </c>
      <c r="AQ27" s="13">
        <v>6247352</v>
      </c>
      <c r="AR27" s="13">
        <v>6826575</v>
      </c>
      <c r="AS27" s="13">
        <v>8083853</v>
      </c>
      <c r="AT27" s="13">
        <v>9380908</v>
      </c>
      <c r="AU27" s="13">
        <v>9682724</v>
      </c>
      <c r="AV27" s="13">
        <v>9792236</v>
      </c>
      <c r="AW27" s="13">
        <v>10653807</v>
      </c>
      <c r="AX27" s="13">
        <v>12244139</v>
      </c>
      <c r="AY27" s="13">
        <v>12241853</v>
      </c>
      <c r="AZ27" s="13">
        <v>12577805</v>
      </c>
      <c r="BA27" s="13">
        <v>13610403</v>
      </c>
      <c r="BB27" s="13">
        <v>14482271</v>
      </c>
    </row>
    <row r="28" spans="1:54" x14ac:dyDescent="0.4">
      <c r="A28" s="35" t="s">
        <v>13</v>
      </c>
      <c r="B28" s="16">
        <v>0</v>
      </c>
      <c r="C28" s="16">
        <v>0</v>
      </c>
      <c r="D28" s="16">
        <v>0</v>
      </c>
      <c r="E28" s="16">
        <v>0</v>
      </c>
      <c r="F28" s="16">
        <v>0</v>
      </c>
      <c r="G28" s="16">
        <v>873</v>
      </c>
      <c r="H28" s="16">
        <v>873</v>
      </c>
      <c r="I28" s="16">
        <v>873</v>
      </c>
      <c r="J28" s="16">
        <v>0</v>
      </c>
      <c r="K28" s="16">
        <v>0</v>
      </c>
      <c r="L28" s="16">
        <v>0</v>
      </c>
      <c r="M28" s="16">
        <v>0</v>
      </c>
      <c r="N28" s="16">
        <v>0</v>
      </c>
      <c r="O28" s="16">
        <v>0</v>
      </c>
      <c r="P28" s="16">
        <v>0</v>
      </c>
      <c r="Q28" s="16">
        <v>0</v>
      </c>
      <c r="R28" s="16">
        <v>30</v>
      </c>
      <c r="S28" s="16">
        <v>80</v>
      </c>
      <c r="T28" s="16">
        <v>108</v>
      </c>
      <c r="U28" s="16">
        <v>138</v>
      </c>
      <c r="V28" s="16">
        <v>148</v>
      </c>
      <c r="W28" s="16">
        <v>50759</v>
      </c>
      <c r="X28" s="16">
        <v>40431</v>
      </c>
      <c r="Y28" s="16">
        <v>14063</v>
      </c>
      <c r="Z28" s="16">
        <v>8492</v>
      </c>
      <c r="AA28" s="16">
        <v>20928</v>
      </c>
      <c r="AB28" s="16">
        <v>41841</v>
      </c>
      <c r="AC28" s="16">
        <v>25274</v>
      </c>
      <c r="AD28" s="16">
        <v>8144</v>
      </c>
      <c r="AE28" s="16">
        <v>1632</v>
      </c>
      <c r="AF28" s="16">
        <v>2454</v>
      </c>
      <c r="AG28" s="16">
        <v>6399</v>
      </c>
      <c r="AH28" s="16">
        <v>8332</v>
      </c>
      <c r="AI28" s="16">
        <v>14784</v>
      </c>
      <c r="AJ28" s="16">
        <v>29394</v>
      </c>
      <c r="AK28" s="16">
        <v>21063</v>
      </c>
      <c r="AL28" s="16">
        <v>56961</v>
      </c>
      <c r="AM28" s="13">
        <v>59789</v>
      </c>
      <c r="AN28" s="13">
        <v>62873</v>
      </c>
      <c r="AO28" s="13">
        <v>113177</v>
      </c>
      <c r="AP28" s="13">
        <v>89932</v>
      </c>
      <c r="AQ28" s="13">
        <v>84016</v>
      </c>
      <c r="AR28" s="13">
        <v>78364</v>
      </c>
      <c r="AS28" s="13">
        <v>109815</v>
      </c>
      <c r="AT28" s="13">
        <v>126682</v>
      </c>
      <c r="AU28" s="13">
        <v>139643</v>
      </c>
      <c r="AV28" s="13">
        <v>217461</v>
      </c>
      <c r="AW28" s="13">
        <v>163646</v>
      </c>
      <c r="AX28" s="13">
        <v>277738</v>
      </c>
      <c r="AY28" s="13">
        <v>331976</v>
      </c>
      <c r="AZ28" s="13">
        <v>352472</v>
      </c>
      <c r="BA28" s="13">
        <v>402173</v>
      </c>
      <c r="BB28" s="13">
        <v>331788</v>
      </c>
    </row>
    <row r="29" spans="1:54" x14ac:dyDescent="0.4">
      <c r="A29" s="35" t="s">
        <v>14</v>
      </c>
      <c r="B29" s="16">
        <v>1046484</v>
      </c>
      <c r="C29" s="16">
        <v>1138663</v>
      </c>
      <c r="D29" s="16">
        <v>1173658</v>
      </c>
      <c r="E29" s="16">
        <v>1266500</v>
      </c>
      <c r="F29" s="16">
        <v>1318917</v>
      </c>
      <c r="G29" s="16">
        <v>1465502</v>
      </c>
      <c r="H29" s="16">
        <v>1491578</v>
      </c>
      <c r="I29" s="16">
        <v>1674205</v>
      </c>
      <c r="J29" s="16">
        <v>1789995</v>
      </c>
      <c r="K29" s="16">
        <v>1810838</v>
      </c>
      <c r="L29" s="16">
        <v>1875222</v>
      </c>
      <c r="M29" s="16">
        <v>2007058</v>
      </c>
      <c r="N29" s="16">
        <v>2114834</v>
      </c>
      <c r="O29" s="16">
        <v>2145970</v>
      </c>
      <c r="P29" s="16">
        <v>2279398</v>
      </c>
      <c r="Q29" s="16">
        <v>2327518</v>
      </c>
      <c r="R29" s="16">
        <v>2396295</v>
      </c>
      <c r="S29" s="16">
        <v>2453633</v>
      </c>
      <c r="T29" s="16">
        <v>2622474</v>
      </c>
      <c r="U29" s="16">
        <v>2654403</v>
      </c>
      <c r="V29" s="16">
        <v>2596967</v>
      </c>
      <c r="W29" s="16">
        <v>2635789</v>
      </c>
      <c r="X29" s="16">
        <v>2617736</v>
      </c>
      <c r="Y29" s="16">
        <v>2452866</v>
      </c>
      <c r="Z29" s="16">
        <v>2496104</v>
      </c>
      <c r="AA29" s="16">
        <v>2680137</v>
      </c>
      <c r="AB29" s="16">
        <v>2728121</v>
      </c>
      <c r="AC29" s="16">
        <v>2663109</v>
      </c>
      <c r="AD29" s="16">
        <v>2841468</v>
      </c>
      <c r="AE29" s="16">
        <v>2908891</v>
      </c>
      <c r="AF29" s="16">
        <v>2898137</v>
      </c>
      <c r="AG29" s="16">
        <v>2958360</v>
      </c>
      <c r="AH29" s="16">
        <v>3394084</v>
      </c>
      <c r="AI29" s="16">
        <v>3303003</v>
      </c>
      <c r="AJ29" s="16">
        <v>3221950</v>
      </c>
      <c r="AK29" s="16">
        <v>3358219</v>
      </c>
      <c r="AL29" s="16">
        <v>3749094</v>
      </c>
      <c r="AM29" s="13">
        <v>3489205</v>
      </c>
      <c r="AN29" s="13">
        <v>3588065</v>
      </c>
      <c r="AO29" s="13">
        <v>3991142</v>
      </c>
      <c r="AP29" s="13">
        <v>5578461</v>
      </c>
      <c r="AQ29" s="13">
        <v>6163335</v>
      </c>
      <c r="AR29" s="13">
        <v>6748211</v>
      </c>
      <c r="AS29" s="13">
        <v>7974037</v>
      </c>
      <c r="AT29" s="13">
        <v>9254227</v>
      </c>
      <c r="AU29" s="13">
        <v>9543081</v>
      </c>
      <c r="AV29" s="13">
        <v>9574776</v>
      </c>
      <c r="AW29" s="13">
        <v>10490161</v>
      </c>
      <c r="AX29" s="13">
        <v>11966401</v>
      </c>
      <c r="AY29" s="13">
        <v>11909877</v>
      </c>
      <c r="AZ29" s="13">
        <v>12225334</v>
      </c>
      <c r="BA29" s="13">
        <v>13208230</v>
      </c>
      <c r="BB29" s="13">
        <v>14150483</v>
      </c>
    </row>
    <row r="30" spans="1:54" x14ac:dyDescent="0.4">
      <c r="A30" s="35" t="s">
        <v>27</v>
      </c>
      <c r="B30" s="16"/>
      <c r="C30" s="16"/>
      <c r="D30" s="16"/>
      <c r="E30" s="16"/>
      <c r="F30" s="16"/>
      <c r="G30" s="16"/>
      <c r="H30" s="16"/>
      <c r="I30" s="16"/>
      <c r="J30" s="16"/>
      <c r="K30" s="16"/>
      <c r="L30" s="16"/>
      <c r="M30" s="16"/>
      <c r="N30" s="16"/>
      <c r="O30" s="16"/>
      <c r="P30" s="16"/>
      <c r="Q30" s="16"/>
      <c r="R30" s="16"/>
      <c r="S30" s="16"/>
      <c r="T30" s="16"/>
      <c r="U30" s="16"/>
      <c r="V30" s="16"/>
      <c r="W30" s="16"/>
      <c r="X30" s="16"/>
      <c r="Y30" s="16"/>
      <c r="Z30" s="16">
        <v>114285</v>
      </c>
      <c r="AA30" s="16">
        <v>110159</v>
      </c>
      <c r="AB30" s="16">
        <v>153729</v>
      </c>
      <c r="AC30" s="16">
        <v>136004</v>
      </c>
      <c r="AD30" s="16">
        <v>144072</v>
      </c>
      <c r="AE30" s="16">
        <v>190102</v>
      </c>
      <c r="AF30" s="16">
        <v>407531</v>
      </c>
      <c r="AG30" s="16">
        <v>469354</v>
      </c>
      <c r="AH30" s="16">
        <v>448783</v>
      </c>
      <c r="AI30" s="16">
        <v>441515</v>
      </c>
      <c r="AJ30" s="16">
        <v>218249</v>
      </c>
      <c r="AK30" s="16">
        <v>146428</v>
      </c>
      <c r="AL30" s="16">
        <v>188785</v>
      </c>
      <c r="AM30" s="13">
        <v>188106</v>
      </c>
      <c r="AN30" s="13">
        <v>163647</v>
      </c>
      <c r="AO30" s="13">
        <v>195105</v>
      </c>
      <c r="AP30" s="13">
        <v>196917</v>
      </c>
      <c r="AQ30" s="13">
        <v>251130</v>
      </c>
      <c r="AR30" s="13">
        <v>291878</v>
      </c>
      <c r="AS30" s="13">
        <v>402701</v>
      </c>
      <c r="AT30" s="13">
        <v>417801</v>
      </c>
      <c r="AU30" s="13">
        <v>511008</v>
      </c>
      <c r="AV30" s="13">
        <v>656807</v>
      </c>
      <c r="AW30" s="13">
        <v>779307</v>
      </c>
      <c r="AX30" s="13">
        <v>1371492</v>
      </c>
      <c r="AY30" s="13">
        <v>1285510</v>
      </c>
      <c r="AZ30" s="13">
        <v>1172911</v>
      </c>
      <c r="BA30" s="13">
        <v>1585798</v>
      </c>
      <c r="BB30" s="13">
        <v>1130329</v>
      </c>
    </row>
    <row r="31" spans="1:54" x14ac:dyDescent="0.4">
      <c r="A31" s="35" t="s">
        <v>30</v>
      </c>
      <c r="B31" s="16"/>
      <c r="C31" s="16"/>
      <c r="D31" s="16"/>
      <c r="E31" s="16"/>
      <c r="F31" s="16"/>
      <c r="G31" s="16"/>
      <c r="H31" s="16"/>
      <c r="I31" s="16"/>
      <c r="J31" s="16"/>
      <c r="K31" s="16"/>
      <c r="L31" s="16"/>
      <c r="M31" s="16"/>
      <c r="N31" s="16"/>
      <c r="O31" s="16"/>
      <c r="P31" s="16"/>
      <c r="Q31" s="16"/>
      <c r="R31" s="16"/>
      <c r="S31" s="16"/>
      <c r="T31" s="16"/>
      <c r="U31" s="16"/>
      <c r="V31" s="16"/>
      <c r="W31" s="16"/>
      <c r="X31" s="16"/>
      <c r="Y31" s="16"/>
      <c r="Z31" s="16">
        <v>2381819</v>
      </c>
      <c r="AA31" s="16">
        <v>2569978</v>
      </c>
      <c r="AB31" s="16">
        <v>2574391</v>
      </c>
      <c r="AC31" s="16">
        <v>2527105</v>
      </c>
      <c r="AD31" s="16">
        <v>2697396</v>
      </c>
      <c r="AE31" s="16">
        <v>2718789</v>
      </c>
      <c r="AF31" s="16">
        <v>2490606</v>
      </c>
      <c r="AG31" s="16">
        <v>2489006</v>
      </c>
      <c r="AH31" s="16">
        <v>2945301</v>
      </c>
      <c r="AI31" s="16">
        <v>2861488</v>
      </c>
      <c r="AJ31" s="16">
        <v>3003700</v>
      </c>
      <c r="AK31" s="16">
        <v>3211792</v>
      </c>
      <c r="AL31" s="16">
        <v>3560308</v>
      </c>
      <c r="AM31" s="13">
        <v>3301100</v>
      </c>
      <c r="AN31" s="13">
        <v>3424418</v>
      </c>
      <c r="AO31" s="13">
        <v>3796037</v>
      </c>
      <c r="AP31" s="13">
        <v>5381544</v>
      </c>
      <c r="AQ31" s="13">
        <v>5912205</v>
      </c>
      <c r="AR31" s="13">
        <v>6456333</v>
      </c>
      <c r="AS31" s="13">
        <v>7571336</v>
      </c>
      <c r="AT31" s="13">
        <v>8836426</v>
      </c>
      <c r="AU31" s="13">
        <v>9032073</v>
      </c>
      <c r="AV31" s="13">
        <v>8917969</v>
      </c>
      <c r="AW31" s="13">
        <v>9710854</v>
      </c>
      <c r="AX31" s="13">
        <v>10594909</v>
      </c>
      <c r="AY31" s="13">
        <v>10624367</v>
      </c>
      <c r="AZ31" s="13">
        <v>11052423</v>
      </c>
      <c r="BA31" s="13">
        <v>11622432</v>
      </c>
      <c r="BB31" s="13">
        <v>13020154</v>
      </c>
    </row>
    <row r="32" spans="1:54" x14ac:dyDescent="0.4">
      <c r="A32" s="34" t="s">
        <v>6</v>
      </c>
      <c r="B32" s="16">
        <v>4414257</v>
      </c>
      <c r="C32" s="16">
        <v>4233274</v>
      </c>
      <c r="D32" s="16">
        <v>4415712</v>
      </c>
      <c r="E32" s="16">
        <v>4569162</v>
      </c>
      <c r="F32" s="16">
        <v>4859751</v>
      </c>
      <c r="G32" s="16">
        <v>4857140</v>
      </c>
      <c r="H32" s="16">
        <v>4896539</v>
      </c>
      <c r="I32" s="16">
        <v>4892619</v>
      </c>
      <c r="J32" s="16">
        <v>5892743</v>
      </c>
      <c r="K32" s="16">
        <v>5791168</v>
      </c>
      <c r="L32" s="16">
        <v>5864372</v>
      </c>
      <c r="M32" s="16">
        <v>5829353</v>
      </c>
      <c r="N32" s="16">
        <v>6012760</v>
      </c>
      <c r="O32" s="16">
        <v>6117163</v>
      </c>
      <c r="P32" s="16">
        <v>6258021</v>
      </c>
      <c r="Q32" s="16">
        <v>6272802</v>
      </c>
      <c r="R32" s="16">
        <v>6586035</v>
      </c>
      <c r="S32" s="16">
        <v>6947083</v>
      </c>
      <c r="T32" s="16">
        <v>7116831</v>
      </c>
      <c r="U32" s="16">
        <v>7572861</v>
      </c>
      <c r="V32" s="16">
        <v>7820146</v>
      </c>
      <c r="W32" s="16">
        <v>7879971</v>
      </c>
      <c r="X32" s="16">
        <v>8135309</v>
      </c>
      <c r="Y32" s="16">
        <v>8261275</v>
      </c>
      <c r="Z32" s="16">
        <v>8462574</v>
      </c>
      <c r="AA32" s="16">
        <v>8804502</v>
      </c>
      <c r="AB32" s="16">
        <v>9456789</v>
      </c>
      <c r="AC32" s="16">
        <v>9945470</v>
      </c>
      <c r="AD32" s="16">
        <v>10146562</v>
      </c>
      <c r="AE32" s="16">
        <v>10571931</v>
      </c>
      <c r="AF32" s="16">
        <v>11480294</v>
      </c>
      <c r="AG32" s="16">
        <v>12796005</v>
      </c>
      <c r="AH32" s="16">
        <v>15325835</v>
      </c>
      <c r="AI32" s="16">
        <v>16012522</v>
      </c>
      <c r="AJ32" s="16">
        <v>16847854</v>
      </c>
      <c r="AK32" s="16">
        <v>17352866</v>
      </c>
      <c r="AL32" s="16">
        <v>17081503</v>
      </c>
      <c r="AM32" s="13">
        <v>17205947</v>
      </c>
      <c r="AN32" s="13">
        <v>17255435</v>
      </c>
      <c r="AO32" s="13">
        <v>16828191</v>
      </c>
      <c r="AP32" s="13">
        <v>19559128</v>
      </c>
      <c r="AQ32" s="13">
        <v>20118883</v>
      </c>
      <c r="AR32" s="13">
        <v>21002129</v>
      </c>
      <c r="AS32" s="13">
        <v>21322717</v>
      </c>
      <c r="AT32" s="13">
        <v>21852925</v>
      </c>
      <c r="AU32" s="13">
        <v>22333044</v>
      </c>
      <c r="AV32" s="13">
        <v>22436962</v>
      </c>
      <c r="AW32" s="13">
        <v>22758722</v>
      </c>
      <c r="AX32" s="13">
        <v>26946518</v>
      </c>
      <c r="AY32" s="13">
        <v>27605549</v>
      </c>
      <c r="AZ32" s="13">
        <v>28982557</v>
      </c>
      <c r="BA32" s="13">
        <v>30200873</v>
      </c>
      <c r="BB32" s="13">
        <v>33429770</v>
      </c>
    </row>
    <row r="33" spans="1:54" x14ac:dyDescent="0.4">
      <c r="A33" s="35" t="s">
        <v>13</v>
      </c>
      <c r="B33" s="16">
        <v>0</v>
      </c>
      <c r="C33" s="16">
        <v>0</v>
      </c>
      <c r="D33" s="16">
        <v>0</v>
      </c>
      <c r="E33" s="16">
        <v>0</v>
      </c>
      <c r="F33" s="16">
        <v>0</v>
      </c>
      <c r="G33" s="16">
        <v>0</v>
      </c>
      <c r="H33" s="16">
        <v>0</v>
      </c>
      <c r="I33" s="16">
        <v>0</v>
      </c>
      <c r="J33" s="16">
        <v>0</v>
      </c>
      <c r="K33" s="16">
        <v>0</v>
      </c>
      <c r="L33" s="16">
        <v>0</v>
      </c>
      <c r="M33" s="16">
        <v>0</v>
      </c>
      <c r="N33" s="16">
        <v>0</v>
      </c>
      <c r="O33" s="16">
        <v>0</v>
      </c>
      <c r="P33" s="16">
        <v>0</v>
      </c>
      <c r="Q33" s="16">
        <v>0</v>
      </c>
      <c r="R33" s="16">
        <v>0</v>
      </c>
      <c r="S33" s="16">
        <v>0</v>
      </c>
      <c r="T33" s="16">
        <v>0</v>
      </c>
      <c r="U33" s="16">
        <v>0</v>
      </c>
      <c r="V33" s="16">
        <v>0</v>
      </c>
      <c r="W33" s="16">
        <v>0</v>
      </c>
      <c r="X33" s="16">
        <v>0</v>
      </c>
      <c r="Y33" s="16">
        <v>0</v>
      </c>
      <c r="Z33" s="16">
        <v>3000</v>
      </c>
      <c r="AA33" s="16">
        <v>3000</v>
      </c>
      <c r="AB33" s="16">
        <v>3000</v>
      </c>
      <c r="AC33" s="16">
        <v>3000</v>
      </c>
      <c r="AD33" s="16">
        <v>0</v>
      </c>
      <c r="AE33" s="16">
        <v>0</v>
      </c>
      <c r="AF33" s="16">
        <v>0</v>
      </c>
      <c r="AG33" s="16">
        <v>0</v>
      </c>
      <c r="AH33" s="16">
        <v>0</v>
      </c>
      <c r="AI33" s="16">
        <v>0</v>
      </c>
      <c r="AJ33" s="16">
        <v>0</v>
      </c>
      <c r="AK33" s="16">
        <v>0</v>
      </c>
      <c r="AL33" s="16">
        <v>0</v>
      </c>
      <c r="AM33" s="13">
        <v>5416</v>
      </c>
      <c r="AN33" s="13">
        <v>5570</v>
      </c>
      <c r="AO33" s="13">
        <v>5417</v>
      </c>
      <c r="AP33" s="13">
        <v>5574</v>
      </c>
      <c r="AQ33" s="13">
        <v>0</v>
      </c>
      <c r="AR33" s="13">
        <v>0</v>
      </c>
      <c r="AS33" s="13">
        <v>15052</v>
      </c>
      <c r="AT33" s="13">
        <v>60200</v>
      </c>
      <c r="AU33" s="13">
        <v>59928</v>
      </c>
      <c r="AV33" s="13">
        <v>6363</v>
      </c>
      <c r="AW33" s="13">
        <v>4363</v>
      </c>
      <c r="AX33" s="13">
        <v>0</v>
      </c>
      <c r="AY33" s="13">
        <v>0</v>
      </c>
      <c r="AZ33" s="13">
        <v>0</v>
      </c>
      <c r="BA33" s="13">
        <v>0</v>
      </c>
      <c r="BB33" s="13">
        <v>0</v>
      </c>
    </row>
    <row r="34" spans="1:54" x14ac:dyDescent="0.4">
      <c r="A34" s="35" t="s">
        <v>14</v>
      </c>
      <c r="B34" s="16">
        <v>4414257</v>
      </c>
      <c r="C34" s="16">
        <v>4233274</v>
      </c>
      <c r="D34" s="16">
        <v>4415712</v>
      </c>
      <c r="E34" s="16">
        <v>4569162</v>
      </c>
      <c r="F34" s="16">
        <v>4859751</v>
      </c>
      <c r="G34" s="16">
        <v>4857140</v>
      </c>
      <c r="H34" s="16">
        <v>4896539</v>
      </c>
      <c r="I34" s="16">
        <v>4892619</v>
      </c>
      <c r="J34" s="16">
        <v>5892743</v>
      </c>
      <c r="K34" s="16">
        <v>5791168</v>
      </c>
      <c r="L34" s="16">
        <v>5864372</v>
      </c>
      <c r="M34" s="16">
        <v>5829353</v>
      </c>
      <c r="N34" s="16">
        <v>6012760</v>
      </c>
      <c r="O34" s="16">
        <v>6117163</v>
      </c>
      <c r="P34" s="16">
        <v>6258021</v>
      </c>
      <c r="Q34" s="16">
        <v>6272802</v>
      </c>
      <c r="R34" s="16">
        <v>6586035</v>
      </c>
      <c r="S34" s="16">
        <v>6947083</v>
      </c>
      <c r="T34" s="16">
        <v>7116831</v>
      </c>
      <c r="U34" s="16">
        <v>7572861</v>
      </c>
      <c r="V34" s="16">
        <v>7820146</v>
      </c>
      <c r="W34" s="16">
        <v>7879971</v>
      </c>
      <c r="X34" s="16">
        <v>8135309</v>
      </c>
      <c r="Y34" s="16">
        <v>8261275</v>
      </c>
      <c r="Z34" s="16">
        <v>8459574</v>
      </c>
      <c r="AA34" s="16">
        <v>8801502</v>
      </c>
      <c r="AB34" s="16">
        <v>9453789</v>
      </c>
      <c r="AC34" s="16">
        <v>9942470</v>
      </c>
      <c r="AD34" s="16">
        <v>10146562</v>
      </c>
      <c r="AE34" s="16">
        <v>10571931</v>
      </c>
      <c r="AF34" s="16">
        <v>11480294</v>
      </c>
      <c r="AG34" s="16">
        <v>12796005</v>
      </c>
      <c r="AH34" s="16">
        <v>15325835</v>
      </c>
      <c r="AI34" s="16">
        <v>16012522</v>
      </c>
      <c r="AJ34" s="16">
        <v>16847854</v>
      </c>
      <c r="AK34" s="16">
        <v>17352866</v>
      </c>
      <c r="AL34" s="16">
        <v>17081503</v>
      </c>
      <c r="AM34" s="13">
        <v>17200532</v>
      </c>
      <c r="AN34" s="13">
        <v>17249865</v>
      </c>
      <c r="AO34" s="13">
        <v>16822774</v>
      </c>
      <c r="AP34" s="13">
        <v>19553554</v>
      </c>
      <c r="AQ34" s="13">
        <v>20118883</v>
      </c>
      <c r="AR34" s="13">
        <v>21002129</v>
      </c>
      <c r="AS34" s="13">
        <v>21307665</v>
      </c>
      <c r="AT34" s="13">
        <v>21792726</v>
      </c>
      <c r="AU34" s="13">
        <v>22273116</v>
      </c>
      <c r="AV34" s="13">
        <v>22430599</v>
      </c>
      <c r="AW34" s="13">
        <v>22754359</v>
      </c>
      <c r="AX34" s="13">
        <v>26946518</v>
      </c>
      <c r="AY34" s="13">
        <v>27605549</v>
      </c>
      <c r="AZ34" s="13">
        <v>28982557</v>
      </c>
      <c r="BA34" s="13">
        <v>30200873</v>
      </c>
      <c r="BB34" s="13">
        <v>33429770</v>
      </c>
    </row>
    <row r="35" spans="1:54" x14ac:dyDescent="0.4">
      <c r="A35" s="35" t="s">
        <v>27</v>
      </c>
      <c r="B35" s="16"/>
      <c r="C35" s="16"/>
      <c r="D35" s="16"/>
      <c r="E35" s="16"/>
      <c r="F35" s="16"/>
      <c r="G35" s="16"/>
      <c r="H35" s="16"/>
      <c r="I35" s="16"/>
      <c r="J35" s="16"/>
      <c r="K35" s="16"/>
      <c r="L35" s="16"/>
      <c r="M35" s="16"/>
      <c r="N35" s="16"/>
      <c r="O35" s="16"/>
      <c r="P35" s="16"/>
      <c r="Q35" s="16"/>
      <c r="R35" s="16"/>
      <c r="S35" s="16"/>
      <c r="T35" s="16"/>
      <c r="U35" s="16"/>
      <c r="V35" s="16"/>
      <c r="W35" s="16"/>
      <c r="X35" s="16"/>
      <c r="Y35" s="16"/>
      <c r="Z35" s="16">
        <v>728232</v>
      </c>
      <c r="AA35" s="16">
        <v>818588</v>
      </c>
      <c r="AB35" s="16">
        <v>807334</v>
      </c>
      <c r="AC35" s="16">
        <v>824086</v>
      </c>
      <c r="AD35" s="16">
        <v>565997</v>
      </c>
      <c r="AE35" s="16">
        <v>413026</v>
      </c>
      <c r="AF35" s="16">
        <v>310002</v>
      </c>
      <c r="AG35" s="16">
        <v>583059</v>
      </c>
      <c r="AH35" s="16">
        <v>1037677</v>
      </c>
      <c r="AI35" s="16">
        <v>948081</v>
      </c>
      <c r="AJ35" s="16">
        <v>809296</v>
      </c>
      <c r="AK35" s="16">
        <v>977403</v>
      </c>
      <c r="AL35" s="16">
        <v>1111038</v>
      </c>
      <c r="AM35" s="13">
        <v>1270470</v>
      </c>
      <c r="AN35" s="13">
        <v>1282520</v>
      </c>
      <c r="AO35" s="13">
        <v>1331627</v>
      </c>
      <c r="AP35" s="13">
        <v>901307</v>
      </c>
      <c r="AQ35" s="13">
        <v>1129081</v>
      </c>
      <c r="AR35" s="13">
        <v>1471083</v>
      </c>
      <c r="AS35" s="13">
        <v>1374332</v>
      </c>
      <c r="AT35" s="13">
        <v>1584551</v>
      </c>
      <c r="AU35" s="13">
        <v>1624414</v>
      </c>
      <c r="AV35" s="13">
        <v>1309235</v>
      </c>
      <c r="AW35" s="13">
        <v>1425173</v>
      </c>
      <c r="AX35" s="13">
        <v>1514274</v>
      </c>
      <c r="AY35" s="13">
        <v>1643947</v>
      </c>
      <c r="AZ35" s="13">
        <v>1848192</v>
      </c>
      <c r="BA35" s="13">
        <v>1793077</v>
      </c>
      <c r="BB35" s="13">
        <v>1697711</v>
      </c>
    </row>
    <row r="36" spans="1:54" x14ac:dyDescent="0.4">
      <c r="A36" s="35" t="s">
        <v>30</v>
      </c>
      <c r="B36" s="16"/>
      <c r="C36" s="16"/>
      <c r="D36" s="16"/>
      <c r="E36" s="16"/>
      <c r="F36" s="16"/>
      <c r="G36" s="16"/>
      <c r="H36" s="16"/>
      <c r="I36" s="16"/>
      <c r="J36" s="16"/>
      <c r="K36" s="16"/>
      <c r="L36" s="16"/>
      <c r="M36" s="16"/>
      <c r="N36" s="16"/>
      <c r="O36" s="16"/>
      <c r="P36" s="16"/>
      <c r="Q36" s="16"/>
      <c r="R36" s="16"/>
      <c r="S36" s="16"/>
      <c r="T36" s="16"/>
      <c r="U36" s="16"/>
      <c r="V36" s="16"/>
      <c r="W36" s="16"/>
      <c r="X36" s="16"/>
      <c r="Y36" s="16"/>
      <c r="Z36" s="16">
        <v>7731342</v>
      </c>
      <c r="AA36" s="16">
        <v>7982915</v>
      </c>
      <c r="AB36" s="16">
        <v>8646455</v>
      </c>
      <c r="AC36" s="16">
        <v>9118384</v>
      </c>
      <c r="AD36" s="16">
        <v>9580565</v>
      </c>
      <c r="AE36" s="16">
        <v>10158905</v>
      </c>
      <c r="AF36" s="16">
        <v>11170292</v>
      </c>
      <c r="AG36" s="16">
        <v>12212945</v>
      </c>
      <c r="AH36" s="16">
        <v>14288158</v>
      </c>
      <c r="AI36" s="16">
        <v>15064441</v>
      </c>
      <c r="AJ36" s="16">
        <v>16038558</v>
      </c>
      <c r="AK36" s="16">
        <v>16375463</v>
      </c>
      <c r="AL36" s="16">
        <v>15970465</v>
      </c>
      <c r="AM36" s="13">
        <v>15930062</v>
      </c>
      <c r="AN36" s="13">
        <v>15967345</v>
      </c>
      <c r="AO36" s="13">
        <v>15491147</v>
      </c>
      <c r="AP36" s="13">
        <v>18652247</v>
      </c>
      <c r="AQ36" s="13">
        <v>18989802</v>
      </c>
      <c r="AR36" s="13">
        <v>19531046</v>
      </c>
      <c r="AS36" s="13">
        <v>19933333</v>
      </c>
      <c r="AT36" s="13">
        <v>20208174</v>
      </c>
      <c r="AU36" s="13">
        <v>20648702</v>
      </c>
      <c r="AV36" s="13">
        <v>21121364</v>
      </c>
      <c r="AW36" s="13">
        <v>21329187</v>
      </c>
      <c r="AX36" s="13">
        <v>25432244</v>
      </c>
      <c r="AY36" s="13">
        <v>25961602</v>
      </c>
      <c r="AZ36" s="13">
        <v>27134365</v>
      </c>
      <c r="BA36" s="13">
        <v>28407796</v>
      </c>
      <c r="BB36" s="13">
        <v>31732059</v>
      </c>
    </row>
    <row r="37" spans="1:54" x14ac:dyDescent="0.4">
      <c r="A37" s="34" t="s">
        <v>7</v>
      </c>
      <c r="B37" s="16">
        <v>1838806</v>
      </c>
      <c r="C37" s="16">
        <v>1946070</v>
      </c>
      <c r="D37" s="16">
        <v>2009239</v>
      </c>
      <c r="E37" s="16">
        <v>2051738</v>
      </c>
      <c r="F37" s="16">
        <v>2130393</v>
      </c>
      <c r="G37" s="16">
        <v>2141043</v>
      </c>
      <c r="H37" s="16">
        <v>2136203</v>
      </c>
      <c r="I37" s="16">
        <v>2118221</v>
      </c>
      <c r="J37" s="16">
        <v>2730955</v>
      </c>
      <c r="K37" s="16">
        <v>3146386</v>
      </c>
      <c r="L37" s="16">
        <v>3350885</v>
      </c>
      <c r="M37" s="16">
        <v>3471126</v>
      </c>
      <c r="N37" s="16">
        <v>3684910</v>
      </c>
      <c r="O37" s="16">
        <v>3736125</v>
      </c>
      <c r="P37" s="16">
        <v>4052069</v>
      </c>
      <c r="Q37" s="16">
        <v>4274917</v>
      </c>
      <c r="R37" s="16">
        <v>5053805</v>
      </c>
      <c r="S37" s="16">
        <v>5150061</v>
      </c>
      <c r="T37" s="16">
        <v>5415548</v>
      </c>
      <c r="U37" s="16">
        <v>5729307</v>
      </c>
      <c r="V37" s="16">
        <v>6505723</v>
      </c>
      <c r="W37" s="16">
        <v>6655271</v>
      </c>
      <c r="X37" s="16">
        <v>6625899</v>
      </c>
      <c r="Y37" s="16">
        <v>6523303</v>
      </c>
      <c r="Z37" s="16">
        <v>6587234</v>
      </c>
      <c r="AA37" s="16">
        <v>6659244</v>
      </c>
      <c r="AB37" s="16">
        <v>6846076</v>
      </c>
      <c r="AC37" s="16">
        <v>6912276</v>
      </c>
      <c r="AD37" s="16">
        <v>7339503</v>
      </c>
      <c r="AE37" s="16">
        <v>7550424</v>
      </c>
      <c r="AF37" s="16">
        <v>7723207</v>
      </c>
      <c r="AG37" s="16">
        <v>7847567</v>
      </c>
      <c r="AH37" s="16">
        <v>9000492</v>
      </c>
      <c r="AI37" s="16">
        <v>8681043</v>
      </c>
      <c r="AJ37" s="16">
        <v>8575644</v>
      </c>
      <c r="AK37" s="16">
        <v>8960242</v>
      </c>
      <c r="AL37" s="16">
        <v>9151818</v>
      </c>
      <c r="AM37" s="13">
        <v>8757480</v>
      </c>
      <c r="AN37" s="13">
        <v>8642527</v>
      </c>
      <c r="AO37" s="13">
        <v>9013125</v>
      </c>
      <c r="AP37" s="13">
        <v>9287968</v>
      </c>
      <c r="AQ37" s="13">
        <v>9470628</v>
      </c>
      <c r="AR37" s="13">
        <v>9734479</v>
      </c>
      <c r="AS37" s="13">
        <v>9697416</v>
      </c>
      <c r="AT37" s="13">
        <v>9968148</v>
      </c>
      <c r="AU37" s="13">
        <v>10513472</v>
      </c>
      <c r="AV37" s="13">
        <v>10653543</v>
      </c>
      <c r="AW37" s="13">
        <v>11440700</v>
      </c>
      <c r="AX37" s="13">
        <v>12736454</v>
      </c>
      <c r="AY37" s="13">
        <v>13488577</v>
      </c>
      <c r="AZ37" s="13">
        <v>14596106</v>
      </c>
      <c r="BA37" s="13">
        <v>15701391</v>
      </c>
      <c r="BB37" s="13">
        <v>15910882</v>
      </c>
    </row>
    <row r="38" spans="1:54" x14ac:dyDescent="0.4">
      <c r="A38" s="35" t="s">
        <v>13</v>
      </c>
      <c r="B38" s="16">
        <v>0</v>
      </c>
      <c r="C38" s="16">
        <v>2000</v>
      </c>
      <c r="D38" s="16">
        <v>2000</v>
      </c>
      <c r="E38" s="16">
        <v>2000</v>
      </c>
      <c r="F38" s="16">
        <v>2000</v>
      </c>
      <c r="G38" s="16">
        <v>0</v>
      </c>
      <c r="H38" s="16">
        <v>15077</v>
      </c>
      <c r="I38" s="16">
        <v>14982</v>
      </c>
      <c r="J38" s="16">
        <v>0</v>
      </c>
      <c r="K38" s="16">
        <v>0</v>
      </c>
      <c r="L38" s="16">
        <v>0</v>
      </c>
      <c r="M38" s="16">
        <v>0</v>
      </c>
      <c r="N38" s="16">
        <v>0</v>
      </c>
      <c r="O38" s="16">
        <v>0</v>
      </c>
      <c r="P38" s="16">
        <v>0</v>
      </c>
      <c r="Q38" s="16">
        <v>100</v>
      </c>
      <c r="R38" s="16">
        <v>100</v>
      </c>
      <c r="S38" s="16">
        <v>100</v>
      </c>
      <c r="T38" s="16">
        <v>130</v>
      </c>
      <c r="U38" s="16">
        <v>60</v>
      </c>
      <c r="V38" s="16">
        <v>10049</v>
      </c>
      <c r="W38" s="16">
        <v>11839</v>
      </c>
      <c r="X38" s="16">
        <v>11025</v>
      </c>
      <c r="Y38" s="16">
        <v>10958</v>
      </c>
      <c r="Z38" s="16">
        <v>207</v>
      </c>
      <c r="AA38" s="16">
        <v>200</v>
      </c>
      <c r="AB38" s="16">
        <v>0</v>
      </c>
      <c r="AC38" s="16">
        <v>50</v>
      </c>
      <c r="AD38" s="16">
        <v>90</v>
      </c>
      <c r="AE38" s="16">
        <v>192</v>
      </c>
      <c r="AF38" s="16">
        <v>191</v>
      </c>
      <c r="AG38" s="16">
        <v>142</v>
      </c>
      <c r="AH38" s="16">
        <v>371</v>
      </c>
      <c r="AI38" s="16">
        <v>369</v>
      </c>
      <c r="AJ38" s="16">
        <v>406</v>
      </c>
      <c r="AK38" s="16">
        <v>215</v>
      </c>
      <c r="AL38" s="16">
        <v>6677</v>
      </c>
      <c r="AM38" s="13">
        <v>7539</v>
      </c>
      <c r="AN38" s="13">
        <v>4604</v>
      </c>
      <c r="AO38" s="13">
        <v>5186</v>
      </c>
      <c r="AP38" s="13">
        <v>39612</v>
      </c>
      <c r="AQ38" s="13">
        <v>44248</v>
      </c>
      <c r="AR38" s="13">
        <v>2188</v>
      </c>
      <c r="AS38" s="13">
        <v>2654</v>
      </c>
      <c r="AT38" s="13">
        <v>34907</v>
      </c>
      <c r="AU38" s="13">
        <v>57759</v>
      </c>
      <c r="AV38" s="13">
        <v>65682</v>
      </c>
      <c r="AW38" s="13">
        <v>33988</v>
      </c>
      <c r="AX38" s="13">
        <v>21444</v>
      </c>
      <c r="AY38" s="13">
        <v>28631</v>
      </c>
      <c r="AZ38" s="13">
        <v>56124</v>
      </c>
      <c r="BA38" s="13">
        <v>57070</v>
      </c>
      <c r="BB38" s="13">
        <v>35824</v>
      </c>
    </row>
    <row r="39" spans="1:54" x14ac:dyDescent="0.4">
      <c r="A39" s="35" t="s">
        <v>14</v>
      </c>
      <c r="B39" s="16">
        <v>1838806</v>
      </c>
      <c r="C39" s="16">
        <v>1944070</v>
      </c>
      <c r="D39" s="16">
        <v>2007239</v>
      </c>
      <c r="E39" s="16">
        <v>2049738</v>
      </c>
      <c r="F39" s="16">
        <v>2128393</v>
      </c>
      <c r="G39" s="16">
        <v>2141043</v>
      </c>
      <c r="H39" s="16">
        <v>2121126</v>
      </c>
      <c r="I39" s="16">
        <v>2103239</v>
      </c>
      <c r="J39" s="16">
        <v>2730955</v>
      </c>
      <c r="K39" s="16">
        <v>3146386</v>
      </c>
      <c r="L39" s="16">
        <v>3350885</v>
      </c>
      <c r="M39" s="16">
        <v>3471126</v>
      </c>
      <c r="N39" s="16">
        <v>3684910</v>
      </c>
      <c r="O39" s="16">
        <v>3736125</v>
      </c>
      <c r="P39" s="16">
        <v>4052069</v>
      </c>
      <c r="Q39" s="16">
        <v>4274817</v>
      </c>
      <c r="R39" s="16">
        <v>5053705</v>
      </c>
      <c r="S39" s="16">
        <v>5149961</v>
      </c>
      <c r="T39" s="16">
        <v>5415418</v>
      </c>
      <c r="U39" s="16">
        <v>5729247</v>
      </c>
      <c r="V39" s="16">
        <v>6495674</v>
      </c>
      <c r="W39" s="16">
        <v>6643432</v>
      </c>
      <c r="X39" s="16">
        <v>6614874</v>
      </c>
      <c r="Y39" s="16">
        <v>6512345</v>
      </c>
      <c r="Z39" s="16">
        <v>6587027</v>
      </c>
      <c r="AA39" s="16">
        <v>6659045</v>
      </c>
      <c r="AB39" s="16">
        <v>6846076</v>
      </c>
      <c r="AC39" s="16">
        <v>6912226</v>
      </c>
      <c r="AD39" s="16">
        <v>7339413</v>
      </c>
      <c r="AE39" s="16">
        <v>7550232</v>
      </c>
      <c r="AF39" s="16">
        <v>7723015</v>
      </c>
      <c r="AG39" s="16">
        <v>7847425</v>
      </c>
      <c r="AH39" s="16">
        <v>9000121</v>
      </c>
      <c r="AI39" s="16">
        <v>8680674</v>
      </c>
      <c r="AJ39" s="16">
        <v>8575238</v>
      </c>
      <c r="AK39" s="16">
        <v>8960027</v>
      </c>
      <c r="AL39" s="16">
        <v>9145141</v>
      </c>
      <c r="AM39" s="13">
        <v>8749941</v>
      </c>
      <c r="AN39" s="13">
        <v>8637924</v>
      </c>
      <c r="AO39" s="13">
        <v>9007940</v>
      </c>
      <c r="AP39" s="13">
        <v>9248356</v>
      </c>
      <c r="AQ39" s="13">
        <v>9426380</v>
      </c>
      <c r="AR39" s="13">
        <v>9732291</v>
      </c>
      <c r="AS39" s="13">
        <v>9694762</v>
      </c>
      <c r="AT39" s="13">
        <v>9933241</v>
      </c>
      <c r="AU39" s="13">
        <v>10455713</v>
      </c>
      <c r="AV39" s="13">
        <v>10587861</v>
      </c>
      <c r="AW39" s="13">
        <v>11406712</v>
      </c>
      <c r="AX39" s="13">
        <v>12715010</v>
      </c>
      <c r="AY39" s="13">
        <v>13459946</v>
      </c>
      <c r="AZ39" s="13">
        <v>14539982</v>
      </c>
      <c r="BA39" s="13">
        <v>15644320</v>
      </c>
      <c r="BB39" s="13">
        <v>15875058</v>
      </c>
    </row>
    <row r="40" spans="1:54" x14ac:dyDescent="0.4">
      <c r="A40" s="35" t="s">
        <v>27</v>
      </c>
      <c r="B40" s="16"/>
      <c r="C40" s="16"/>
      <c r="D40" s="16"/>
      <c r="E40" s="16"/>
      <c r="F40" s="16"/>
      <c r="G40" s="16"/>
      <c r="H40" s="16"/>
      <c r="I40" s="16"/>
      <c r="J40" s="16"/>
      <c r="K40" s="16"/>
      <c r="L40" s="16"/>
      <c r="M40" s="16"/>
      <c r="N40" s="16"/>
      <c r="O40" s="16"/>
      <c r="P40" s="16"/>
      <c r="Q40" s="16"/>
      <c r="R40" s="16"/>
      <c r="S40" s="16"/>
      <c r="T40" s="16"/>
      <c r="U40" s="16"/>
      <c r="V40" s="16"/>
      <c r="W40" s="16"/>
      <c r="X40" s="16"/>
      <c r="Y40" s="16"/>
      <c r="Z40" s="16">
        <v>220923</v>
      </c>
      <c r="AA40" s="16">
        <v>283842</v>
      </c>
      <c r="AB40" s="16">
        <v>263777</v>
      </c>
      <c r="AC40" s="16">
        <v>203919</v>
      </c>
      <c r="AD40" s="16">
        <v>729469</v>
      </c>
      <c r="AE40" s="16">
        <v>1155546</v>
      </c>
      <c r="AF40" s="16">
        <v>1175385</v>
      </c>
      <c r="AG40" s="16">
        <v>1149453</v>
      </c>
      <c r="AH40" s="16">
        <v>666857</v>
      </c>
      <c r="AI40" s="16">
        <v>291076</v>
      </c>
      <c r="AJ40" s="16">
        <v>334516</v>
      </c>
      <c r="AK40" s="16">
        <v>393467</v>
      </c>
      <c r="AL40" s="16">
        <v>487705</v>
      </c>
      <c r="AM40" s="13">
        <v>565019</v>
      </c>
      <c r="AN40" s="13">
        <v>634026</v>
      </c>
      <c r="AO40" s="13">
        <v>599850</v>
      </c>
      <c r="AP40" s="13">
        <v>598752</v>
      </c>
      <c r="AQ40" s="13">
        <v>591892</v>
      </c>
      <c r="AR40" s="13">
        <v>509965</v>
      </c>
      <c r="AS40" s="13">
        <v>565443</v>
      </c>
      <c r="AT40" s="13">
        <v>811751</v>
      </c>
      <c r="AU40" s="13">
        <v>852491</v>
      </c>
      <c r="AV40" s="13">
        <v>944286</v>
      </c>
      <c r="AW40" s="13">
        <v>949459</v>
      </c>
      <c r="AX40" s="13">
        <v>1031127</v>
      </c>
      <c r="AY40" s="13">
        <v>1017844</v>
      </c>
      <c r="AZ40" s="13">
        <v>1362286</v>
      </c>
      <c r="BA40" s="13">
        <v>1734303</v>
      </c>
      <c r="BB40" s="13">
        <v>2391130</v>
      </c>
    </row>
    <row r="41" spans="1:54" x14ac:dyDescent="0.4">
      <c r="A41" s="35" t="s">
        <v>30</v>
      </c>
      <c r="B41" s="16"/>
      <c r="C41" s="16"/>
      <c r="D41" s="16"/>
      <c r="E41" s="16"/>
      <c r="F41" s="16"/>
      <c r="G41" s="16"/>
      <c r="H41" s="16"/>
      <c r="I41" s="16"/>
      <c r="J41" s="16"/>
      <c r="K41" s="16"/>
      <c r="L41" s="16"/>
      <c r="M41" s="16"/>
      <c r="N41" s="16"/>
      <c r="O41" s="16"/>
      <c r="P41" s="16"/>
      <c r="Q41" s="16"/>
      <c r="R41" s="16"/>
      <c r="S41" s="16"/>
      <c r="T41" s="16"/>
      <c r="U41" s="16"/>
      <c r="V41" s="16"/>
      <c r="W41" s="16"/>
      <c r="X41" s="16"/>
      <c r="Y41" s="16"/>
      <c r="Z41" s="16">
        <v>6366103</v>
      </c>
      <c r="AA41" s="16">
        <v>6375202</v>
      </c>
      <c r="AB41" s="16">
        <v>6582299</v>
      </c>
      <c r="AC41" s="16">
        <v>6708307</v>
      </c>
      <c r="AD41" s="16">
        <v>6609944</v>
      </c>
      <c r="AE41" s="16">
        <v>6394686</v>
      </c>
      <c r="AF41" s="16">
        <v>6547631</v>
      </c>
      <c r="AG41" s="16">
        <v>6697972</v>
      </c>
      <c r="AH41" s="16">
        <v>8333264</v>
      </c>
      <c r="AI41" s="16">
        <v>8389599</v>
      </c>
      <c r="AJ41" s="16">
        <v>8240722</v>
      </c>
      <c r="AK41" s="16">
        <v>8566560</v>
      </c>
      <c r="AL41" s="16">
        <v>8657437</v>
      </c>
      <c r="AM41" s="13">
        <v>8184922</v>
      </c>
      <c r="AN41" s="13">
        <v>8003898</v>
      </c>
      <c r="AO41" s="13">
        <v>8408089</v>
      </c>
      <c r="AP41" s="13">
        <v>8649604</v>
      </c>
      <c r="AQ41" s="13">
        <v>8834489</v>
      </c>
      <c r="AR41" s="13">
        <v>9222327</v>
      </c>
      <c r="AS41" s="13">
        <v>9129319</v>
      </c>
      <c r="AT41" s="13">
        <v>9121491</v>
      </c>
      <c r="AU41" s="13">
        <v>9603221</v>
      </c>
      <c r="AV41" s="13">
        <v>9643575</v>
      </c>
      <c r="AW41" s="13">
        <v>10457252</v>
      </c>
      <c r="AX41" s="13">
        <v>11683883</v>
      </c>
      <c r="AY41" s="13">
        <v>12442102</v>
      </c>
      <c r="AZ41" s="13">
        <v>13177696</v>
      </c>
      <c r="BA41" s="13">
        <v>13910017</v>
      </c>
      <c r="BB41" s="13">
        <v>13483928</v>
      </c>
    </row>
    <row r="42" spans="1:54" x14ac:dyDescent="0.4">
      <c r="A42" s="34" t="s">
        <v>8</v>
      </c>
      <c r="B42" s="16">
        <v>70482</v>
      </c>
      <c r="C42" s="16">
        <v>70554</v>
      </c>
      <c r="D42" s="16">
        <v>70540</v>
      </c>
      <c r="E42" s="16">
        <v>88005</v>
      </c>
      <c r="F42" s="16">
        <v>102981</v>
      </c>
      <c r="G42" s="16">
        <v>102786</v>
      </c>
      <c r="H42" s="16">
        <v>100939</v>
      </c>
      <c r="I42" s="16">
        <v>100694</v>
      </c>
      <c r="J42" s="16">
        <v>104592</v>
      </c>
      <c r="K42" s="16">
        <v>104139</v>
      </c>
      <c r="L42" s="16">
        <v>107943</v>
      </c>
      <c r="M42" s="16">
        <v>108313</v>
      </c>
      <c r="N42" s="16">
        <v>111446</v>
      </c>
      <c r="O42" s="16">
        <v>114411</v>
      </c>
      <c r="P42" s="16">
        <v>113656</v>
      </c>
      <c r="Q42" s="16">
        <v>114399</v>
      </c>
      <c r="R42" s="16">
        <v>109409</v>
      </c>
      <c r="S42" s="16">
        <v>109305</v>
      </c>
      <c r="T42" s="16">
        <v>119606</v>
      </c>
      <c r="U42" s="16">
        <v>119728</v>
      </c>
      <c r="V42" s="16">
        <v>107091</v>
      </c>
      <c r="W42" s="16">
        <v>107541</v>
      </c>
      <c r="X42" s="16">
        <v>107203</v>
      </c>
      <c r="Y42" s="16">
        <v>109543</v>
      </c>
      <c r="Z42" s="16">
        <v>107636</v>
      </c>
      <c r="AA42" s="16">
        <v>102856</v>
      </c>
      <c r="AB42" s="16">
        <v>102974</v>
      </c>
      <c r="AC42" s="16">
        <v>110300</v>
      </c>
      <c r="AD42" s="16">
        <v>122960</v>
      </c>
      <c r="AE42" s="16">
        <v>120856</v>
      </c>
      <c r="AF42" s="16">
        <v>161911</v>
      </c>
      <c r="AG42" s="16">
        <v>151388</v>
      </c>
      <c r="AH42" s="16">
        <v>134901</v>
      </c>
      <c r="AI42" s="16">
        <v>130661</v>
      </c>
      <c r="AJ42" s="16">
        <v>121063</v>
      </c>
      <c r="AK42" s="16">
        <v>120463</v>
      </c>
      <c r="AL42" s="16">
        <v>104581</v>
      </c>
      <c r="AM42" s="13">
        <v>102294</v>
      </c>
      <c r="AN42" s="13">
        <v>111040</v>
      </c>
      <c r="AO42" s="13">
        <v>205067</v>
      </c>
      <c r="AP42" s="13">
        <v>240715</v>
      </c>
      <c r="AQ42" s="13">
        <v>196528</v>
      </c>
      <c r="AR42" s="13">
        <v>184968</v>
      </c>
      <c r="AS42" s="13">
        <v>203435</v>
      </c>
      <c r="AT42" s="13">
        <v>212374</v>
      </c>
      <c r="AU42" s="13">
        <v>245201</v>
      </c>
      <c r="AV42" s="13">
        <v>226447</v>
      </c>
      <c r="AW42" s="13">
        <v>228102</v>
      </c>
      <c r="AX42" s="13">
        <v>232842</v>
      </c>
      <c r="AY42" s="13">
        <v>217818</v>
      </c>
      <c r="AZ42" s="13">
        <v>199942</v>
      </c>
      <c r="BA42" s="13">
        <v>207088</v>
      </c>
      <c r="BB42" s="13">
        <v>195354</v>
      </c>
    </row>
    <row r="43" spans="1:54" x14ac:dyDescent="0.4">
      <c r="A43" s="35" t="s">
        <v>13</v>
      </c>
      <c r="B43" s="16">
        <v>13090</v>
      </c>
      <c r="C43" s="16">
        <v>13075</v>
      </c>
      <c r="D43" s="16">
        <v>13034</v>
      </c>
      <c r="E43" s="16">
        <v>13038</v>
      </c>
      <c r="F43" s="16">
        <v>0</v>
      </c>
      <c r="G43" s="16">
        <v>0</v>
      </c>
      <c r="H43" s="16">
        <v>0</v>
      </c>
      <c r="I43" s="16">
        <v>0</v>
      </c>
      <c r="J43" s="16">
        <v>0</v>
      </c>
      <c r="K43" s="16">
        <v>0</v>
      </c>
      <c r="L43" s="16">
        <v>0</v>
      </c>
      <c r="M43" s="16">
        <v>0</v>
      </c>
      <c r="N43" s="16">
        <v>0</v>
      </c>
      <c r="O43" s="16">
        <v>3000</v>
      </c>
      <c r="P43" s="16">
        <v>3000</v>
      </c>
      <c r="Q43" s="16">
        <v>3000</v>
      </c>
      <c r="R43" s="16">
        <v>3000</v>
      </c>
      <c r="S43" s="16">
        <v>13000</v>
      </c>
      <c r="T43" s="16">
        <v>0</v>
      </c>
      <c r="U43" s="16">
        <v>3000</v>
      </c>
      <c r="V43" s="16">
        <v>0</v>
      </c>
      <c r="W43" s="16">
        <v>0</v>
      </c>
      <c r="X43" s="16">
        <v>0</v>
      </c>
      <c r="Y43" s="16">
        <v>0</v>
      </c>
      <c r="Z43" s="16">
        <v>0</v>
      </c>
      <c r="AA43" s="16">
        <v>0</v>
      </c>
      <c r="AB43" s="16">
        <v>0</v>
      </c>
      <c r="AC43" s="16">
        <v>2000</v>
      </c>
      <c r="AD43" s="16">
        <v>3000</v>
      </c>
      <c r="AE43" s="16">
        <v>0</v>
      </c>
      <c r="AF43" s="16">
        <v>0</v>
      </c>
      <c r="AG43" s="16">
        <v>0</v>
      </c>
      <c r="AH43" s="16">
        <v>0</v>
      </c>
      <c r="AI43" s="16">
        <v>0</v>
      </c>
      <c r="AJ43" s="16">
        <v>0</v>
      </c>
      <c r="AK43" s="16">
        <v>0</v>
      </c>
      <c r="AL43" s="16">
        <v>0</v>
      </c>
      <c r="AM43" s="16">
        <v>0</v>
      </c>
      <c r="AN43" s="16">
        <v>0</v>
      </c>
      <c r="AO43" s="13">
        <v>43395</v>
      </c>
      <c r="AP43" s="16">
        <v>44327</v>
      </c>
      <c r="AQ43" s="16">
        <v>0</v>
      </c>
      <c r="AR43" s="16">
        <v>0</v>
      </c>
      <c r="AS43" s="16">
        <v>0</v>
      </c>
      <c r="AT43" s="13">
        <v>0</v>
      </c>
      <c r="AU43" s="13">
        <v>0</v>
      </c>
      <c r="AV43" s="13">
        <v>0</v>
      </c>
      <c r="AW43" s="13">
        <v>0</v>
      </c>
      <c r="AX43" s="13">
        <v>0</v>
      </c>
      <c r="AY43" s="13">
        <v>0</v>
      </c>
      <c r="AZ43" s="13">
        <v>0</v>
      </c>
      <c r="BA43" s="13">
        <v>0</v>
      </c>
      <c r="BB43" s="13">
        <v>0</v>
      </c>
    </row>
    <row r="44" spans="1:54" x14ac:dyDescent="0.4">
      <c r="A44" s="34" t="s">
        <v>19</v>
      </c>
      <c r="B44" s="16">
        <v>57392</v>
      </c>
      <c r="C44" s="16">
        <v>57479</v>
      </c>
      <c r="D44" s="16">
        <v>57507</v>
      </c>
      <c r="E44" s="16">
        <v>74968</v>
      </c>
      <c r="F44" s="16">
        <v>102981</v>
      </c>
      <c r="G44" s="16">
        <v>102786</v>
      </c>
      <c r="H44" s="16">
        <v>100939</v>
      </c>
      <c r="I44" s="16">
        <v>100694</v>
      </c>
      <c r="J44" s="16">
        <v>104592</v>
      </c>
      <c r="K44" s="16">
        <v>104139</v>
      </c>
      <c r="L44" s="16">
        <v>107943</v>
      </c>
      <c r="M44" s="16">
        <v>108313</v>
      </c>
      <c r="N44" s="16">
        <v>111446</v>
      </c>
      <c r="O44" s="16">
        <v>111411</v>
      </c>
      <c r="P44" s="16">
        <v>110656</v>
      </c>
      <c r="Q44" s="16">
        <v>111399</v>
      </c>
      <c r="R44" s="16">
        <v>106409</v>
      </c>
      <c r="S44" s="16">
        <v>96305</v>
      </c>
      <c r="T44" s="16">
        <v>119606</v>
      </c>
      <c r="U44" s="16">
        <v>116728</v>
      </c>
      <c r="V44" s="16">
        <v>107091</v>
      </c>
      <c r="W44" s="16">
        <v>107541</v>
      </c>
      <c r="X44" s="16">
        <v>107203</v>
      </c>
      <c r="Y44" s="16">
        <v>109543</v>
      </c>
      <c r="Z44" s="16">
        <v>107636</v>
      </c>
      <c r="AA44" s="16">
        <v>102856</v>
      </c>
      <c r="AB44" s="16">
        <v>102974</v>
      </c>
      <c r="AC44" s="16">
        <v>108300</v>
      </c>
      <c r="AD44" s="16">
        <v>119960</v>
      </c>
      <c r="AE44" s="16">
        <v>120856</v>
      </c>
      <c r="AF44" s="16">
        <v>161911</v>
      </c>
      <c r="AG44" s="16">
        <v>151388</v>
      </c>
      <c r="AH44" s="16">
        <v>134901</v>
      </c>
      <c r="AI44" s="16">
        <v>130661</v>
      </c>
      <c r="AJ44" s="16">
        <v>121063</v>
      </c>
      <c r="AK44" s="16">
        <v>120463</v>
      </c>
      <c r="AL44" s="16">
        <v>104581</v>
      </c>
      <c r="AM44" s="13">
        <v>102294</v>
      </c>
      <c r="AN44" s="13">
        <v>111040</v>
      </c>
      <c r="AO44" s="13">
        <v>161672</v>
      </c>
      <c r="AP44" s="13">
        <v>196388</v>
      </c>
      <c r="AQ44" s="13">
        <v>196528</v>
      </c>
      <c r="AR44" s="13">
        <v>184968</v>
      </c>
      <c r="AS44" s="13">
        <v>203435</v>
      </c>
      <c r="AT44" s="13">
        <v>212374</v>
      </c>
      <c r="AU44" s="13">
        <v>245201</v>
      </c>
      <c r="AV44" s="13">
        <v>226447</v>
      </c>
      <c r="AW44" s="13">
        <v>228102</v>
      </c>
      <c r="AX44" s="13">
        <v>232842</v>
      </c>
      <c r="AY44" s="13">
        <v>217818</v>
      </c>
      <c r="AZ44" s="13">
        <v>199942</v>
      </c>
      <c r="BA44" s="13">
        <v>207088</v>
      </c>
      <c r="BB44" s="13">
        <v>195354</v>
      </c>
    </row>
    <row r="45" spans="1:54" x14ac:dyDescent="0.4">
      <c r="A45" s="35" t="s">
        <v>27</v>
      </c>
      <c r="B45" s="16"/>
      <c r="C45" s="16"/>
      <c r="D45" s="16"/>
      <c r="E45" s="16"/>
      <c r="F45" s="16"/>
      <c r="G45" s="16"/>
      <c r="H45" s="16"/>
      <c r="I45" s="16"/>
      <c r="J45" s="16"/>
      <c r="K45" s="16"/>
      <c r="L45" s="16"/>
      <c r="M45" s="16"/>
      <c r="N45" s="16"/>
      <c r="O45" s="16"/>
      <c r="P45" s="16"/>
      <c r="Q45" s="16"/>
      <c r="R45" s="16"/>
      <c r="S45" s="16"/>
      <c r="T45" s="16"/>
      <c r="U45" s="16"/>
      <c r="V45" s="16"/>
      <c r="W45" s="16"/>
      <c r="X45" s="16"/>
      <c r="Y45" s="16"/>
      <c r="Z45" s="16">
        <v>10000</v>
      </c>
      <c r="AA45" s="16">
        <v>0</v>
      </c>
      <c r="AB45" s="16">
        <v>0</v>
      </c>
      <c r="AC45" s="16">
        <v>15000</v>
      </c>
      <c r="AD45" s="16">
        <v>20102</v>
      </c>
      <c r="AE45" s="16">
        <v>25469</v>
      </c>
      <c r="AF45" s="16">
        <v>36015</v>
      </c>
      <c r="AG45" s="16">
        <v>20794</v>
      </c>
      <c r="AH45" s="16">
        <v>29715</v>
      </c>
      <c r="AI45" s="16">
        <v>24671</v>
      </c>
      <c r="AJ45" s="16">
        <v>14300</v>
      </c>
      <c r="AK45" s="16">
        <v>14300</v>
      </c>
      <c r="AL45" s="16">
        <v>0</v>
      </c>
      <c r="AM45" s="13">
        <v>14065</v>
      </c>
      <c r="AN45" s="13">
        <v>34145</v>
      </c>
      <c r="AO45" s="13">
        <v>34287</v>
      </c>
      <c r="AP45" s="13">
        <v>34456</v>
      </c>
      <c r="AQ45" s="13">
        <v>20361</v>
      </c>
      <c r="AR45" s="13">
        <v>11959</v>
      </c>
      <c r="AS45" s="13">
        <v>11684</v>
      </c>
      <c r="AT45" s="13">
        <v>18942</v>
      </c>
      <c r="AU45" s="13">
        <v>23977</v>
      </c>
      <c r="AV45" s="13">
        <v>25046</v>
      </c>
      <c r="AW45" s="13">
        <v>34236</v>
      </c>
      <c r="AX45" s="13">
        <v>31296</v>
      </c>
      <c r="AY45" s="13">
        <v>35052</v>
      </c>
      <c r="AZ45" s="13">
        <v>23024</v>
      </c>
      <c r="BA45" s="13">
        <v>12260</v>
      </c>
      <c r="BB45" s="13">
        <v>14435</v>
      </c>
    </row>
    <row r="46" spans="1:54" x14ac:dyDescent="0.4">
      <c r="A46" s="35" t="s">
        <v>30</v>
      </c>
      <c r="B46" s="16"/>
      <c r="C46" s="16"/>
      <c r="D46" s="16"/>
      <c r="E46" s="16"/>
      <c r="F46" s="16"/>
      <c r="G46" s="16"/>
      <c r="H46" s="16"/>
      <c r="I46" s="16"/>
      <c r="J46" s="16"/>
      <c r="K46" s="16"/>
      <c r="L46" s="16"/>
      <c r="M46" s="16"/>
      <c r="N46" s="16"/>
      <c r="O46" s="16"/>
      <c r="P46" s="16"/>
      <c r="Q46" s="16"/>
      <c r="R46" s="16"/>
      <c r="S46" s="16"/>
      <c r="T46" s="16"/>
      <c r="U46" s="16"/>
      <c r="V46" s="16"/>
      <c r="W46" s="16"/>
      <c r="X46" s="16"/>
      <c r="Y46" s="16"/>
      <c r="Z46" s="16">
        <v>97636</v>
      </c>
      <c r="AA46" s="16">
        <v>102856</v>
      </c>
      <c r="AB46" s="16">
        <v>102974</v>
      </c>
      <c r="AC46" s="16">
        <v>93300</v>
      </c>
      <c r="AD46" s="16">
        <v>99858</v>
      </c>
      <c r="AE46" s="16">
        <v>95387</v>
      </c>
      <c r="AF46" s="16">
        <v>125896</v>
      </c>
      <c r="AG46" s="16">
        <v>130594</v>
      </c>
      <c r="AH46" s="16">
        <v>105186</v>
      </c>
      <c r="AI46" s="16">
        <v>105990</v>
      </c>
      <c r="AJ46" s="16">
        <v>106763</v>
      </c>
      <c r="AK46" s="16">
        <v>106163</v>
      </c>
      <c r="AL46" s="16">
        <v>104581</v>
      </c>
      <c r="AM46" s="13">
        <v>88229</v>
      </c>
      <c r="AN46" s="13">
        <v>76896</v>
      </c>
      <c r="AO46" s="13">
        <v>127385</v>
      </c>
      <c r="AP46" s="13">
        <v>161932</v>
      </c>
      <c r="AQ46" s="13">
        <v>176167</v>
      </c>
      <c r="AR46" s="13">
        <v>173009</v>
      </c>
      <c r="AS46" s="13">
        <v>191751</v>
      </c>
      <c r="AT46" s="13">
        <v>193433</v>
      </c>
      <c r="AU46" s="13">
        <v>221224</v>
      </c>
      <c r="AV46" s="13">
        <v>201402</v>
      </c>
      <c r="AW46" s="13">
        <v>193866</v>
      </c>
      <c r="AX46" s="13">
        <v>201547</v>
      </c>
      <c r="AY46" s="13">
        <v>182765</v>
      </c>
      <c r="AZ46" s="13">
        <v>176918</v>
      </c>
      <c r="BA46" s="13">
        <v>194828</v>
      </c>
      <c r="BB46" s="13">
        <v>180919</v>
      </c>
    </row>
    <row r="47" spans="1:54" x14ac:dyDescent="0.4">
      <c r="A47" s="24"/>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16"/>
      <c r="AL47" s="16"/>
    </row>
    <row r="48" spans="1:54" x14ac:dyDescent="0.4">
      <c r="A48" s="31" t="s">
        <v>16</v>
      </c>
      <c r="B48" s="23"/>
      <c r="C48" s="23"/>
      <c r="D48" s="23"/>
      <c r="E48" s="23"/>
      <c r="F48" s="23"/>
      <c r="G48" s="23"/>
      <c r="H48" s="23"/>
      <c r="I48" s="23"/>
      <c r="J48" s="23"/>
      <c r="K48" s="23"/>
      <c r="L48" s="23"/>
      <c r="M48" s="23"/>
      <c r="N48" s="23"/>
      <c r="O48" s="23"/>
      <c r="P48" s="23"/>
      <c r="Q48" s="23"/>
      <c r="R48" s="23"/>
      <c r="S48" s="23"/>
      <c r="T48" s="23"/>
      <c r="U48" s="23"/>
      <c r="V48" s="23"/>
      <c r="W48" s="23"/>
      <c r="X48" s="23"/>
      <c r="AK48" s="16"/>
      <c r="AL48" s="16"/>
    </row>
    <row r="49" spans="1:54" x14ac:dyDescent="0.4">
      <c r="A49" s="32" t="s">
        <v>2</v>
      </c>
      <c r="B49" s="27">
        <v>8477393</v>
      </c>
      <c r="C49" s="27">
        <v>8582714</v>
      </c>
      <c r="D49" s="27">
        <v>8878893</v>
      </c>
      <c r="E49" s="27">
        <v>9247370</v>
      </c>
      <c r="F49" s="27">
        <v>9725481</v>
      </c>
      <c r="G49" s="27">
        <v>9833790</v>
      </c>
      <c r="H49" s="27">
        <v>9922186</v>
      </c>
      <c r="I49" s="27">
        <v>10104401</v>
      </c>
      <c r="J49" s="27">
        <v>11856690</v>
      </c>
      <c r="K49" s="27">
        <v>12215465</v>
      </c>
      <c r="L49" s="27">
        <v>12643250</v>
      </c>
      <c r="M49" s="27">
        <v>12805366</v>
      </c>
      <c r="N49" s="27">
        <v>13201506</v>
      </c>
      <c r="O49" s="27">
        <v>13237814</v>
      </c>
      <c r="P49" s="27">
        <v>13820072</v>
      </c>
      <c r="Q49" s="27">
        <v>13970373</v>
      </c>
      <c r="R49" s="27">
        <v>15106536</v>
      </c>
      <c r="S49" s="27">
        <v>15697843</v>
      </c>
      <c r="T49" s="27">
        <v>16450569</v>
      </c>
      <c r="U49" s="27">
        <v>17295806</v>
      </c>
      <c r="V49" s="27">
        <v>18566837</v>
      </c>
      <c r="W49" s="27">
        <v>19700884</v>
      </c>
      <c r="X49" s="27">
        <v>19785319</v>
      </c>
      <c r="Y49" s="27">
        <v>20050838</v>
      </c>
      <c r="Z49" s="27">
        <v>20255792</v>
      </c>
      <c r="AA49" s="27">
        <v>21157038</v>
      </c>
      <c r="AB49" s="27">
        <v>22438007</v>
      </c>
      <c r="AC49" s="27">
        <v>22195814</v>
      </c>
      <c r="AD49" s="27">
        <v>24298589</v>
      </c>
      <c r="AE49" s="27">
        <v>24458602</v>
      </c>
      <c r="AF49" s="27">
        <v>24864985</v>
      </c>
      <c r="AG49" s="27">
        <v>26473976</v>
      </c>
      <c r="AH49" s="27">
        <v>30571855</v>
      </c>
      <c r="AI49" s="27">
        <v>30879000</v>
      </c>
      <c r="AJ49" s="27">
        <v>31662434</v>
      </c>
      <c r="AK49" s="27">
        <v>32440728</v>
      </c>
      <c r="AL49" s="27">
        <v>32000665</v>
      </c>
      <c r="AM49" s="22">
        <v>31165903</v>
      </c>
      <c r="AN49" s="22">
        <v>31592960</v>
      </c>
      <c r="AO49" s="25">
        <v>31650625</v>
      </c>
      <c r="AP49" s="22">
        <v>34859408</v>
      </c>
      <c r="AQ49" s="22">
        <v>35421556</v>
      </c>
      <c r="AR49" s="22">
        <v>36807611</v>
      </c>
      <c r="AS49" s="22">
        <v>37809206</v>
      </c>
      <c r="AT49" s="25">
        <v>39719625</v>
      </c>
      <c r="AU49" s="25">
        <v>40590196</v>
      </c>
      <c r="AV49" s="25">
        <v>40969449</v>
      </c>
      <c r="AW49" s="25">
        <v>42351322</v>
      </c>
      <c r="AX49" s="25">
        <v>46878792</v>
      </c>
      <c r="AY49" s="25">
        <v>49281021</v>
      </c>
      <c r="AZ49" s="25">
        <v>52053826</v>
      </c>
      <c r="BA49" s="25">
        <v>54421038</v>
      </c>
      <c r="BB49" s="25">
        <v>59426404</v>
      </c>
    </row>
    <row r="50" spans="1:54" x14ac:dyDescent="0.4">
      <c r="A50" s="33" t="s">
        <v>13</v>
      </c>
      <c r="B50" s="27">
        <v>13090</v>
      </c>
      <c r="C50" s="27">
        <v>15075</v>
      </c>
      <c r="D50" s="27">
        <v>15034</v>
      </c>
      <c r="E50" s="27">
        <v>15038</v>
      </c>
      <c r="F50" s="27">
        <v>2000</v>
      </c>
      <c r="G50" s="27">
        <v>873</v>
      </c>
      <c r="H50" s="27">
        <v>15949</v>
      </c>
      <c r="I50" s="27">
        <v>15855</v>
      </c>
      <c r="J50" s="27">
        <v>0</v>
      </c>
      <c r="K50" s="27">
        <v>0</v>
      </c>
      <c r="L50" s="27">
        <v>0</v>
      </c>
      <c r="M50" s="27">
        <v>0</v>
      </c>
      <c r="N50" s="27">
        <v>0</v>
      </c>
      <c r="O50" s="27">
        <v>3000</v>
      </c>
      <c r="P50" s="27">
        <v>3000</v>
      </c>
      <c r="Q50" s="27">
        <v>3100</v>
      </c>
      <c r="R50" s="27">
        <v>4086</v>
      </c>
      <c r="S50" s="27">
        <v>71398</v>
      </c>
      <c r="T50" s="27">
        <v>81812</v>
      </c>
      <c r="U50" s="27">
        <v>165491</v>
      </c>
      <c r="V50" s="27">
        <v>400383</v>
      </c>
      <c r="W50" s="27">
        <v>1226240</v>
      </c>
      <c r="X50" s="27">
        <v>1196047</v>
      </c>
      <c r="Y50" s="27">
        <v>1540052</v>
      </c>
      <c r="Z50" s="27">
        <v>1395847</v>
      </c>
      <c r="AA50" s="27">
        <v>1537762</v>
      </c>
      <c r="AB50" s="27">
        <v>1814205</v>
      </c>
      <c r="AC50" s="27">
        <v>982080</v>
      </c>
      <c r="AD50" s="27">
        <v>2115253</v>
      </c>
      <c r="AE50" s="27">
        <v>1712256</v>
      </c>
      <c r="AF50" s="27">
        <v>871666</v>
      </c>
      <c r="AG50" s="27">
        <v>958109</v>
      </c>
      <c r="AH50" s="27">
        <v>707368</v>
      </c>
      <c r="AI50" s="27">
        <v>756547</v>
      </c>
      <c r="AJ50" s="27">
        <v>724043</v>
      </c>
      <c r="AK50" s="27">
        <v>691083</v>
      </c>
      <c r="AL50" s="27">
        <v>147848</v>
      </c>
      <c r="AM50" s="22">
        <v>135049</v>
      </c>
      <c r="AN50" s="22">
        <v>134849</v>
      </c>
      <c r="AO50" s="25">
        <v>229279</v>
      </c>
      <c r="AP50" s="22">
        <v>142044</v>
      </c>
      <c r="AQ50" s="22">
        <v>122388</v>
      </c>
      <c r="AR50" s="22">
        <v>152684</v>
      </c>
      <c r="AS50" s="22">
        <v>291639</v>
      </c>
      <c r="AT50" s="25">
        <v>289081</v>
      </c>
      <c r="AU50" s="25">
        <v>370180</v>
      </c>
      <c r="AV50" s="25">
        <v>344986</v>
      </c>
      <c r="AW50" s="25">
        <v>274199</v>
      </c>
      <c r="AX50" s="25">
        <v>389799</v>
      </c>
      <c r="AY50" s="25">
        <v>425567</v>
      </c>
      <c r="AZ50" s="25">
        <v>430253</v>
      </c>
      <c r="BA50" s="25">
        <v>440817</v>
      </c>
      <c r="BB50" s="25">
        <v>382338</v>
      </c>
    </row>
    <row r="51" spans="1:54" x14ac:dyDescent="0.4">
      <c r="A51" s="33" t="s">
        <v>14</v>
      </c>
      <c r="B51" s="27">
        <v>8464303</v>
      </c>
      <c r="C51" s="27">
        <v>8567639</v>
      </c>
      <c r="D51" s="27">
        <v>8863859</v>
      </c>
      <c r="E51" s="27">
        <v>9232332</v>
      </c>
      <c r="F51" s="27">
        <v>9723481</v>
      </c>
      <c r="G51" s="27">
        <v>9832917</v>
      </c>
      <c r="H51" s="27">
        <v>9906236</v>
      </c>
      <c r="I51" s="27">
        <v>10088546</v>
      </c>
      <c r="J51" s="27">
        <v>11856690</v>
      </c>
      <c r="K51" s="27">
        <v>12215465</v>
      </c>
      <c r="L51" s="27">
        <v>12643250</v>
      </c>
      <c r="M51" s="27">
        <v>12805366</v>
      </c>
      <c r="N51" s="27">
        <v>13201506</v>
      </c>
      <c r="O51" s="27">
        <v>13234814</v>
      </c>
      <c r="P51" s="27">
        <v>13817072</v>
      </c>
      <c r="Q51" s="27">
        <v>13967273</v>
      </c>
      <c r="R51" s="27">
        <v>15102450</v>
      </c>
      <c r="S51" s="27">
        <v>15626445</v>
      </c>
      <c r="T51" s="27">
        <v>16368757</v>
      </c>
      <c r="U51" s="27">
        <v>17130315</v>
      </c>
      <c r="V51" s="27">
        <v>18166454</v>
      </c>
      <c r="W51" s="27">
        <v>18474644</v>
      </c>
      <c r="X51" s="27">
        <v>18589272</v>
      </c>
      <c r="Y51" s="27">
        <v>18510786</v>
      </c>
      <c r="Z51" s="27">
        <v>18859946</v>
      </c>
      <c r="AA51" s="27">
        <v>19619276</v>
      </c>
      <c r="AB51" s="27">
        <v>20623803</v>
      </c>
      <c r="AC51" s="27">
        <v>21213734</v>
      </c>
      <c r="AD51" s="27">
        <v>22183336</v>
      </c>
      <c r="AE51" s="27">
        <v>22746346</v>
      </c>
      <c r="AF51" s="27">
        <v>23993319</v>
      </c>
      <c r="AG51" s="27">
        <v>25515867</v>
      </c>
      <c r="AH51" s="27">
        <v>29864487</v>
      </c>
      <c r="AI51" s="27">
        <v>30122453</v>
      </c>
      <c r="AJ51" s="27">
        <v>30938390</v>
      </c>
      <c r="AK51" s="27">
        <v>31749646</v>
      </c>
      <c r="AL51" s="27">
        <v>31852818</v>
      </c>
      <c r="AM51" s="22">
        <v>31030854</v>
      </c>
      <c r="AN51" s="22">
        <v>31458110</v>
      </c>
      <c r="AO51" s="25">
        <v>31421347</v>
      </c>
      <c r="AP51" s="22">
        <v>34717364</v>
      </c>
      <c r="AQ51" s="22">
        <v>35299168</v>
      </c>
      <c r="AR51" s="22">
        <v>36654927</v>
      </c>
      <c r="AS51" s="22">
        <v>37517567</v>
      </c>
      <c r="AT51" s="25">
        <v>39430544</v>
      </c>
      <c r="AU51" s="25">
        <v>40220016</v>
      </c>
      <c r="AV51" s="25">
        <v>40624463</v>
      </c>
      <c r="AW51" s="25">
        <v>42077123</v>
      </c>
      <c r="AX51" s="25">
        <v>46488993</v>
      </c>
      <c r="AY51" s="25">
        <v>48855454</v>
      </c>
      <c r="AZ51" s="25">
        <v>51623573</v>
      </c>
      <c r="BA51" s="25">
        <v>53980221</v>
      </c>
      <c r="BB51" s="25">
        <v>59044066</v>
      </c>
    </row>
    <row r="52" spans="1:54" x14ac:dyDescent="0.4">
      <c r="A52" s="33" t="s">
        <v>27</v>
      </c>
      <c r="B52" s="27"/>
      <c r="C52" s="27"/>
      <c r="D52" s="27"/>
      <c r="E52" s="27"/>
      <c r="F52" s="27"/>
      <c r="G52" s="27"/>
      <c r="H52" s="27"/>
      <c r="I52" s="27"/>
      <c r="J52" s="27"/>
      <c r="K52" s="27"/>
      <c r="L52" s="27"/>
      <c r="M52" s="27"/>
      <c r="N52" s="27"/>
      <c r="O52" s="27"/>
      <c r="P52" s="27"/>
      <c r="Q52" s="27"/>
      <c r="R52" s="27"/>
      <c r="S52" s="27"/>
      <c r="T52" s="27"/>
      <c r="U52" s="27"/>
      <c r="V52" s="27"/>
      <c r="W52" s="27"/>
      <c r="X52" s="27"/>
      <c r="Y52" s="27"/>
      <c r="Z52" s="27">
        <v>1225139</v>
      </c>
      <c r="AA52" s="27">
        <v>1393854</v>
      </c>
      <c r="AB52" s="27">
        <v>1449462</v>
      </c>
      <c r="AC52" s="27">
        <v>1392468</v>
      </c>
      <c r="AD52" s="27">
        <v>1714165</v>
      </c>
      <c r="AE52" s="27">
        <v>2085366</v>
      </c>
      <c r="AF52" s="27">
        <v>2270029</v>
      </c>
      <c r="AG52" s="27">
        <v>2630259</v>
      </c>
      <c r="AH52" s="27">
        <v>2591011</v>
      </c>
      <c r="AI52" s="27">
        <v>2158088</v>
      </c>
      <c r="AJ52" s="27">
        <v>1841052</v>
      </c>
      <c r="AK52" s="27">
        <v>1973168</v>
      </c>
      <c r="AL52" s="27">
        <v>2202722</v>
      </c>
      <c r="AM52" s="22">
        <v>2399272</v>
      </c>
      <c r="AN52" s="22">
        <v>2523832</v>
      </c>
      <c r="AO52" s="25">
        <v>2617176</v>
      </c>
      <c r="AP52" s="22">
        <v>2297332</v>
      </c>
      <c r="AQ52" s="22">
        <v>2497784</v>
      </c>
      <c r="AR52" s="22">
        <v>2697558</v>
      </c>
      <c r="AS52" s="22">
        <v>2702897</v>
      </c>
      <c r="AT52" s="25">
        <v>3135668</v>
      </c>
      <c r="AU52" s="25">
        <v>3286999</v>
      </c>
      <c r="AV52" s="25">
        <v>3063886</v>
      </c>
      <c r="AW52" s="25">
        <v>3207448</v>
      </c>
      <c r="AX52" s="25">
        <v>3216676</v>
      </c>
      <c r="AY52" s="25">
        <v>3106490</v>
      </c>
      <c r="AZ52" s="25">
        <v>3599710</v>
      </c>
      <c r="BA52" s="25">
        <v>4177142</v>
      </c>
      <c r="BB52" s="25">
        <v>4905495</v>
      </c>
    </row>
    <row r="53" spans="1:54" x14ac:dyDescent="0.4">
      <c r="A53" s="33" t="s">
        <v>30</v>
      </c>
      <c r="B53" s="27"/>
      <c r="C53" s="27"/>
      <c r="D53" s="27"/>
      <c r="E53" s="27"/>
      <c r="F53" s="27"/>
      <c r="G53" s="27"/>
      <c r="H53" s="27"/>
      <c r="I53" s="27"/>
      <c r="J53" s="27"/>
      <c r="K53" s="27"/>
      <c r="L53" s="27"/>
      <c r="M53" s="27"/>
      <c r="N53" s="27"/>
      <c r="O53" s="27"/>
      <c r="P53" s="27"/>
      <c r="Q53" s="27"/>
      <c r="R53" s="27"/>
      <c r="S53" s="27"/>
      <c r="T53" s="27"/>
      <c r="U53" s="27"/>
      <c r="V53" s="27"/>
      <c r="W53" s="27"/>
      <c r="X53" s="27"/>
      <c r="Y53" s="27"/>
      <c r="Z53" s="27">
        <v>17634807</v>
      </c>
      <c r="AA53" s="27">
        <v>18225422</v>
      </c>
      <c r="AB53" s="27">
        <v>19174341</v>
      </c>
      <c r="AC53" s="27">
        <v>19821266</v>
      </c>
      <c r="AD53" s="27">
        <v>20469171</v>
      </c>
      <c r="AE53" s="27">
        <v>20660979</v>
      </c>
      <c r="AF53" s="27">
        <v>21723291</v>
      </c>
      <c r="AG53" s="27">
        <v>22885609</v>
      </c>
      <c r="AH53" s="27">
        <v>27273476</v>
      </c>
      <c r="AI53" s="27">
        <v>27964366</v>
      </c>
      <c r="AJ53" s="27">
        <v>29097338</v>
      </c>
      <c r="AK53" s="27">
        <v>29776477</v>
      </c>
      <c r="AL53" s="27">
        <v>29650095</v>
      </c>
      <c r="AM53" s="22">
        <v>28631581</v>
      </c>
      <c r="AN53" s="22">
        <v>28934278</v>
      </c>
      <c r="AO53" s="25">
        <v>28804171</v>
      </c>
      <c r="AP53" s="22">
        <v>32420032</v>
      </c>
      <c r="AQ53" s="22">
        <v>32801384</v>
      </c>
      <c r="AR53" s="22">
        <v>33957369</v>
      </c>
      <c r="AS53" s="22">
        <v>34814670</v>
      </c>
      <c r="AT53" s="25">
        <v>36294876</v>
      </c>
      <c r="AU53" s="25">
        <v>36933017</v>
      </c>
      <c r="AV53" s="25">
        <v>37560576</v>
      </c>
      <c r="AW53" s="25">
        <v>38869675</v>
      </c>
      <c r="AX53" s="25">
        <v>43272317</v>
      </c>
      <c r="AY53" s="25">
        <v>45748964</v>
      </c>
      <c r="AZ53" s="25">
        <v>48023862</v>
      </c>
      <c r="BA53" s="25">
        <v>49803079</v>
      </c>
      <c r="BB53" s="25">
        <v>54138571</v>
      </c>
    </row>
    <row r="54" spans="1:54" x14ac:dyDescent="0.4">
      <c r="A54" s="34" t="s">
        <v>11</v>
      </c>
      <c r="B54" s="16">
        <v>0</v>
      </c>
      <c r="C54" s="16">
        <v>0</v>
      </c>
      <c r="D54" s="16">
        <v>0</v>
      </c>
      <c r="E54" s="16">
        <v>0</v>
      </c>
      <c r="F54" s="16">
        <v>0</v>
      </c>
      <c r="G54" s="16">
        <v>0</v>
      </c>
      <c r="H54" s="16">
        <v>0</v>
      </c>
      <c r="I54" s="16">
        <v>0</v>
      </c>
      <c r="J54" s="16">
        <v>0</v>
      </c>
      <c r="K54" s="16">
        <v>0</v>
      </c>
      <c r="L54" s="16">
        <v>0</v>
      </c>
      <c r="M54" s="16">
        <v>0</v>
      </c>
      <c r="N54" s="16">
        <v>0</v>
      </c>
      <c r="O54" s="16">
        <v>0</v>
      </c>
      <c r="P54" s="16">
        <v>0</v>
      </c>
      <c r="Q54" s="16">
        <v>0</v>
      </c>
      <c r="R54" s="16">
        <v>0</v>
      </c>
      <c r="S54" s="16">
        <v>0</v>
      </c>
      <c r="T54" s="16">
        <v>0</v>
      </c>
      <c r="U54" s="16">
        <v>149651</v>
      </c>
      <c r="V54" s="16">
        <v>352372</v>
      </c>
      <c r="W54" s="16">
        <v>1128762</v>
      </c>
      <c r="X54" s="16">
        <v>1111740</v>
      </c>
      <c r="Y54" s="16">
        <v>1486149</v>
      </c>
      <c r="Z54" s="16">
        <v>1373875</v>
      </c>
      <c r="AA54" s="16">
        <v>1500345</v>
      </c>
      <c r="AB54" s="16">
        <v>1699439</v>
      </c>
      <c r="AC54" s="16">
        <v>800229</v>
      </c>
      <c r="AD54" s="16">
        <v>1936662</v>
      </c>
      <c r="AE54" s="16">
        <v>1544074</v>
      </c>
      <c r="AF54" s="16">
        <v>708366</v>
      </c>
      <c r="AG54" s="16">
        <v>818549</v>
      </c>
      <c r="AH54" s="16">
        <v>574281</v>
      </c>
      <c r="AI54" s="16">
        <v>645148</v>
      </c>
      <c r="AJ54" s="16">
        <v>626745</v>
      </c>
      <c r="AK54" s="16">
        <v>603761</v>
      </c>
      <c r="AL54" s="16">
        <v>0</v>
      </c>
      <c r="AM54" s="7">
        <v>0</v>
      </c>
      <c r="AN54" s="7">
        <v>0</v>
      </c>
      <c r="AO54" s="13">
        <v>0</v>
      </c>
      <c r="AP54" s="7">
        <v>0</v>
      </c>
      <c r="AQ54" s="7">
        <v>0</v>
      </c>
      <c r="AR54" s="7">
        <v>0</v>
      </c>
      <c r="AS54" s="7">
        <v>0</v>
      </c>
      <c r="AT54" s="13">
        <v>0</v>
      </c>
      <c r="AU54" s="13">
        <v>0</v>
      </c>
      <c r="AV54" s="13">
        <v>0</v>
      </c>
      <c r="AW54" s="13">
        <v>0</v>
      </c>
      <c r="AX54" s="13">
        <v>0</v>
      </c>
      <c r="AY54" s="13">
        <v>0</v>
      </c>
      <c r="AZ54" s="13">
        <v>0</v>
      </c>
      <c r="BA54" s="13">
        <v>0</v>
      </c>
      <c r="BB54" s="13">
        <v>0</v>
      </c>
    </row>
    <row r="55" spans="1:54" x14ac:dyDescent="0.4">
      <c r="A55" s="35" t="s">
        <v>13</v>
      </c>
      <c r="B55" s="16">
        <v>0</v>
      </c>
      <c r="C55" s="16">
        <v>0</v>
      </c>
      <c r="D55" s="16">
        <v>0</v>
      </c>
      <c r="E55" s="16">
        <v>0</v>
      </c>
      <c r="F55" s="16">
        <v>0</v>
      </c>
      <c r="G55" s="16">
        <v>0</v>
      </c>
      <c r="H55" s="16">
        <v>0</v>
      </c>
      <c r="I55" s="16">
        <v>0</v>
      </c>
      <c r="J55" s="16">
        <v>0</v>
      </c>
      <c r="K55" s="16">
        <v>0</v>
      </c>
      <c r="L55" s="16">
        <v>0</v>
      </c>
      <c r="M55" s="16">
        <v>0</v>
      </c>
      <c r="N55" s="16">
        <v>0</v>
      </c>
      <c r="O55" s="16">
        <v>0</v>
      </c>
      <c r="P55" s="16">
        <v>0</v>
      </c>
      <c r="Q55" s="16">
        <v>0</v>
      </c>
      <c r="R55" s="16">
        <v>0</v>
      </c>
      <c r="S55" s="16">
        <v>0</v>
      </c>
      <c r="T55" s="16">
        <v>0</v>
      </c>
      <c r="U55" s="16">
        <v>149651</v>
      </c>
      <c r="V55" s="16">
        <v>352372</v>
      </c>
      <c r="W55" s="16">
        <v>1128762</v>
      </c>
      <c r="X55" s="16">
        <v>1111740</v>
      </c>
      <c r="Y55" s="16">
        <v>1486149</v>
      </c>
      <c r="Z55" s="16">
        <v>1373875</v>
      </c>
      <c r="AA55" s="16">
        <v>1500345</v>
      </c>
      <c r="AB55" s="16">
        <v>1699439</v>
      </c>
      <c r="AC55" s="16">
        <v>800229</v>
      </c>
      <c r="AD55" s="16">
        <v>1936662</v>
      </c>
      <c r="AE55" s="16">
        <v>1544074</v>
      </c>
      <c r="AF55" s="16">
        <v>708366</v>
      </c>
      <c r="AG55" s="16">
        <v>818549</v>
      </c>
      <c r="AH55" s="16">
        <v>574281</v>
      </c>
      <c r="AI55" s="16">
        <v>645148</v>
      </c>
      <c r="AJ55" s="16">
        <v>626745</v>
      </c>
      <c r="AK55" s="16">
        <v>603761</v>
      </c>
      <c r="AL55" s="16">
        <v>0</v>
      </c>
      <c r="AM55" s="7">
        <v>0</v>
      </c>
      <c r="AN55" s="7">
        <v>0</v>
      </c>
      <c r="AO55" s="13">
        <v>0</v>
      </c>
      <c r="AP55" s="7">
        <v>0</v>
      </c>
      <c r="AQ55" s="7">
        <v>0</v>
      </c>
      <c r="AR55" s="7">
        <v>0</v>
      </c>
      <c r="AS55" s="7">
        <v>0</v>
      </c>
      <c r="AT55" s="13">
        <v>0</v>
      </c>
      <c r="AU55" s="13">
        <v>0</v>
      </c>
      <c r="AV55" s="13">
        <v>0</v>
      </c>
      <c r="AW55" s="13">
        <v>0</v>
      </c>
      <c r="AX55" s="13">
        <v>0</v>
      </c>
      <c r="AY55" s="13">
        <v>0</v>
      </c>
      <c r="AZ55" s="13">
        <v>0</v>
      </c>
      <c r="BA55" s="13">
        <v>0</v>
      </c>
      <c r="BB55" s="13">
        <v>0</v>
      </c>
    </row>
    <row r="56" spans="1:54" x14ac:dyDescent="0.4">
      <c r="A56" s="35" t="s">
        <v>14</v>
      </c>
      <c r="B56" s="16">
        <v>0</v>
      </c>
      <c r="C56" s="16">
        <v>0</v>
      </c>
      <c r="D56" s="16">
        <v>0</v>
      </c>
      <c r="E56" s="16">
        <v>0</v>
      </c>
      <c r="F56" s="16">
        <v>0</v>
      </c>
      <c r="G56" s="16">
        <v>0</v>
      </c>
      <c r="H56" s="16">
        <v>0</v>
      </c>
      <c r="I56" s="16">
        <v>0</v>
      </c>
      <c r="J56" s="16">
        <v>0</v>
      </c>
      <c r="K56" s="16">
        <v>0</v>
      </c>
      <c r="L56" s="16">
        <v>0</v>
      </c>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3">
        <v>0</v>
      </c>
      <c r="AP56" s="16">
        <v>0</v>
      </c>
      <c r="AQ56" s="16">
        <v>0</v>
      </c>
      <c r="AR56" s="16">
        <v>0</v>
      </c>
      <c r="AS56" s="16">
        <v>0</v>
      </c>
      <c r="AT56" s="13">
        <v>0</v>
      </c>
      <c r="AU56" s="13">
        <v>0</v>
      </c>
      <c r="AV56" s="13">
        <v>0</v>
      </c>
      <c r="AW56" s="13">
        <v>0</v>
      </c>
      <c r="AX56" s="13">
        <v>0</v>
      </c>
      <c r="AY56" s="13">
        <v>0</v>
      </c>
      <c r="AZ56" s="13">
        <v>0</v>
      </c>
      <c r="BA56" s="13">
        <v>0</v>
      </c>
      <c r="BB56" s="13">
        <v>0</v>
      </c>
    </row>
    <row r="57" spans="1:54" x14ac:dyDescent="0.4">
      <c r="A57" s="35" t="s">
        <v>27</v>
      </c>
      <c r="B57" s="16"/>
      <c r="C57" s="16"/>
      <c r="D57" s="16"/>
      <c r="E57" s="16"/>
      <c r="F57" s="16"/>
      <c r="G57" s="16"/>
      <c r="H57" s="16"/>
      <c r="I57" s="16"/>
      <c r="J57" s="16"/>
      <c r="K57" s="16"/>
      <c r="L57" s="16"/>
      <c r="M57" s="16"/>
      <c r="N57" s="16"/>
      <c r="O57" s="16"/>
      <c r="P57" s="16"/>
      <c r="Q57" s="16"/>
      <c r="R57" s="16"/>
      <c r="S57" s="16"/>
      <c r="T57" s="16"/>
      <c r="U57" s="16"/>
      <c r="V57" s="16"/>
      <c r="W57" s="16"/>
      <c r="X57" s="16"/>
      <c r="Y57" s="16"/>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3">
        <v>0</v>
      </c>
      <c r="AP57" s="16">
        <v>0</v>
      </c>
      <c r="AQ57" s="16">
        <v>0</v>
      </c>
      <c r="AR57" s="16">
        <v>0</v>
      </c>
      <c r="AS57" s="16">
        <v>0</v>
      </c>
      <c r="AT57" s="13">
        <v>0</v>
      </c>
      <c r="AU57" s="13">
        <v>0</v>
      </c>
      <c r="AV57" s="13">
        <v>0</v>
      </c>
      <c r="AW57" s="13">
        <v>0</v>
      </c>
      <c r="AX57" s="13">
        <v>0</v>
      </c>
      <c r="AY57" s="13">
        <v>0</v>
      </c>
      <c r="AZ57" s="13">
        <v>0</v>
      </c>
      <c r="BA57" s="13">
        <v>0</v>
      </c>
      <c r="BB57" s="13">
        <v>0</v>
      </c>
    </row>
    <row r="58" spans="1:54" x14ac:dyDescent="0.4">
      <c r="A58" s="35" t="s">
        <v>30</v>
      </c>
      <c r="B58" s="16"/>
      <c r="C58" s="16"/>
      <c r="D58" s="16"/>
      <c r="E58" s="16"/>
      <c r="F58" s="16"/>
      <c r="G58" s="16"/>
      <c r="H58" s="16"/>
      <c r="I58" s="16"/>
      <c r="J58" s="16"/>
      <c r="K58" s="16"/>
      <c r="L58" s="16"/>
      <c r="M58" s="16"/>
      <c r="N58" s="16"/>
      <c r="O58" s="16"/>
      <c r="P58" s="16"/>
      <c r="Q58" s="16"/>
      <c r="R58" s="16"/>
      <c r="S58" s="16"/>
      <c r="T58" s="16"/>
      <c r="U58" s="16"/>
      <c r="V58" s="16"/>
      <c r="W58" s="16"/>
      <c r="X58" s="16"/>
      <c r="Y58" s="16"/>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3">
        <v>0</v>
      </c>
      <c r="AP58" s="16">
        <v>0</v>
      </c>
      <c r="AQ58" s="16">
        <v>0</v>
      </c>
      <c r="AR58" s="16">
        <v>0</v>
      </c>
      <c r="AS58" s="16">
        <v>0</v>
      </c>
      <c r="AT58" s="13">
        <v>0</v>
      </c>
      <c r="AU58" s="13">
        <v>0</v>
      </c>
      <c r="AV58" s="13">
        <v>0</v>
      </c>
      <c r="AW58" s="13">
        <v>0</v>
      </c>
      <c r="AX58" s="13">
        <v>0</v>
      </c>
      <c r="AY58" s="13">
        <v>0</v>
      </c>
      <c r="AZ58" s="13">
        <v>0</v>
      </c>
      <c r="BA58" s="13">
        <v>0</v>
      </c>
      <c r="BB58" s="13">
        <v>0</v>
      </c>
    </row>
    <row r="59" spans="1:54" x14ac:dyDescent="0.4">
      <c r="A59" s="34" t="s">
        <v>3</v>
      </c>
      <c r="B59" s="16">
        <v>1136816</v>
      </c>
      <c r="C59" s="16">
        <v>1224562</v>
      </c>
      <c r="D59" s="16">
        <v>1239643</v>
      </c>
      <c r="E59" s="16">
        <v>1314046</v>
      </c>
      <c r="F59" s="16">
        <v>1356238</v>
      </c>
      <c r="G59" s="16">
        <v>1329098</v>
      </c>
      <c r="H59" s="16">
        <v>1370954</v>
      </c>
      <c r="I59" s="16">
        <v>1408501</v>
      </c>
      <c r="J59" s="16">
        <v>1477243</v>
      </c>
      <c r="K59" s="16">
        <v>1478946</v>
      </c>
      <c r="L59" s="16">
        <v>1558955</v>
      </c>
      <c r="M59" s="16">
        <v>1538925</v>
      </c>
      <c r="N59" s="16">
        <v>1570872</v>
      </c>
      <c r="O59" s="16">
        <v>1476591</v>
      </c>
      <c r="P59" s="16">
        <v>1528328</v>
      </c>
      <c r="Q59" s="16">
        <v>1473438</v>
      </c>
      <c r="R59" s="16">
        <v>1433144</v>
      </c>
      <c r="S59" s="16">
        <v>1495308</v>
      </c>
      <c r="T59" s="16">
        <v>1640939</v>
      </c>
      <c r="U59" s="16">
        <v>1544579</v>
      </c>
      <c r="V59" s="16">
        <v>1646564</v>
      </c>
      <c r="W59" s="16">
        <v>1701850</v>
      </c>
      <c r="X59" s="16">
        <v>1642088</v>
      </c>
      <c r="Y59" s="16">
        <v>1720362</v>
      </c>
      <c r="Z59" s="16">
        <v>1766231</v>
      </c>
      <c r="AA59" s="16">
        <v>1847707</v>
      </c>
      <c r="AB59" s="16">
        <v>2010007</v>
      </c>
      <c r="AC59" s="16">
        <v>2198860</v>
      </c>
      <c r="AD59" s="16">
        <v>2344180</v>
      </c>
      <c r="AE59" s="16">
        <v>2316896</v>
      </c>
      <c r="AF59" s="16">
        <v>2369303</v>
      </c>
      <c r="AG59" s="16">
        <v>2437634</v>
      </c>
      <c r="AH59" s="16">
        <v>2662558</v>
      </c>
      <c r="AI59" s="16">
        <v>2632505</v>
      </c>
      <c r="AJ59" s="16">
        <v>2772622</v>
      </c>
      <c r="AK59" s="16">
        <v>2777688</v>
      </c>
      <c r="AL59" s="16">
        <v>2856547</v>
      </c>
      <c r="AM59" s="7">
        <v>2525672</v>
      </c>
      <c r="AN59" s="7">
        <v>2525824</v>
      </c>
      <c r="AO59" s="13">
        <v>2440313</v>
      </c>
      <c r="AP59" s="7">
        <v>2377662</v>
      </c>
      <c r="AQ59" s="7">
        <v>2491750</v>
      </c>
      <c r="AR59" s="7">
        <v>2545963</v>
      </c>
      <c r="AS59" s="7">
        <v>2480146</v>
      </c>
      <c r="AT59" s="13">
        <v>2442523</v>
      </c>
      <c r="AU59" s="13">
        <v>2536044</v>
      </c>
      <c r="AV59" s="13">
        <v>2364384</v>
      </c>
      <c r="AW59" s="13">
        <v>2345494</v>
      </c>
      <c r="AX59" s="13">
        <v>2311781</v>
      </c>
      <c r="AY59" s="13">
        <v>2325352</v>
      </c>
      <c r="AZ59" s="13">
        <v>2402342</v>
      </c>
      <c r="BA59" s="13">
        <v>2421521</v>
      </c>
      <c r="BB59" s="13">
        <v>2470000</v>
      </c>
    </row>
    <row r="60" spans="1:54" x14ac:dyDescent="0.4">
      <c r="A60" s="35" t="s">
        <v>13</v>
      </c>
      <c r="B60" s="16">
        <v>0</v>
      </c>
      <c r="C60" s="16">
        <v>0</v>
      </c>
      <c r="D60" s="16">
        <v>0</v>
      </c>
      <c r="E60" s="16">
        <v>0</v>
      </c>
      <c r="F60" s="16">
        <v>0</v>
      </c>
      <c r="G60" s="16">
        <v>0</v>
      </c>
      <c r="H60" s="16">
        <v>0</v>
      </c>
      <c r="I60" s="16">
        <v>0</v>
      </c>
      <c r="J60" s="16">
        <v>0</v>
      </c>
      <c r="K60" s="16">
        <v>0</v>
      </c>
      <c r="L60" s="16">
        <v>0</v>
      </c>
      <c r="M60" s="16">
        <v>0</v>
      </c>
      <c r="N60" s="16">
        <v>0</v>
      </c>
      <c r="O60" s="16">
        <v>0</v>
      </c>
      <c r="P60" s="16">
        <v>0</v>
      </c>
      <c r="Q60" s="16">
        <v>0</v>
      </c>
      <c r="R60" s="16">
        <v>956</v>
      </c>
      <c r="S60" s="16">
        <v>58218</v>
      </c>
      <c r="T60" s="16">
        <v>81574</v>
      </c>
      <c r="U60" s="16">
        <v>12642</v>
      </c>
      <c r="V60" s="16">
        <v>37813</v>
      </c>
      <c r="W60" s="16">
        <v>34880</v>
      </c>
      <c r="X60" s="16">
        <v>32852</v>
      </c>
      <c r="Y60" s="16">
        <v>28882</v>
      </c>
      <c r="Z60" s="16">
        <v>10272</v>
      </c>
      <c r="AA60" s="16">
        <v>13289</v>
      </c>
      <c r="AB60" s="16">
        <v>69924</v>
      </c>
      <c r="AC60" s="16">
        <v>151527</v>
      </c>
      <c r="AD60" s="16">
        <v>167358</v>
      </c>
      <c r="AE60" s="16">
        <v>166358</v>
      </c>
      <c r="AF60" s="16">
        <v>160653</v>
      </c>
      <c r="AG60" s="16">
        <v>133019</v>
      </c>
      <c r="AH60" s="16">
        <v>124385</v>
      </c>
      <c r="AI60" s="16">
        <v>96247</v>
      </c>
      <c r="AJ60" s="16">
        <v>67499</v>
      </c>
      <c r="AK60" s="16">
        <v>66044</v>
      </c>
      <c r="AL60" s="16">
        <v>90847</v>
      </c>
      <c r="AM60" s="7">
        <v>69845</v>
      </c>
      <c r="AN60" s="7">
        <v>66406</v>
      </c>
      <c r="AO60" s="13">
        <v>67289</v>
      </c>
      <c r="AP60" s="7">
        <v>28794</v>
      </c>
      <c r="AQ60" s="7">
        <v>67897</v>
      </c>
      <c r="AR60" s="7">
        <v>74368</v>
      </c>
      <c r="AS60" s="7">
        <v>166612</v>
      </c>
      <c r="AT60" s="13">
        <v>122488</v>
      </c>
      <c r="AU60" s="13">
        <v>192050</v>
      </c>
      <c r="AV60" s="13">
        <v>119077</v>
      </c>
      <c r="AW60" s="13">
        <v>104055</v>
      </c>
      <c r="AX60" s="13">
        <v>90616</v>
      </c>
      <c r="AY60" s="13">
        <v>96957</v>
      </c>
      <c r="AZ60" s="13">
        <v>80275</v>
      </c>
      <c r="BA60" s="13">
        <v>95787</v>
      </c>
      <c r="BB60" s="13">
        <v>124084</v>
      </c>
    </row>
    <row r="61" spans="1:54" x14ac:dyDescent="0.4">
      <c r="A61" s="35" t="s">
        <v>14</v>
      </c>
      <c r="B61" s="16">
        <v>1136816</v>
      </c>
      <c r="C61" s="16">
        <v>1224562</v>
      </c>
      <c r="D61" s="16">
        <v>1239643</v>
      </c>
      <c r="E61" s="16">
        <v>1314046</v>
      </c>
      <c r="F61" s="16">
        <v>1356238</v>
      </c>
      <c r="G61" s="16">
        <v>1329098</v>
      </c>
      <c r="H61" s="16">
        <v>1370954</v>
      </c>
      <c r="I61" s="16">
        <v>1408501</v>
      </c>
      <c r="J61" s="16">
        <v>1477243</v>
      </c>
      <c r="K61" s="16">
        <v>1478946</v>
      </c>
      <c r="L61" s="16">
        <v>1558955</v>
      </c>
      <c r="M61" s="16">
        <v>1538925</v>
      </c>
      <c r="N61" s="16">
        <v>1570872</v>
      </c>
      <c r="O61" s="16">
        <v>1476591</v>
      </c>
      <c r="P61" s="16">
        <v>1528328</v>
      </c>
      <c r="Q61" s="16">
        <v>1473438</v>
      </c>
      <c r="R61" s="16">
        <v>1432188</v>
      </c>
      <c r="S61" s="16">
        <v>1437090</v>
      </c>
      <c r="T61" s="16">
        <v>1559365</v>
      </c>
      <c r="U61" s="16">
        <v>1531937</v>
      </c>
      <c r="V61" s="16">
        <v>1608750</v>
      </c>
      <c r="W61" s="16">
        <v>1666969</v>
      </c>
      <c r="X61" s="16">
        <v>1609236</v>
      </c>
      <c r="Y61" s="16">
        <v>1691480</v>
      </c>
      <c r="Z61" s="16">
        <v>1755960</v>
      </c>
      <c r="AA61" s="16">
        <v>1834417</v>
      </c>
      <c r="AB61" s="16">
        <v>1940083</v>
      </c>
      <c r="AC61" s="16">
        <v>2047334</v>
      </c>
      <c r="AD61" s="16">
        <v>2176823</v>
      </c>
      <c r="AE61" s="16">
        <v>2150537</v>
      </c>
      <c r="AF61" s="16">
        <v>2208650</v>
      </c>
      <c r="AG61" s="16">
        <v>2304615</v>
      </c>
      <c r="AH61" s="16">
        <v>2538173</v>
      </c>
      <c r="AI61" s="16">
        <v>2536259</v>
      </c>
      <c r="AJ61" s="16">
        <v>2705123</v>
      </c>
      <c r="AK61" s="16">
        <v>2711645</v>
      </c>
      <c r="AL61" s="16">
        <v>2765700</v>
      </c>
      <c r="AM61" s="7">
        <v>2455827</v>
      </c>
      <c r="AN61" s="7">
        <v>2459418</v>
      </c>
      <c r="AO61" s="13">
        <v>2373024</v>
      </c>
      <c r="AP61" s="7">
        <v>2348868</v>
      </c>
      <c r="AQ61" s="7">
        <v>2423853</v>
      </c>
      <c r="AR61" s="7">
        <v>2471596</v>
      </c>
      <c r="AS61" s="7">
        <v>2313534</v>
      </c>
      <c r="AT61" s="13">
        <v>2320036</v>
      </c>
      <c r="AU61" s="13">
        <v>2343994</v>
      </c>
      <c r="AV61" s="13">
        <v>2245307</v>
      </c>
      <c r="AW61" s="13">
        <v>2241440</v>
      </c>
      <c r="AX61" s="13">
        <v>2221165</v>
      </c>
      <c r="AY61" s="13">
        <v>2228395</v>
      </c>
      <c r="AZ61" s="13">
        <v>2322067</v>
      </c>
      <c r="BA61" s="13">
        <v>2325734</v>
      </c>
      <c r="BB61" s="13">
        <v>2345916</v>
      </c>
    </row>
    <row r="62" spans="1:54" x14ac:dyDescent="0.4">
      <c r="A62" s="35" t="s">
        <v>27</v>
      </c>
      <c r="B62" s="16"/>
      <c r="C62" s="16"/>
      <c r="D62" s="16"/>
      <c r="E62" s="16"/>
      <c r="F62" s="16"/>
      <c r="G62" s="16"/>
      <c r="H62" s="16"/>
      <c r="I62" s="16"/>
      <c r="J62" s="16"/>
      <c r="K62" s="16"/>
      <c r="L62" s="16"/>
      <c r="M62" s="16"/>
      <c r="N62" s="16"/>
      <c r="O62" s="16"/>
      <c r="P62" s="16"/>
      <c r="Q62" s="16"/>
      <c r="R62" s="16"/>
      <c r="S62" s="16"/>
      <c r="T62" s="16"/>
      <c r="U62" s="16"/>
      <c r="V62" s="16"/>
      <c r="W62" s="16"/>
      <c r="X62" s="16"/>
      <c r="Y62" s="16"/>
      <c r="Z62" s="16">
        <v>151698</v>
      </c>
      <c r="AA62" s="16">
        <v>181265</v>
      </c>
      <c r="AB62" s="16">
        <v>247307</v>
      </c>
      <c r="AC62" s="16">
        <v>236626</v>
      </c>
      <c r="AD62" s="16">
        <v>276791</v>
      </c>
      <c r="AE62" s="16">
        <v>329181</v>
      </c>
      <c r="AF62" s="16">
        <v>341098</v>
      </c>
      <c r="AG62" s="16">
        <v>456558</v>
      </c>
      <c r="AH62" s="16">
        <v>454177</v>
      </c>
      <c r="AI62" s="16">
        <v>499031</v>
      </c>
      <c r="AJ62" s="16">
        <v>505092</v>
      </c>
      <c r="AK62" s="16">
        <v>437462</v>
      </c>
      <c r="AL62" s="16">
        <v>454137</v>
      </c>
      <c r="AM62" s="7">
        <v>407146</v>
      </c>
      <c r="AN62" s="7">
        <v>440113</v>
      </c>
      <c r="AO62" s="13">
        <v>489640</v>
      </c>
      <c r="AP62" s="7">
        <v>608930</v>
      </c>
      <c r="AQ62" s="7">
        <v>585655</v>
      </c>
      <c r="AR62" s="7">
        <v>588235</v>
      </c>
      <c r="AS62" s="7">
        <v>565693</v>
      </c>
      <c r="AT62" s="13">
        <v>537196</v>
      </c>
      <c r="AU62" s="13">
        <v>634007</v>
      </c>
      <c r="AV62" s="13">
        <v>544117</v>
      </c>
      <c r="AW62" s="13">
        <v>554985</v>
      </c>
      <c r="AX62" s="13">
        <v>505472</v>
      </c>
      <c r="AY62" s="13">
        <v>359614</v>
      </c>
      <c r="AZ62" s="13">
        <v>544093</v>
      </c>
      <c r="BA62" s="13">
        <v>518331</v>
      </c>
      <c r="BB62" s="13">
        <v>537563</v>
      </c>
    </row>
    <row r="63" spans="1:54" x14ac:dyDescent="0.4">
      <c r="A63" s="35" t="s">
        <v>30</v>
      </c>
      <c r="B63" s="16"/>
      <c r="C63" s="16"/>
      <c r="D63" s="16"/>
      <c r="E63" s="16"/>
      <c r="F63" s="16"/>
      <c r="G63" s="16"/>
      <c r="H63" s="16"/>
      <c r="I63" s="16"/>
      <c r="J63" s="16"/>
      <c r="K63" s="16"/>
      <c r="L63" s="16"/>
      <c r="M63" s="16"/>
      <c r="N63" s="16"/>
      <c r="O63" s="16"/>
      <c r="P63" s="16"/>
      <c r="Q63" s="16"/>
      <c r="R63" s="16"/>
      <c r="S63" s="16"/>
      <c r="T63" s="16"/>
      <c r="U63" s="16"/>
      <c r="V63" s="16"/>
      <c r="W63" s="16"/>
      <c r="X63" s="16"/>
      <c r="Y63" s="16"/>
      <c r="Z63" s="16">
        <v>1604261</v>
      </c>
      <c r="AA63" s="16">
        <v>1653153</v>
      </c>
      <c r="AB63" s="16">
        <v>1692776</v>
      </c>
      <c r="AC63" s="16">
        <v>1810707</v>
      </c>
      <c r="AD63" s="16">
        <v>1900032</v>
      </c>
      <c r="AE63" s="16">
        <v>1821357</v>
      </c>
      <c r="AF63" s="16">
        <v>1867552</v>
      </c>
      <c r="AG63" s="16">
        <v>1848057</v>
      </c>
      <c r="AH63" s="16">
        <v>2083996</v>
      </c>
      <c r="AI63" s="16">
        <v>2037228</v>
      </c>
      <c r="AJ63" s="16">
        <v>2200030</v>
      </c>
      <c r="AK63" s="16">
        <v>2274183</v>
      </c>
      <c r="AL63" s="16">
        <v>2311564</v>
      </c>
      <c r="AM63" s="7">
        <v>2048681</v>
      </c>
      <c r="AN63" s="7">
        <v>2019305</v>
      </c>
      <c r="AO63" s="13">
        <v>1883384</v>
      </c>
      <c r="AP63" s="7">
        <v>1739937</v>
      </c>
      <c r="AQ63" s="7">
        <v>1838198</v>
      </c>
      <c r="AR63" s="7">
        <v>1883361</v>
      </c>
      <c r="AS63" s="7">
        <v>1747841</v>
      </c>
      <c r="AT63" s="13">
        <v>1782839</v>
      </c>
      <c r="AU63" s="13">
        <v>1709987</v>
      </c>
      <c r="AV63" s="13">
        <v>1701190</v>
      </c>
      <c r="AW63" s="13">
        <v>1686454</v>
      </c>
      <c r="AX63" s="13">
        <v>1715693</v>
      </c>
      <c r="AY63" s="13">
        <v>1868781</v>
      </c>
      <c r="AZ63" s="13">
        <v>1777974</v>
      </c>
      <c r="BA63" s="13">
        <v>1807404</v>
      </c>
      <c r="BB63" s="13">
        <v>1808353</v>
      </c>
    </row>
    <row r="64" spans="1:54" x14ac:dyDescent="0.4">
      <c r="A64" s="34" t="s">
        <v>4</v>
      </c>
      <c r="B64" s="16">
        <v>15035</v>
      </c>
      <c r="C64" s="16">
        <v>15099</v>
      </c>
      <c r="D64" s="16">
        <v>18137</v>
      </c>
      <c r="E64" s="16">
        <v>18118</v>
      </c>
      <c r="F64" s="16">
        <v>18099</v>
      </c>
      <c r="G64" s="16">
        <v>17988</v>
      </c>
      <c r="H64" s="16">
        <v>17889</v>
      </c>
      <c r="I64" s="16">
        <v>17859</v>
      </c>
      <c r="J64" s="16">
        <v>12610</v>
      </c>
      <c r="K64" s="16">
        <v>12801</v>
      </c>
      <c r="L64" s="16">
        <v>12931</v>
      </c>
      <c r="M64" s="16">
        <v>12793</v>
      </c>
      <c r="N64" s="16">
        <v>12774</v>
      </c>
      <c r="O64" s="16">
        <v>12890</v>
      </c>
      <c r="P64" s="16">
        <v>12924</v>
      </c>
      <c r="Q64" s="16">
        <v>13000</v>
      </c>
      <c r="R64" s="16">
        <v>12953</v>
      </c>
      <c r="S64" s="16">
        <v>12919</v>
      </c>
      <c r="T64" s="16">
        <v>17173</v>
      </c>
      <c r="U64" s="16">
        <v>12149</v>
      </c>
      <c r="V64" s="16">
        <v>7164</v>
      </c>
      <c r="W64" s="16">
        <v>7193</v>
      </c>
      <c r="X64" s="16">
        <v>7103</v>
      </c>
      <c r="Y64" s="16">
        <v>7087</v>
      </c>
      <c r="Z64" s="16">
        <v>7056</v>
      </c>
      <c r="AA64" s="16">
        <v>7004</v>
      </c>
      <c r="AB64" s="16">
        <v>7037</v>
      </c>
      <c r="AC64" s="16">
        <v>4097</v>
      </c>
      <c r="AD64" s="16">
        <v>7092</v>
      </c>
      <c r="AE64" s="16">
        <v>7269</v>
      </c>
      <c r="AF64" s="16">
        <v>7302</v>
      </c>
      <c r="AG64" s="16">
        <v>7457</v>
      </c>
      <c r="AH64" s="16">
        <v>7263</v>
      </c>
      <c r="AI64" s="16">
        <v>7327</v>
      </c>
      <c r="AJ64" s="16">
        <v>7125</v>
      </c>
      <c r="AK64" s="16">
        <v>7232</v>
      </c>
      <c r="AL64" s="16">
        <v>4043</v>
      </c>
      <c r="AM64" s="7">
        <v>4091</v>
      </c>
      <c r="AN64" s="7">
        <v>0</v>
      </c>
      <c r="AO64" s="13">
        <v>0</v>
      </c>
      <c r="AP64" s="7">
        <v>0</v>
      </c>
      <c r="AQ64" s="7">
        <v>0</v>
      </c>
      <c r="AR64" s="7">
        <v>0</v>
      </c>
      <c r="AS64" s="7">
        <v>0</v>
      </c>
      <c r="AT64" s="13">
        <v>0</v>
      </c>
      <c r="AU64" s="13">
        <v>0</v>
      </c>
      <c r="AV64" s="13">
        <v>0</v>
      </c>
      <c r="AW64" s="13">
        <v>0</v>
      </c>
      <c r="AX64" s="13">
        <v>0</v>
      </c>
      <c r="AY64" s="13">
        <v>0</v>
      </c>
      <c r="AZ64" s="13">
        <v>0</v>
      </c>
      <c r="BA64" s="13">
        <v>0</v>
      </c>
      <c r="BB64" s="13">
        <v>0</v>
      </c>
    </row>
    <row r="65" spans="1:54" x14ac:dyDescent="0.4">
      <c r="A65" s="35" t="s">
        <v>13</v>
      </c>
      <c r="B65" s="16">
        <v>0</v>
      </c>
      <c r="C65" s="16">
        <v>0</v>
      </c>
      <c r="D65" s="16">
        <v>0</v>
      </c>
      <c r="E65" s="16">
        <v>0</v>
      </c>
      <c r="F65" s="16">
        <v>0</v>
      </c>
      <c r="G65" s="16">
        <v>0</v>
      </c>
      <c r="H65" s="16">
        <v>0</v>
      </c>
      <c r="I65" s="16">
        <v>0</v>
      </c>
      <c r="J65" s="16">
        <v>0</v>
      </c>
      <c r="K65" s="16">
        <v>0</v>
      </c>
      <c r="L65" s="16">
        <v>0</v>
      </c>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3">
        <v>0</v>
      </c>
      <c r="AP65" s="16">
        <v>0</v>
      </c>
      <c r="AQ65" s="16">
        <v>0</v>
      </c>
      <c r="AR65" s="16">
        <v>0</v>
      </c>
      <c r="AS65" s="16">
        <v>0</v>
      </c>
      <c r="AT65" s="13">
        <v>0</v>
      </c>
      <c r="AU65" s="13">
        <v>0</v>
      </c>
      <c r="AV65" s="13">
        <v>0</v>
      </c>
      <c r="AW65" s="13">
        <v>0</v>
      </c>
      <c r="AX65" s="13">
        <v>0</v>
      </c>
      <c r="AY65" s="13">
        <v>0</v>
      </c>
      <c r="AZ65" s="13">
        <v>0</v>
      </c>
      <c r="BA65" s="13">
        <v>0</v>
      </c>
      <c r="BB65" s="13">
        <v>0</v>
      </c>
    </row>
    <row r="66" spans="1:54" x14ac:dyDescent="0.4">
      <c r="A66" s="35" t="s">
        <v>14</v>
      </c>
      <c r="B66" s="16">
        <v>15035</v>
      </c>
      <c r="C66" s="16">
        <v>15099</v>
      </c>
      <c r="D66" s="16">
        <v>18137</v>
      </c>
      <c r="E66" s="16">
        <v>18118</v>
      </c>
      <c r="F66" s="16">
        <v>18099</v>
      </c>
      <c r="G66" s="16">
        <v>17988</v>
      </c>
      <c r="H66" s="16">
        <v>17889</v>
      </c>
      <c r="I66" s="16">
        <v>17859</v>
      </c>
      <c r="J66" s="16">
        <v>12610</v>
      </c>
      <c r="K66" s="16">
        <v>12801</v>
      </c>
      <c r="L66" s="16">
        <v>12931</v>
      </c>
      <c r="M66" s="16">
        <v>12793</v>
      </c>
      <c r="N66" s="16">
        <v>12774</v>
      </c>
      <c r="O66" s="16">
        <v>12890</v>
      </c>
      <c r="P66" s="16">
        <v>12924</v>
      </c>
      <c r="Q66" s="16">
        <v>13000</v>
      </c>
      <c r="R66" s="16">
        <v>12953</v>
      </c>
      <c r="S66" s="16">
        <v>12919</v>
      </c>
      <c r="T66" s="16">
        <v>17173</v>
      </c>
      <c r="U66" s="16">
        <v>12149</v>
      </c>
      <c r="V66" s="16">
        <v>7164</v>
      </c>
      <c r="W66" s="16">
        <v>7193</v>
      </c>
      <c r="X66" s="16">
        <v>7103</v>
      </c>
      <c r="Y66" s="16">
        <v>7087</v>
      </c>
      <c r="Z66" s="16">
        <v>7056</v>
      </c>
      <c r="AA66" s="16">
        <v>7004</v>
      </c>
      <c r="AB66" s="16">
        <v>7037</v>
      </c>
      <c r="AC66" s="16">
        <v>4097</v>
      </c>
      <c r="AD66" s="16">
        <v>7092</v>
      </c>
      <c r="AE66" s="16">
        <v>7269</v>
      </c>
      <c r="AF66" s="16">
        <v>7302</v>
      </c>
      <c r="AG66" s="16">
        <v>7457</v>
      </c>
      <c r="AH66" s="16">
        <v>7263</v>
      </c>
      <c r="AI66" s="16">
        <v>7327</v>
      </c>
      <c r="AJ66" s="16">
        <v>7125</v>
      </c>
      <c r="AK66" s="16">
        <v>7232</v>
      </c>
      <c r="AL66" s="16">
        <v>4043</v>
      </c>
      <c r="AM66" s="7">
        <v>4091</v>
      </c>
      <c r="AN66" s="7">
        <v>0</v>
      </c>
      <c r="AO66" s="13">
        <v>0</v>
      </c>
      <c r="AP66" s="7">
        <v>0</v>
      </c>
      <c r="AQ66" s="7">
        <v>0</v>
      </c>
      <c r="AR66" s="7">
        <v>0</v>
      </c>
      <c r="AS66" s="7">
        <v>0</v>
      </c>
      <c r="AT66" s="13">
        <v>0</v>
      </c>
      <c r="AU66" s="13">
        <v>0</v>
      </c>
      <c r="AV66" s="13">
        <v>0</v>
      </c>
      <c r="AW66" s="13">
        <v>0</v>
      </c>
      <c r="AX66" s="13">
        <v>0</v>
      </c>
      <c r="AY66" s="13">
        <v>0</v>
      </c>
      <c r="AZ66" s="13">
        <v>0</v>
      </c>
      <c r="BA66" s="13">
        <v>0</v>
      </c>
      <c r="BB66" s="13">
        <v>0</v>
      </c>
    </row>
    <row r="67" spans="1:54" x14ac:dyDescent="0.4">
      <c r="A67" s="35" t="s">
        <v>27</v>
      </c>
      <c r="B67" s="16"/>
      <c r="C67" s="16"/>
      <c r="D67" s="16"/>
      <c r="E67" s="16"/>
      <c r="F67" s="16"/>
      <c r="G67" s="16"/>
      <c r="H67" s="16"/>
      <c r="I67" s="16"/>
      <c r="J67" s="16"/>
      <c r="K67" s="16"/>
      <c r="L67" s="16"/>
      <c r="M67" s="16"/>
      <c r="N67" s="16"/>
      <c r="O67" s="16"/>
      <c r="P67" s="16"/>
      <c r="Q67" s="16"/>
      <c r="R67" s="16"/>
      <c r="S67" s="16"/>
      <c r="T67" s="16"/>
      <c r="U67" s="16"/>
      <c r="V67" s="16"/>
      <c r="W67" s="16"/>
      <c r="X67" s="16"/>
      <c r="Y67" s="16"/>
      <c r="Z67" s="16">
        <v>0</v>
      </c>
      <c r="AA67" s="16">
        <v>0</v>
      </c>
      <c r="AB67" s="16">
        <v>0</v>
      </c>
      <c r="AC67" s="16">
        <v>0</v>
      </c>
      <c r="AD67" s="16">
        <v>0</v>
      </c>
      <c r="AE67" s="16">
        <v>0</v>
      </c>
      <c r="AF67" s="16">
        <v>0</v>
      </c>
      <c r="AG67" s="16">
        <v>0</v>
      </c>
      <c r="AH67" s="16">
        <v>0</v>
      </c>
      <c r="AI67" s="16">
        <v>0</v>
      </c>
      <c r="AJ67" s="16">
        <v>4054</v>
      </c>
      <c r="AK67" s="16">
        <v>4109</v>
      </c>
      <c r="AL67" s="16">
        <v>4043</v>
      </c>
      <c r="AM67" s="7">
        <v>4091</v>
      </c>
      <c r="AN67" s="7">
        <v>0</v>
      </c>
      <c r="AO67" s="13">
        <v>0</v>
      </c>
      <c r="AP67" s="7">
        <v>0</v>
      </c>
      <c r="AQ67" s="7">
        <v>0</v>
      </c>
      <c r="AR67" s="7">
        <v>0</v>
      </c>
      <c r="AS67" s="7">
        <v>0</v>
      </c>
      <c r="AT67" s="13">
        <v>0</v>
      </c>
      <c r="AU67" s="13">
        <v>0</v>
      </c>
      <c r="AV67" s="13">
        <v>0</v>
      </c>
      <c r="AW67" s="13">
        <v>0</v>
      </c>
      <c r="AX67" s="13">
        <v>0</v>
      </c>
      <c r="AY67" s="13">
        <v>0</v>
      </c>
      <c r="AZ67" s="13">
        <v>0</v>
      </c>
      <c r="BA67" s="13">
        <v>0</v>
      </c>
      <c r="BB67" s="13">
        <v>0</v>
      </c>
    </row>
    <row r="68" spans="1:54" x14ac:dyDescent="0.4">
      <c r="A68" s="35" t="s">
        <v>30</v>
      </c>
      <c r="B68" s="16"/>
      <c r="C68" s="16"/>
      <c r="D68" s="16"/>
      <c r="E68" s="16"/>
      <c r="F68" s="16"/>
      <c r="G68" s="16"/>
      <c r="H68" s="16"/>
      <c r="I68" s="16"/>
      <c r="J68" s="16"/>
      <c r="K68" s="16"/>
      <c r="L68" s="16"/>
      <c r="M68" s="16"/>
      <c r="N68" s="16"/>
      <c r="O68" s="16"/>
      <c r="P68" s="16"/>
      <c r="Q68" s="16"/>
      <c r="R68" s="16"/>
      <c r="S68" s="16"/>
      <c r="T68" s="16"/>
      <c r="U68" s="16"/>
      <c r="V68" s="16"/>
      <c r="W68" s="16"/>
      <c r="X68" s="16"/>
      <c r="Y68" s="16"/>
      <c r="Z68" s="16">
        <v>7056</v>
      </c>
      <c r="AA68" s="16">
        <v>7004</v>
      </c>
      <c r="AB68" s="16">
        <v>7037</v>
      </c>
      <c r="AC68" s="16">
        <v>4097</v>
      </c>
      <c r="AD68" s="16">
        <v>7092</v>
      </c>
      <c r="AE68" s="16">
        <v>7269</v>
      </c>
      <c r="AF68" s="16">
        <v>7302</v>
      </c>
      <c r="AG68" s="16">
        <v>7457</v>
      </c>
      <c r="AH68" s="16">
        <v>7263</v>
      </c>
      <c r="AI68" s="16">
        <v>7327</v>
      </c>
      <c r="AJ68" s="16">
        <v>3070</v>
      </c>
      <c r="AK68" s="16">
        <v>3123</v>
      </c>
      <c r="AL68" s="16">
        <v>0</v>
      </c>
      <c r="AM68" s="7">
        <v>0</v>
      </c>
      <c r="AN68" s="7">
        <v>0</v>
      </c>
      <c r="AO68" s="13">
        <v>0</v>
      </c>
      <c r="AP68" s="7">
        <v>0</v>
      </c>
      <c r="AQ68" s="7">
        <v>0</v>
      </c>
      <c r="AR68" s="7">
        <v>0</v>
      </c>
      <c r="AS68" s="7">
        <v>0</v>
      </c>
      <c r="AT68" s="13">
        <v>0</v>
      </c>
      <c r="AU68" s="13">
        <v>0</v>
      </c>
      <c r="AV68" s="13">
        <v>0</v>
      </c>
      <c r="AW68" s="13">
        <v>0</v>
      </c>
      <c r="AX68" s="13">
        <v>0</v>
      </c>
      <c r="AY68" s="13">
        <v>0</v>
      </c>
      <c r="AZ68" s="13">
        <v>0</v>
      </c>
      <c r="BA68" s="13">
        <v>0</v>
      </c>
      <c r="BB68" s="13">
        <v>0</v>
      </c>
    </row>
    <row r="69" spans="1:54" x14ac:dyDescent="0.4">
      <c r="A69" s="34" t="s">
        <v>5</v>
      </c>
      <c r="B69" s="16">
        <v>1001997</v>
      </c>
      <c r="C69" s="16">
        <v>1093155</v>
      </c>
      <c r="D69" s="16">
        <v>1125622</v>
      </c>
      <c r="E69" s="16">
        <v>1206301</v>
      </c>
      <c r="F69" s="16">
        <v>1258019</v>
      </c>
      <c r="G69" s="16">
        <v>1385734</v>
      </c>
      <c r="H69" s="16">
        <v>1399663</v>
      </c>
      <c r="I69" s="16">
        <v>1566506</v>
      </c>
      <c r="J69" s="16">
        <v>1638546</v>
      </c>
      <c r="K69" s="16">
        <v>1682024</v>
      </c>
      <c r="L69" s="16">
        <v>1748164</v>
      </c>
      <c r="M69" s="16">
        <v>1844856</v>
      </c>
      <c r="N69" s="16">
        <v>1936289</v>
      </c>
      <c r="O69" s="16">
        <v>1980550</v>
      </c>
      <c r="P69" s="16">
        <v>2119380</v>
      </c>
      <c r="Q69" s="16">
        <v>2132128</v>
      </c>
      <c r="R69" s="16">
        <v>2209212</v>
      </c>
      <c r="S69" s="16">
        <v>2260165</v>
      </c>
      <c r="T69" s="16">
        <v>2430774</v>
      </c>
      <c r="U69" s="16">
        <v>2454887</v>
      </c>
      <c r="V69" s="16">
        <v>2411532</v>
      </c>
      <c r="W69" s="16">
        <v>2502415</v>
      </c>
      <c r="X69" s="16">
        <v>2476035</v>
      </c>
      <c r="Y69" s="16">
        <v>2275858</v>
      </c>
      <c r="Z69" s="16">
        <v>2302297</v>
      </c>
      <c r="AA69" s="16">
        <v>2511051</v>
      </c>
      <c r="AB69" s="16">
        <v>2584016</v>
      </c>
      <c r="AC69" s="16">
        <v>2498557</v>
      </c>
      <c r="AD69" s="16">
        <v>2664930</v>
      </c>
      <c r="AE69" s="16">
        <v>2679855</v>
      </c>
      <c r="AF69" s="16">
        <v>2713728</v>
      </c>
      <c r="AG69" s="16">
        <v>2755946</v>
      </c>
      <c r="AH69" s="16">
        <v>3182096</v>
      </c>
      <c r="AI69" s="16">
        <v>3093287</v>
      </c>
      <c r="AJ69" s="16">
        <v>3028517</v>
      </c>
      <c r="AK69" s="16">
        <v>3152320</v>
      </c>
      <c r="AL69" s="16">
        <v>3572195</v>
      </c>
      <c r="AM69" s="7">
        <v>3288784</v>
      </c>
      <c r="AN69" s="7">
        <v>3488835</v>
      </c>
      <c r="AO69" s="13">
        <v>3854886</v>
      </c>
      <c r="AP69" s="7">
        <v>4513338</v>
      </c>
      <c r="AQ69" s="7">
        <v>4498605</v>
      </c>
      <c r="AR69" s="7">
        <v>4849960</v>
      </c>
      <c r="AS69" s="7">
        <v>5852501</v>
      </c>
      <c r="AT69" s="13">
        <v>7022375</v>
      </c>
      <c r="AU69" s="13">
        <v>7223262</v>
      </c>
      <c r="AV69" s="13">
        <v>7609504</v>
      </c>
      <c r="AW69" s="13">
        <v>8394110</v>
      </c>
      <c r="AX69" s="13">
        <v>9833141</v>
      </c>
      <c r="AY69" s="13">
        <v>10183528</v>
      </c>
      <c r="AZ69" s="13">
        <v>10542510</v>
      </c>
      <c r="BA69" s="13">
        <v>11250737</v>
      </c>
      <c r="BB69" s="13">
        <v>12595782</v>
      </c>
    </row>
    <row r="70" spans="1:54" x14ac:dyDescent="0.4">
      <c r="A70" s="35" t="s">
        <v>13</v>
      </c>
      <c r="B70" s="16">
        <v>0</v>
      </c>
      <c r="C70" s="16">
        <v>0</v>
      </c>
      <c r="D70" s="16">
        <v>0</v>
      </c>
      <c r="E70" s="16">
        <v>0</v>
      </c>
      <c r="F70" s="16">
        <v>0</v>
      </c>
      <c r="G70" s="16">
        <v>873</v>
      </c>
      <c r="H70" s="16">
        <v>873</v>
      </c>
      <c r="I70" s="16">
        <v>873</v>
      </c>
      <c r="J70" s="16">
        <v>0</v>
      </c>
      <c r="K70" s="16">
        <v>0</v>
      </c>
      <c r="L70" s="16">
        <v>0</v>
      </c>
      <c r="M70" s="16">
        <v>0</v>
      </c>
      <c r="N70" s="16">
        <v>0</v>
      </c>
      <c r="O70" s="16">
        <v>0</v>
      </c>
      <c r="P70" s="16">
        <v>0</v>
      </c>
      <c r="Q70" s="16">
        <v>0</v>
      </c>
      <c r="R70" s="16">
        <v>30</v>
      </c>
      <c r="S70" s="16">
        <v>80</v>
      </c>
      <c r="T70" s="16">
        <v>108</v>
      </c>
      <c r="U70" s="16">
        <v>138</v>
      </c>
      <c r="V70" s="16">
        <v>148</v>
      </c>
      <c r="W70" s="16">
        <v>50759</v>
      </c>
      <c r="X70" s="16">
        <v>40431</v>
      </c>
      <c r="Y70" s="16">
        <v>14063</v>
      </c>
      <c r="Z70" s="16">
        <v>8492</v>
      </c>
      <c r="AA70" s="16">
        <v>20928</v>
      </c>
      <c r="AB70" s="16">
        <v>41841</v>
      </c>
      <c r="AC70" s="16">
        <v>25274</v>
      </c>
      <c r="AD70" s="16">
        <v>8144</v>
      </c>
      <c r="AE70" s="16">
        <v>1632</v>
      </c>
      <c r="AF70" s="16">
        <v>2454</v>
      </c>
      <c r="AG70" s="16">
        <v>6399</v>
      </c>
      <c r="AH70" s="16">
        <v>8332</v>
      </c>
      <c r="AI70" s="16">
        <v>14784</v>
      </c>
      <c r="AJ70" s="16">
        <v>29394</v>
      </c>
      <c r="AK70" s="16">
        <v>21063</v>
      </c>
      <c r="AL70" s="16">
        <v>56961</v>
      </c>
      <c r="AM70" s="7">
        <v>59789</v>
      </c>
      <c r="AN70" s="7">
        <v>62873</v>
      </c>
      <c r="AO70" s="13">
        <v>113177</v>
      </c>
      <c r="AP70" s="7">
        <v>63348</v>
      </c>
      <c r="AQ70" s="7">
        <v>54490</v>
      </c>
      <c r="AR70" s="7">
        <v>78317</v>
      </c>
      <c r="AS70" s="7">
        <v>109762</v>
      </c>
      <c r="AT70" s="13">
        <v>104272</v>
      </c>
      <c r="AU70" s="13">
        <v>116079</v>
      </c>
      <c r="AV70" s="13">
        <v>217461</v>
      </c>
      <c r="AW70" s="13">
        <v>163646</v>
      </c>
      <c r="AX70" s="13">
        <v>277738</v>
      </c>
      <c r="AY70" s="13">
        <v>299978</v>
      </c>
      <c r="AZ70" s="13">
        <v>321514</v>
      </c>
      <c r="BA70" s="13">
        <v>316831</v>
      </c>
      <c r="BB70" s="13">
        <v>250033</v>
      </c>
    </row>
    <row r="71" spans="1:54" x14ac:dyDescent="0.4">
      <c r="A71" s="35" t="s">
        <v>14</v>
      </c>
      <c r="B71" s="16">
        <v>1001997</v>
      </c>
      <c r="C71" s="16">
        <v>1093155</v>
      </c>
      <c r="D71" s="16">
        <v>1125622</v>
      </c>
      <c r="E71" s="16">
        <v>1206301</v>
      </c>
      <c r="F71" s="16">
        <v>1258019</v>
      </c>
      <c r="G71" s="16">
        <v>1384861</v>
      </c>
      <c r="H71" s="16">
        <v>1398790</v>
      </c>
      <c r="I71" s="16">
        <v>1565633</v>
      </c>
      <c r="J71" s="16">
        <v>1638546</v>
      </c>
      <c r="K71" s="16">
        <v>1682024</v>
      </c>
      <c r="L71" s="16">
        <v>1748164</v>
      </c>
      <c r="M71" s="16">
        <v>1844856</v>
      </c>
      <c r="N71" s="16">
        <v>1936289</v>
      </c>
      <c r="O71" s="16">
        <v>1980550</v>
      </c>
      <c r="P71" s="16">
        <v>2119380</v>
      </c>
      <c r="Q71" s="16">
        <v>2132128</v>
      </c>
      <c r="R71" s="16">
        <v>2209182</v>
      </c>
      <c r="S71" s="16">
        <v>2260085</v>
      </c>
      <c r="T71" s="16">
        <v>2430665</v>
      </c>
      <c r="U71" s="16">
        <v>2454749</v>
      </c>
      <c r="V71" s="16">
        <v>2411384</v>
      </c>
      <c r="W71" s="16">
        <v>2451655</v>
      </c>
      <c r="X71" s="16">
        <v>2435604</v>
      </c>
      <c r="Y71" s="16">
        <v>2261795</v>
      </c>
      <c r="Z71" s="16">
        <v>2293805</v>
      </c>
      <c r="AA71" s="16">
        <v>2490122</v>
      </c>
      <c r="AB71" s="16">
        <v>2542175</v>
      </c>
      <c r="AC71" s="16">
        <v>2473283</v>
      </c>
      <c r="AD71" s="16">
        <v>2656786</v>
      </c>
      <c r="AE71" s="16">
        <v>2678223</v>
      </c>
      <c r="AF71" s="16">
        <v>2711273</v>
      </c>
      <c r="AG71" s="16">
        <v>2749547</v>
      </c>
      <c r="AH71" s="16">
        <v>3173764</v>
      </c>
      <c r="AI71" s="16">
        <v>3078503</v>
      </c>
      <c r="AJ71" s="16">
        <v>2999124</v>
      </c>
      <c r="AK71" s="16">
        <v>3131257</v>
      </c>
      <c r="AL71" s="16">
        <v>3515235</v>
      </c>
      <c r="AM71" s="7">
        <v>3228995</v>
      </c>
      <c r="AN71" s="7">
        <v>3425962</v>
      </c>
      <c r="AO71" s="13">
        <v>3741708</v>
      </c>
      <c r="AP71" s="7">
        <v>4449990</v>
      </c>
      <c r="AQ71" s="7">
        <v>4444115</v>
      </c>
      <c r="AR71" s="7">
        <v>4771643</v>
      </c>
      <c r="AS71" s="7">
        <v>5742739</v>
      </c>
      <c r="AT71" s="13">
        <v>6918103</v>
      </c>
      <c r="AU71" s="13">
        <v>7107184</v>
      </c>
      <c r="AV71" s="13">
        <v>7392043</v>
      </c>
      <c r="AW71" s="13">
        <v>8230464</v>
      </c>
      <c r="AX71" s="13">
        <v>9555403</v>
      </c>
      <c r="AY71" s="13">
        <v>9883550</v>
      </c>
      <c r="AZ71" s="13">
        <v>10220997</v>
      </c>
      <c r="BA71" s="13">
        <v>10933906</v>
      </c>
      <c r="BB71" s="13">
        <v>12345750</v>
      </c>
    </row>
    <row r="72" spans="1:54" x14ac:dyDescent="0.4">
      <c r="A72" s="35" t="s">
        <v>27</v>
      </c>
      <c r="B72" s="16"/>
      <c r="C72" s="16"/>
      <c r="D72" s="16"/>
      <c r="E72" s="16"/>
      <c r="F72" s="16"/>
      <c r="G72" s="16"/>
      <c r="H72" s="16"/>
      <c r="I72" s="16"/>
      <c r="J72" s="16"/>
      <c r="K72" s="16"/>
      <c r="L72" s="16"/>
      <c r="M72" s="16"/>
      <c r="N72" s="16"/>
      <c r="O72" s="16"/>
      <c r="P72" s="16"/>
      <c r="Q72" s="16"/>
      <c r="R72" s="16"/>
      <c r="S72" s="16"/>
      <c r="T72" s="16"/>
      <c r="U72" s="16"/>
      <c r="V72" s="16"/>
      <c r="W72" s="16"/>
      <c r="X72" s="16"/>
      <c r="Y72" s="16"/>
      <c r="Z72" s="16">
        <v>114285</v>
      </c>
      <c r="AA72" s="16">
        <v>110159</v>
      </c>
      <c r="AB72" s="16">
        <v>131044</v>
      </c>
      <c r="AC72" s="16">
        <v>112836</v>
      </c>
      <c r="AD72" s="16">
        <v>121807</v>
      </c>
      <c r="AE72" s="16">
        <v>162145</v>
      </c>
      <c r="AF72" s="16">
        <v>407531</v>
      </c>
      <c r="AG72" s="16">
        <v>420394</v>
      </c>
      <c r="AH72" s="16">
        <v>402584</v>
      </c>
      <c r="AI72" s="16">
        <v>395230</v>
      </c>
      <c r="AJ72" s="16">
        <v>173794</v>
      </c>
      <c r="AK72" s="16">
        <v>146428</v>
      </c>
      <c r="AL72" s="16">
        <v>145800</v>
      </c>
      <c r="AM72" s="7">
        <v>138482</v>
      </c>
      <c r="AN72" s="7">
        <v>133029</v>
      </c>
      <c r="AO72" s="13">
        <v>161772</v>
      </c>
      <c r="AP72" s="7">
        <v>162527</v>
      </c>
      <c r="AQ72" s="7">
        <v>180300</v>
      </c>
      <c r="AR72" s="7">
        <v>153657</v>
      </c>
      <c r="AS72" s="7">
        <v>231746</v>
      </c>
      <c r="AT72" s="13">
        <v>234102</v>
      </c>
      <c r="AU72" s="13">
        <v>245170</v>
      </c>
      <c r="AV72" s="13">
        <v>312419</v>
      </c>
      <c r="AW72" s="13">
        <v>375375</v>
      </c>
      <c r="AX72" s="13">
        <v>416262</v>
      </c>
      <c r="AY72" s="13">
        <v>414208</v>
      </c>
      <c r="AZ72" s="13">
        <v>480243</v>
      </c>
      <c r="BA72" s="13">
        <v>779216</v>
      </c>
      <c r="BB72" s="13">
        <v>802978</v>
      </c>
    </row>
    <row r="73" spans="1:54" x14ac:dyDescent="0.4">
      <c r="A73" s="35" t="s">
        <v>30</v>
      </c>
      <c r="B73" s="16"/>
      <c r="C73" s="16"/>
      <c r="D73" s="16"/>
      <c r="E73" s="16"/>
      <c r="F73" s="16"/>
      <c r="G73" s="16"/>
      <c r="H73" s="16"/>
      <c r="I73" s="16"/>
      <c r="J73" s="16"/>
      <c r="K73" s="16"/>
      <c r="L73" s="16"/>
      <c r="M73" s="16"/>
      <c r="N73" s="16"/>
      <c r="O73" s="16"/>
      <c r="P73" s="16"/>
      <c r="Q73" s="16"/>
      <c r="R73" s="16"/>
      <c r="S73" s="16"/>
      <c r="T73" s="16"/>
      <c r="U73" s="16"/>
      <c r="V73" s="16"/>
      <c r="W73" s="16"/>
      <c r="X73" s="16"/>
      <c r="Y73" s="16"/>
      <c r="Z73" s="16">
        <v>2179520</v>
      </c>
      <c r="AA73" s="16">
        <v>2379964</v>
      </c>
      <c r="AB73" s="16">
        <v>2411131</v>
      </c>
      <c r="AC73" s="16">
        <v>2360447</v>
      </c>
      <c r="AD73" s="16">
        <v>2534979</v>
      </c>
      <c r="AE73" s="16">
        <v>2516078</v>
      </c>
      <c r="AF73" s="16">
        <v>2303742</v>
      </c>
      <c r="AG73" s="16">
        <v>2329153</v>
      </c>
      <c r="AH73" s="16">
        <v>2771180</v>
      </c>
      <c r="AI73" s="16">
        <v>2683273</v>
      </c>
      <c r="AJ73" s="16">
        <v>2825330</v>
      </c>
      <c r="AK73" s="16">
        <v>2984829</v>
      </c>
      <c r="AL73" s="16">
        <v>3369435</v>
      </c>
      <c r="AM73" s="7">
        <v>3090513</v>
      </c>
      <c r="AN73" s="7">
        <v>3292933</v>
      </c>
      <c r="AO73" s="13">
        <v>3579936</v>
      </c>
      <c r="AP73" s="7">
        <v>4287463</v>
      </c>
      <c r="AQ73" s="7">
        <v>4263814</v>
      </c>
      <c r="AR73" s="7">
        <v>4617986</v>
      </c>
      <c r="AS73" s="7">
        <v>5510993</v>
      </c>
      <c r="AT73" s="13">
        <v>6684001</v>
      </c>
      <c r="AU73" s="13">
        <v>6862014</v>
      </c>
      <c r="AV73" s="13">
        <v>7079624</v>
      </c>
      <c r="AW73" s="13">
        <v>7855089</v>
      </c>
      <c r="AX73" s="13">
        <v>9139141</v>
      </c>
      <c r="AY73" s="13">
        <v>9469342</v>
      </c>
      <c r="AZ73" s="13">
        <v>9740754</v>
      </c>
      <c r="BA73" s="13">
        <v>10154690</v>
      </c>
      <c r="BB73" s="13">
        <v>11542771</v>
      </c>
    </row>
    <row r="74" spans="1:54" x14ac:dyDescent="0.4">
      <c r="A74" s="34" t="s">
        <v>6</v>
      </c>
      <c r="B74" s="16">
        <v>4414257</v>
      </c>
      <c r="C74" s="16">
        <v>4233274</v>
      </c>
      <c r="D74" s="16">
        <v>4415712</v>
      </c>
      <c r="E74" s="16">
        <v>4569162</v>
      </c>
      <c r="F74" s="16">
        <v>4859751</v>
      </c>
      <c r="G74" s="16">
        <v>4857140</v>
      </c>
      <c r="H74" s="16">
        <v>4896539</v>
      </c>
      <c r="I74" s="16">
        <v>4892619</v>
      </c>
      <c r="J74" s="16">
        <v>5892743</v>
      </c>
      <c r="K74" s="16">
        <v>5791168</v>
      </c>
      <c r="L74" s="16">
        <v>5864372</v>
      </c>
      <c r="M74" s="16">
        <v>5829353</v>
      </c>
      <c r="N74" s="16">
        <v>6012760</v>
      </c>
      <c r="O74" s="16">
        <v>6117163</v>
      </c>
      <c r="P74" s="16">
        <v>6258021</v>
      </c>
      <c r="Q74" s="16">
        <v>6272802</v>
      </c>
      <c r="R74" s="16">
        <v>6586035</v>
      </c>
      <c r="S74" s="16">
        <v>6947083</v>
      </c>
      <c r="T74" s="16">
        <v>7116831</v>
      </c>
      <c r="U74" s="16">
        <v>7572861</v>
      </c>
      <c r="V74" s="16">
        <v>7820146</v>
      </c>
      <c r="W74" s="16">
        <v>7879971</v>
      </c>
      <c r="X74" s="16">
        <v>8135309</v>
      </c>
      <c r="Y74" s="16">
        <v>8261275</v>
      </c>
      <c r="Z74" s="16">
        <v>8462574</v>
      </c>
      <c r="AA74" s="16">
        <v>8804502</v>
      </c>
      <c r="AB74" s="16">
        <v>9456789</v>
      </c>
      <c r="AC74" s="16">
        <v>9945470</v>
      </c>
      <c r="AD74" s="16">
        <v>10146562</v>
      </c>
      <c r="AE74" s="16">
        <v>10571931</v>
      </c>
      <c r="AF74" s="16">
        <v>11480294</v>
      </c>
      <c r="AG74" s="16">
        <v>12796005</v>
      </c>
      <c r="AH74" s="16">
        <v>15325835</v>
      </c>
      <c r="AI74" s="16">
        <v>16012522</v>
      </c>
      <c r="AJ74" s="16">
        <v>16847854</v>
      </c>
      <c r="AK74" s="16">
        <v>17352866</v>
      </c>
      <c r="AL74" s="16">
        <v>17081503</v>
      </c>
      <c r="AM74" s="7">
        <v>17205947</v>
      </c>
      <c r="AN74" s="7">
        <v>17255435</v>
      </c>
      <c r="AO74" s="13">
        <v>16828191</v>
      </c>
      <c r="AP74" s="7">
        <v>19559128</v>
      </c>
      <c r="AQ74" s="7">
        <v>20118883</v>
      </c>
      <c r="AR74" s="7">
        <v>21002129</v>
      </c>
      <c r="AS74" s="7">
        <v>21322717</v>
      </c>
      <c r="AT74" s="13">
        <v>21852925</v>
      </c>
      <c r="AU74" s="13">
        <v>22333044</v>
      </c>
      <c r="AV74" s="13">
        <v>22436962</v>
      </c>
      <c r="AW74" s="13">
        <v>22758722</v>
      </c>
      <c r="AX74" s="13">
        <v>24818717</v>
      </c>
      <c r="AY74" s="13">
        <v>25835272</v>
      </c>
      <c r="AZ74" s="13">
        <v>27296405</v>
      </c>
      <c r="BA74" s="13">
        <v>28414190</v>
      </c>
      <c r="BB74" s="13">
        <v>31655502</v>
      </c>
    </row>
    <row r="75" spans="1:54" x14ac:dyDescent="0.4">
      <c r="A75" s="35" t="s">
        <v>13</v>
      </c>
      <c r="B75" s="16">
        <v>0</v>
      </c>
      <c r="C75" s="16">
        <v>0</v>
      </c>
      <c r="D75" s="16">
        <v>0</v>
      </c>
      <c r="E75" s="16">
        <v>0</v>
      </c>
      <c r="F75" s="16">
        <v>0</v>
      </c>
      <c r="G75" s="16">
        <v>0</v>
      </c>
      <c r="H75" s="16">
        <v>0</v>
      </c>
      <c r="I75" s="16">
        <v>0</v>
      </c>
      <c r="J75" s="16">
        <v>0</v>
      </c>
      <c r="K75" s="16">
        <v>0</v>
      </c>
      <c r="L75" s="16">
        <v>0</v>
      </c>
      <c r="M75" s="16">
        <v>0</v>
      </c>
      <c r="N75" s="16">
        <v>0</v>
      </c>
      <c r="O75" s="16">
        <v>0</v>
      </c>
      <c r="P75" s="16">
        <v>0</v>
      </c>
      <c r="Q75" s="16">
        <v>0</v>
      </c>
      <c r="R75" s="16">
        <v>0</v>
      </c>
      <c r="S75" s="16">
        <v>0</v>
      </c>
      <c r="T75" s="16">
        <v>0</v>
      </c>
      <c r="U75" s="16">
        <v>0</v>
      </c>
      <c r="V75" s="16">
        <v>0</v>
      </c>
      <c r="W75" s="16">
        <v>0</v>
      </c>
      <c r="X75" s="16">
        <v>0</v>
      </c>
      <c r="Y75" s="16">
        <v>0</v>
      </c>
      <c r="Z75" s="16">
        <v>3000</v>
      </c>
      <c r="AA75" s="16">
        <v>3000</v>
      </c>
      <c r="AB75" s="16">
        <v>3000</v>
      </c>
      <c r="AC75" s="16">
        <v>3000</v>
      </c>
      <c r="AD75" s="16">
        <v>0</v>
      </c>
      <c r="AE75" s="16">
        <v>0</v>
      </c>
      <c r="AF75" s="16">
        <v>0</v>
      </c>
      <c r="AG75" s="16">
        <v>0</v>
      </c>
      <c r="AH75" s="16">
        <v>0</v>
      </c>
      <c r="AI75" s="16">
        <v>0</v>
      </c>
      <c r="AJ75" s="16">
        <v>0</v>
      </c>
      <c r="AK75" s="16">
        <v>0</v>
      </c>
      <c r="AL75" s="16">
        <v>0</v>
      </c>
      <c r="AM75" s="7">
        <v>5416</v>
      </c>
      <c r="AN75" s="7">
        <v>5570</v>
      </c>
      <c r="AO75" s="13">
        <v>5417</v>
      </c>
      <c r="AP75" s="7">
        <v>5574</v>
      </c>
      <c r="AQ75" s="7">
        <v>0</v>
      </c>
      <c r="AR75" s="7">
        <v>0</v>
      </c>
      <c r="AS75" s="7">
        <v>15052</v>
      </c>
      <c r="AT75" s="13">
        <v>60200</v>
      </c>
      <c r="AU75" s="13">
        <v>59928</v>
      </c>
      <c r="AV75" s="13">
        <v>6363</v>
      </c>
      <c r="AW75" s="13">
        <v>4363</v>
      </c>
      <c r="AX75" s="13">
        <v>0</v>
      </c>
      <c r="AY75" s="13">
        <v>0</v>
      </c>
      <c r="AZ75" s="13">
        <v>0</v>
      </c>
      <c r="BA75" s="13">
        <v>0</v>
      </c>
      <c r="BB75" s="13">
        <v>0</v>
      </c>
    </row>
    <row r="76" spans="1:54" x14ac:dyDescent="0.4">
      <c r="A76" s="35" t="s">
        <v>14</v>
      </c>
      <c r="B76" s="16">
        <v>4414257</v>
      </c>
      <c r="C76" s="16">
        <v>4233274</v>
      </c>
      <c r="D76" s="16">
        <v>4415712</v>
      </c>
      <c r="E76" s="16">
        <v>4569162</v>
      </c>
      <c r="F76" s="16">
        <v>4859751</v>
      </c>
      <c r="G76" s="16">
        <v>4857140</v>
      </c>
      <c r="H76" s="16">
        <v>4896539</v>
      </c>
      <c r="I76" s="16">
        <v>4892619</v>
      </c>
      <c r="J76" s="16">
        <v>5892743</v>
      </c>
      <c r="K76" s="16">
        <v>5791168</v>
      </c>
      <c r="L76" s="16">
        <v>5864372</v>
      </c>
      <c r="M76" s="16">
        <v>5829353</v>
      </c>
      <c r="N76" s="16">
        <v>6012760</v>
      </c>
      <c r="O76" s="16">
        <v>6117163</v>
      </c>
      <c r="P76" s="16">
        <v>6258021</v>
      </c>
      <c r="Q76" s="16">
        <v>6272802</v>
      </c>
      <c r="R76" s="16">
        <v>6586035</v>
      </c>
      <c r="S76" s="16">
        <v>6947083</v>
      </c>
      <c r="T76" s="16">
        <v>7116831</v>
      </c>
      <c r="U76" s="16">
        <v>7572861</v>
      </c>
      <c r="V76" s="16">
        <v>7820146</v>
      </c>
      <c r="W76" s="16">
        <v>7879971</v>
      </c>
      <c r="X76" s="16">
        <v>8135309</v>
      </c>
      <c r="Y76" s="16">
        <v>8261275</v>
      </c>
      <c r="Z76" s="16">
        <v>8459574</v>
      </c>
      <c r="AA76" s="16">
        <v>8801502</v>
      </c>
      <c r="AB76" s="16">
        <v>9453789</v>
      </c>
      <c r="AC76" s="16">
        <v>9942470</v>
      </c>
      <c r="AD76" s="16">
        <v>10146562</v>
      </c>
      <c r="AE76" s="16">
        <v>10571931</v>
      </c>
      <c r="AF76" s="16">
        <v>11480294</v>
      </c>
      <c r="AG76" s="16">
        <v>12796005</v>
      </c>
      <c r="AH76" s="16">
        <v>15325835</v>
      </c>
      <c r="AI76" s="16">
        <v>16012522</v>
      </c>
      <c r="AJ76" s="16">
        <v>16847854</v>
      </c>
      <c r="AK76" s="16">
        <v>17352866</v>
      </c>
      <c r="AL76" s="16">
        <v>17081503</v>
      </c>
      <c r="AM76" s="7">
        <v>17200532</v>
      </c>
      <c r="AN76" s="7">
        <v>17249865</v>
      </c>
      <c r="AO76" s="13">
        <v>16822774</v>
      </c>
      <c r="AP76" s="7">
        <v>19553554</v>
      </c>
      <c r="AQ76" s="7">
        <v>20118883</v>
      </c>
      <c r="AR76" s="7">
        <v>21002129</v>
      </c>
      <c r="AS76" s="7">
        <v>21307665</v>
      </c>
      <c r="AT76" s="13">
        <v>21792726</v>
      </c>
      <c r="AU76" s="13">
        <v>22273116</v>
      </c>
      <c r="AV76" s="13">
        <v>22430599</v>
      </c>
      <c r="AW76" s="13">
        <v>22754359</v>
      </c>
      <c r="AX76" s="13">
        <v>24818717</v>
      </c>
      <c r="AY76" s="13">
        <v>25835272</v>
      </c>
      <c r="AZ76" s="13">
        <v>27296405</v>
      </c>
      <c r="BA76" s="13">
        <v>28414190</v>
      </c>
      <c r="BB76" s="13">
        <v>31655502</v>
      </c>
    </row>
    <row r="77" spans="1:54" x14ac:dyDescent="0.4">
      <c r="A77" s="35" t="s">
        <v>27</v>
      </c>
      <c r="B77" s="16"/>
      <c r="C77" s="16"/>
      <c r="D77" s="16"/>
      <c r="E77" s="16"/>
      <c r="F77" s="16"/>
      <c r="G77" s="16"/>
      <c r="H77" s="16"/>
      <c r="I77" s="16"/>
      <c r="J77" s="16"/>
      <c r="K77" s="16"/>
      <c r="L77" s="16"/>
      <c r="M77" s="16"/>
      <c r="N77" s="16"/>
      <c r="O77" s="16"/>
      <c r="P77" s="16"/>
      <c r="Q77" s="16"/>
      <c r="R77" s="16"/>
      <c r="S77" s="16"/>
      <c r="T77" s="16"/>
      <c r="U77" s="16"/>
      <c r="V77" s="16"/>
      <c r="W77" s="16"/>
      <c r="X77" s="16"/>
      <c r="Y77" s="16"/>
      <c r="Z77" s="16">
        <v>728232</v>
      </c>
      <c r="AA77" s="16">
        <v>818588</v>
      </c>
      <c r="AB77" s="16">
        <v>807334</v>
      </c>
      <c r="AC77" s="16">
        <v>824086</v>
      </c>
      <c r="AD77" s="16">
        <v>565997</v>
      </c>
      <c r="AE77" s="16">
        <v>413026</v>
      </c>
      <c r="AF77" s="16">
        <v>310002</v>
      </c>
      <c r="AG77" s="16">
        <v>583059</v>
      </c>
      <c r="AH77" s="16">
        <v>1037677</v>
      </c>
      <c r="AI77" s="16">
        <v>948081</v>
      </c>
      <c r="AJ77" s="16">
        <v>809296</v>
      </c>
      <c r="AK77" s="16">
        <v>977403</v>
      </c>
      <c r="AL77" s="16">
        <v>1111038</v>
      </c>
      <c r="AM77" s="7">
        <v>1270470</v>
      </c>
      <c r="AN77" s="7">
        <v>1282520</v>
      </c>
      <c r="AO77" s="13">
        <v>1331627</v>
      </c>
      <c r="AP77" s="7">
        <v>901307</v>
      </c>
      <c r="AQ77" s="7">
        <v>1129081</v>
      </c>
      <c r="AR77" s="7">
        <v>1471083</v>
      </c>
      <c r="AS77" s="7">
        <v>1374332</v>
      </c>
      <c r="AT77" s="13">
        <v>1584551</v>
      </c>
      <c r="AU77" s="13">
        <v>1624414</v>
      </c>
      <c r="AV77" s="13">
        <v>1309235</v>
      </c>
      <c r="AW77" s="13">
        <v>1425173</v>
      </c>
      <c r="AX77" s="13">
        <v>1514274</v>
      </c>
      <c r="AY77" s="13">
        <v>1521987</v>
      </c>
      <c r="AZ77" s="13">
        <v>1538813</v>
      </c>
      <c r="BA77" s="13">
        <v>1463511</v>
      </c>
      <c r="BB77" s="13">
        <v>1515317</v>
      </c>
    </row>
    <row r="78" spans="1:54" x14ac:dyDescent="0.4">
      <c r="A78" s="35" t="s">
        <v>30</v>
      </c>
      <c r="B78" s="16"/>
      <c r="C78" s="16"/>
      <c r="D78" s="16"/>
      <c r="E78" s="16"/>
      <c r="F78" s="16"/>
      <c r="G78" s="16"/>
      <c r="H78" s="16"/>
      <c r="I78" s="16"/>
      <c r="J78" s="16"/>
      <c r="K78" s="16"/>
      <c r="L78" s="16"/>
      <c r="M78" s="16"/>
      <c r="N78" s="16"/>
      <c r="O78" s="16"/>
      <c r="P78" s="16"/>
      <c r="Q78" s="16"/>
      <c r="R78" s="16"/>
      <c r="S78" s="16"/>
      <c r="T78" s="16"/>
      <c r="U78" s="16"/>
      <c r="V78" s="16"/>
      <c r="W78" s="16"/>
      <c r="X78" s="16"/>
      <c r="Y78" s="16"/>
      <c r="Z78" s="16">
        <v>7731342</v>
      </c>
      <c r="AA78" s="16">
        <v>7982915</v>
      </c>
      <c r="AB78" s="16">
        <v>8646455</v>
      </c>
      <c r="AC78" s="16">
        <v>9118384</v>
      </c>
      <c r="AD78" s="16">
        <v>9580565</v>
      </c>
      <c r="AE78" s="16">
        <v>10158905</v>
      </c>
      <c r="AF78" s="16">
        <v>11170292</v>
      </c>
      <c r="AG78" s="16">
        <v>12212945</v>
      </c>
      <c r="AH78" s="16">
        <v>14288158</v>
      </c>
      <c r="AI78" s="16">
        <v>15064441</v>
      </c>
      <c r="AJ78" s="16">
        <v>16038558</v>
      </c>
      <c r="AK78" s="16">
        <v>16375463</v>
      </c>
      <c r="AL78" s="16">
        <v>15970465</v>
      </c>
      <c r="AM78" s="7">
        <v>15930062</v>
      </c>
      <c r="AN78" s="7">
        <v>15967345</v>
      </c>
      <c r="AO78" s="13">
        <v>15491147</v>
      </c>
      <c r="AP78" s="7">
        <v>18652247</v>
      </c>
      <c r="AQ78" s="7">
        <v>18989802</v>
      </c>
      <c r="AR78" s="7">
        <v>19531046</v>
      </c>
      <c r="AS78" s="7">
        <v>19933333</v>
      </c>
      <c r="AT78" s="13">
        <v>20208174</v>
      </c>
      <c r="AU78" s="13">
        <v>20648702</v>
      </c>
      <c r="AV78" s="13">
        <v>21121364</v>
      </c>
      <c r="AW78" s="13">
        <v>21329187</v>
      </c>
      <c r="AX78" s="13">
        <v>23304442</v>
      </c>
      <c r="AY78" s="13">
        <v>24313285</v>
      </c>
      <c r="AZ78" s="13">
        <v>25757592</v>
      </c>
      <c r="BA78" s="13">
        <v>26950679</v>
      </c>
      <c r="BB78" s="13">
        <v>30140186</v>
      </c>
    </row>
    <row r="79" spans="1:54" x14ac:dyDescent="0.4">
      <c r="A79" s="34" t="s">
        <v>7</v>
      </c>
      <c r="B79" s="16">
        <v>1838806</v>
      </c>
      <c r="C79" s="16">
        <v>1946070</v>
      </c>
      <c r="D79" s="16">
        <v>2009239</v>
      </c>
      <c r="E79" s="16">
        <v>2051738</v>
      </c>
      <c r="F79" s="16">
        <v>2130393</v>
      </c>
      <c r="G79" s="16">
        <v>2141043</v>
      </c>
      <c r="H79" s="16">
        <v>2136203</v>
      </c>
      <c r="I79" s="16">
        <v>2118221</v>
      </c>
      <c r="J79" s="16">
        <v>2730955</v>
      </c>
      <c r="K79" s="16">
        <v>3146386</v>
      </c>
      <c r="L79" s="16">
        <v>3350885</v>
      </c>
      <c r="M79" s="16">
        <v>3471126</v>
      </c>
      <c r="N79" s="16">
        <v>3557366</v>
      </c>
      <c r="O79" s="16">
        <v>3536208</v>
      </c>
      <c r="P79" s="16">
        <v>3787763</v>
      </c>
      <c r="Q79" s="16">
        <v>3964607</v>
      </c>
      <c r="R79" s="16">
        <v>4755783</v>
      </c>
      <c r="S79" s="16">
        <v>4873063</v>
      </c>
      <c r="T79" s="16">
        <v>5125247</v>
      </c>
      <c r="U79" s="16">
        <v>5441952</v>
      </c>
      <c r="V79" s="16">
        <v>6221968</v>
      </c>
      <c r="W79" s="16">
        <v>6373153</v>
      </c>
      <c r="X79" s="16">
        <v>6305842</v>
      </c>
      <c r="Y79" s="16">
        <v>6190564</v>
      </c>
      <c r="Z79" s="16">
        <v>6236123</v>
      </c>
      <c r="AA79" s="16">
        <v>6383574</v>
      </c>
      <c r="AB79" s="16">
        <v>6577747</v>
      </c>
      <c r="AC79" s="16">
        <v>6638301</v>
      </c>
      <c r="AD79" s="16">
        <v>7076204</v>
      </c>
      <c r="AE79" s="16">
        <v>7217721</v>
      </c>
      <c r="AF79" s="16">
        <v>7424081</v>
      </c>
      <c r="AG79" s="16">
        <v>7506998</v>
      </c>
      <c r="AH79" s="16">
        <v>8684921</v>
      </c>
      <c r="AI79" s="16">
        <v>8357551</v>
      </c>
      <c r="AJ79" s="16">
        <v>8258508</v>
      </c>
      <c r="AK79" s="16">
        <v>8426397</v>
      </c>
      <c r="AL79" s="16">
        <v>8381796</v>
      </c>
      <c r="AM79" s="7">
        <v>8039116</v>
      </c>
      <c r="AN79" s="7">
        <v>8211825</v>
      </c>
      <c r="AO79" s="13">
        <v>8362232</v>
      </c>
      <c r="AP79" s="7">
        <v>8237017</v>
      </c>
      <c r="AQ79" s="7">
        <v>8189526</v>
      </c>
      <c r="AR79" s="7">
        <v>8297496</v>
      </c>
      <c r="AS79" s="7">
        <v>8036936</v>
      </c>
      <c r="AT79" s="13">
        <v>8269543</v>
      </c>
      <c r="AU79" s="13">
        <v>8360366</v>
      </c>
      <c r="AV79" s="13">
        <v>8429755</v>
      </c>
      <c r="AW79" s="13">
        <v>8724096</v>
      </c>
      <c r="AX79" s="13">
        <v>9787748</v>
      </c>
      <c r="AY79" s="13">
        <v>10814099</v>
      </c>
      <c r="AZ79" s="13">
        <v>11702889</v>
      </c>
      <c r="BA79" s="13">
        <v>12226255</v>
      </c>
      <c r="BB79" s="13">
        <v>12601151</v>
      </c>
    </row>
    <row r="80" spans="1:54" x14ac:dyDescent="0.4">
      <c r="A80" s="35" t="s">
        <v>13</v>
      </c>
      <c r="B80" s="16">
        <v>0</v>
      </c>
      <c r="C80" s="16">
        <v>2000</v>
      </c>
      <c r="D80" s="16">
        <v>2000</v>
      </c>
      <c r="E80" s="16">
        <v>2000</v>
      </c>
      <c r="F80" s="16">
        <v>2000</v>
      </c>
      <c r="G80" s="16">
        <v>0</v>
      </c>
      <c r="H80" s="16">
        <v>15077</v>
      </c>
      <c r="I80" s="16">
        <v>14982</v>
      </c>
      <c r="J80" s="16">
        <v>0</v>
      </c>
      <c r="K80" s="16">
        <v>0</v>
      </c>
      <c r="L80" s="16">
        <v>0</v>
      </c>
      <c r="M80" s="16">
        <v>0</v>
      </c>
      <c r="N80" s="16">
        <v>0</v>
      </c>
      <c r="O80" s="16">
        <v>0</v>
      </c>
      <c r="P80" s="16">
        <v>0</v>
      </c>
      <c r="Q80" s="16">
        <v>100</v>
      </c>
      <c r="R80" s="16">
        <v>100</v>
      </c>
      <c r="S80" s="16">
        <v>100</v>
      </c>
      <c r="T80" s="16">
        <v>130</v>
      </c>
      <c r="U80" s="16">
        <v>60</v>
      </c>
      <c r="V80" s="16">
        <v>10049</v>
      </c>
      <c r="W80" s="16">
        <v>11839</v>
      </c>
      <c r="X80" s="16">
        <v>11025</v>
      </c>
      <c r="Y80" s="16">
        <v>10958</v>
      </c>
      <c r="Z80" s="16">
        <v>207</v>
      </c>
      <c r="AA80" s="16">
        <v>200</v>
      </c>
      <c r="AB80" s="16">
        <v>0</v>
      </c>
      <c r="AC80" s="16">
        <v>50</v>
      </c>
      <c r="AD80" s="16">
        <v>90</v>
      </c>
      <c r="AE80" s="16">
        <v>192</v>
      </c>
      <c r="AF80" s="16">
        <v>191</v>
      </c>
      <c r="AG80" s="16">
        <v>142</v>
      </c>
      <c r="AH80" s="16">
        <v>371</v>
      </c>
      <c r="AI80" s="16">
        <v>369</v>
      </c>
      <c r="AJ80" s="16">
        <v>406</v>
      </c>
      <c r="AK80" s="16">
        <v>215</v>
      </c>
      <c r="AL80" s="16">
        <v>40</v>
      </c>
      <c r="AM80" s="7">
        <v>0</v>
      </c>
      <c r="AN80" s="7">
        <v>0</v>
      </c>
      <c r="AO80" s="13">
        <v>0</v>
      </c>
      <c r="AP80" s="7">
        <v>0</v>
      </c>
      <c r="AQ80" s="7">
        <v>0</v>
      </c>
      <c r="AR80" s="7">
        <v>0</v>
      </c>
      <c r="AS80" s="7">
        <v>212</v>
      </c>
      <c r="AT80" s="13">
        <v>2122</v>
      </c>
      <c r="AU80" s="13">
        <v>2124</v>
      </c>
      <c r="AV80" s="13">
        <v>2086</v>
      </c>
      <c r="AW80" s="13">
        <v>2136</v>
      </c>
      <c r="AX80" s="13">
        <v>21444</v>
      </c>
      <c r="AY80" s="13">
        <v>28631</v>
      </c>
      <c r="AZ80" s="13">
        <v>28465</v>
      </c>
      <c r="BA80" s="13">
        <v>28199</v>
      </c>
      <c r="BB80" s="13">
        <v>8221</v>
      </c>
    </row>
    <row r="81" spans="1:54" x14ac:dyDescent="0.4">
      <c r="A81" s="35" t="s">
        <v>14</v>
      </c>
      <c r="B81" s="16">
        <v>1838806</v>
      </c>
      <c r="C81" s="16">
        <v>1944070</v>
      </c>
      <c r="D81" s="16">
        <v>2007239</v>
      </c>
      <c r="E81" s="16">
        <v>2049738</v>
      </c>
      <c r="F81" s="16">
        <v>2128393</v>
      </c>
      <c r="G81" s="16">
        <v>2141043</v>
      </c>
      <c r="H81" s="16">
        <v>2121126</v>
      </c>
      <c r="I81" s="16">
        <v>2103239</v>
      </c>
      <c r="J81" s="16">
        <v>2730955</v>
      </c>
      <c r="K81" s="16">
        <v>3146386</v>
      </c>
      <c r="L81" s="16">
        <v>3350885</v>
      </c>
      <c r="M81" s="16">
        <v>3471126</v>
      </c>
      <c r="N81" s="16">
        <v>3557366</v>
      </c>
      <c r="O81" s="16">
        <v>3536208</v>
      </c>
      <c r="P81" s="16">
        <v>3787763</v>
      </c>
      <c r="Q81" s="16">
        <v>3964507</v>
      </c>
      <c r="R81" s="16">
        <v>4755683</v>
      </c>
      <c r="S81" s="16">
        <v>4872963</v>
      </c>
      <c r="T81" s="16">
        <v>5125117</v>
      </c>
      <c r="U81" s="16">
        <v>5441892</v>
      </c>
      <c r="V81" s="16">
        <v>6211919</v>
      </c>
      <c r="W81" s="16">
        <v>6361314</v>
      </c>
      <c r="X81" s="16">
        <v>6294817</v>
      </c>
      <c r="Y81" s="16">
        <v>6179606</v>
      </c>
      <c r="Z81" s="16">
        <v>6235915</v>
      </c>
      <c r="AA81" s="16">
        <v>6383374</v>
      </c>
      <c r="AB81" s="16">
        <v>6577747</v>
      </c>
      <c r="AC81" s="16">
        <v>6638251</v>
      </c>
      <c r="AD81" s="16">
        <v>7076114</v>
      </c>
      <c r="AE81" s="16">
        <v>7217529</v>
      </c>
      <c r="AF81" s="16">
        <v>7423890</v>
      </c>
      <c r="AG81" s="16">
        <v>7506856</v>
      </c>
      <c r="AH81" s="16">
        <v>8684550</v>
      </c>
      <c r="AI81" s="16">
        <v>8357182</v>
      </c>
      <c r="AJ81" s="16">
        <v>8258102</v>
      </c>
      <c r="AK81" s="16">
        <v>8426182</v>
      </c>
      <c r="AL81" s="16">
        <v>8381756</v>
      </c>
      <c r="AM81" s="7">
        <v>8039116</v>
      </c>
      <c r="AN81" s="7">
        <v>8211825</v>
      </c>
      <c r="AO81" s="13">
        <v>8362232</v>
      </c>
      <c r="AP81" s="7">
        <v>8237017</v>
      </c>
      <c r="AQ81" s="7">
        <v>8189526</v>
      </c>
      <c r="AR81" s="7">
        <v>8297496</v>
      </c>
      <c r="AS81" s="7">
        <v>8036723</v>
      </c>
      <c r="AT81" s="13">
        <v>8267421</v>
      </c>
      <c r="AU81" s="13">
        <v>8358242</v>
      </c>
      <c r="AV81" s="13">
        <v>8427670</v>
      </c>
      <c r="AW81" s="13">
        <v>8721960</v>
      </c>
      <c r="AX81" s="13">
        <v>9766304</v>
      </c>
      <c r="AY81" s="13">
        <v>10785468</v>
      </c>
      <c r="AZ81" s="13">
        <v>11674424</v>
      </c>
      <c r="BA81" s="13">
        <v>12198055</v>
      </c>
      <c r="BB81" s="13">
        <v>12592930</v>
      </c>
    </row>
    <row r="82" spans="1:54" x14ac:dyDescent="0.4">
      <c r="A82" s="35" t="s">
        <v>27</v>
      </c>
      <c r="B82" s="16"/>
      <c r="C82" s="16"/>
      <c r="D82" s="16"/>
      <c r="E82" s="16"/>
      <c r="F82" s="16"/>
      <c r="G82" s="16"/>
      <c r="H82" s="16"/>
      <c r="I82" s="16"/>
      <c r="J82" s="16"/>
      <c r="K82" s="16"/>
      <c r="L82" s="16"/>
      <c r="M82" s="16"/>
      <c r="N82" s="16"/>
      <c r="O82" s="16"/>
      <c r="P82" s="16"/>
      <c r="Q82" s="16"/>
      <c r="R82" s="16"/>
      <c r="S82" s="16"/>
      <c r="T82" s="16"/>
      <c r="U82" s="16"/>
      <c r="V82" s="16"/>
      <c r="W82" s="16"/>
      <c r="X82" s="16"/>
      <c r="Y82" s="16"/>
      <c r="Z82" s="16">
        <v>220923</v>
      </c>
      <c r="AA82" s="16">
        <v>283842</v>
      </c>
      <c r="AB82" s="16">
        <v>263777</v>
      </c>
      <c r="AC82" s="16">
        <v>203919</v>
      </c>
      <c r="AD82" s="16">
        <v>729469</v>
      </c>
      <c r="AE82" s="16">
        <v>1155546</v>
      </c>
      <c r="AF82" s="16">
        <v>1175383</v>
      </c>
      <c r="AG82" s="16">
        <v>1149453</v>
      </c>
      <c r="AH82" s="16">
        <v>666857</v>
      </c>
      <c r="AI82" s="16">
        <v>291076</v>
      </c>
      <c r="AJ82" s="16">
        <v>334516</v>
      </c>
      <c r="AK82" s="16">
        <v>393467</v>
      </c>
      <c r="AL82" s="16">
        <v>487705</v>
      </c>
      <c r="AM82" s="7">
        <v>565019</v>
      </c>
      <c r="AN82" s="7">
        <v>634026</v>
      </c>
      <c r="AO82" s="13">
        <v>599850</v>
      </c>
      <c r="AP82" s="7">
        <v>590111</v>
      </c>
      <c r="AQ82" s="7">
        <v>582387</v>
      </c>
      <c r="AR82" s="7">
        <v>472623</v>
      </c>
      <c r="AS82" s="7">
        <v>519443</v>
      </c>
      <c r="AT82" s="13">
        <v>760877</v>
      </c>
      <c r="AU82" s="13">
        <v>759431</v>
      </c>
      <c r="AV82" s="13">
        <v>873069</v>
      </c>
      <c r="AW82" s="13">
        <v>817678</v>
      </c>
      <c r="AX82" s="13">
        <v>749372</v>
      </c>
      <c r="AY82" s="13">
        <v>775630</v>
      </c>
      <c r="AZ82" s="13">
        <v>1013537</v>
      </c>
      <c r="BA82" s="13">
        <v>1403824</v>
      </c>
      <c r="BB82" s="13">
        <v>2035202</v>
      </c>
    </row>
    <row r="83" spans="1:54" x14ac:dyDescent="0.4">
      <c r="A83" s="35" t="s">
        <v>30</v>
      </c>
      <c r="B83" s="16"/>
      <c r="C83" s="16"/>
      <c r="D83" s="16"/>
      <c r="E83" s="16"/>
      <c r="F83" s="16"/>
      <c r="G83" s="16"/>
      <c r="H83" s="16"/>
      <c r="I83" s="16"/>
      <c r="J83" s="16"/>
      <c r="K83" s="16"/>
      <c r="L83" s="16"/>
      <c r="M83" s="16"/>
      <c r="N83" s="16"/>
      <c r="O83" s="16"/>
      <c r="P83" s="16"/>
      <c r="Q83" s="16"/>
      <c r="R83" s="16"/>
      <c r="S83" s="16"/>
      <c r="T83" s="16"/>
      <c r="U83" s="16"/>
      <c r="V83" s="16"/>
      <c r="W83" s="16"/>
      <c r="X83" s="16"/>
      <c r="Y83" s="16"/>
      <c r="Z83" s="16">
        <v>6014992</v>
      </c>
      <c r="AA83" s="16">
        <v>6099531</v>
      </c>
      <c r="AB83" s="16">
        <v>6313969</v>
      </c>
      <c r="AC83" s="16">
        <v>6434332</v>
      </c>
      <c r="AD83" s="16">
        <v>6346645</v>
      </c>
      <c r="AE83" s="16">
        <v>6061983</v>
      </c>
      <c r="AF83" s="16">
        <v>6248507</v>
      </c>
      <c r="AG83" s="16">
        <v>6357402</v>
      </c>
      <c r="AH83" s="16">
        <v>8017693</v>
      </c>
      <c r="AI83" s="16">
        <v>8066106</v>
      </c>
      <c r="AJ83" s="16">
        <v>7923587</v>
      </c>
      <c r="AK83" s="16">
        <v>8032715</v>
      </c>
      <c r="AL83" s="16">
        <v>7894051</v>
      </c>
      <c r="AM83" s="7">
        <v>7474096</v>
      </c>
      <c r="AN83" s="7">
        <v>7577799</v>
      </c>
      <c r="AO83" s="13">
        <v>7762382</v>
      </c>
      <c r="AP83" s="7">
        <v>7646906</v>
      </c>
      <c r="AQ83" s="7">
        <v>7607139</v>
      </c>
      <c r="AR83" s="7">
        <v>7824873</v>
      </c>
      <c r="AS83" s="7">
        <v>7517281</v>
      </c>
      <c r="AT83" s="13">
        <v>7506545</v>
      </c>
      <c r="AU83" s="13">
        <v>7598811</v>
      </c>
      <c r="AV83" s="13">
        <v>7554601</v>
      </c>
      <c r="AW83" s="13">
        <v>7904282</v>
      </c>
      <c r="AX83" s="13">
        <v>9016932</v>
      </c>
      <c r="AY83" s="13">
        <v>10009838</v>
      </c>
      <c r="AZ83" s="13">
        <v>10660887</v>
      </c>
      <c r="BA83" s="13">
        <v>10794231</v>
      </c>
      <c r="BB83" s="13">
        <v>10557727</v>
      </c>
    </row>
    <row r="84" spans="1:54" x14ac:dyDescent="0.4">
      <c r="A84" s="34" t="s">
        <v>8</v>
      </c>
      <c r="B84" s="16">
        <v>70482</v>
      </c>
      <c r="C84" s="16">
        <v>70554</v>
      </c>
      <c r="D84" s="16">
        <v>70540</v>
      </c>
      <c r="E84" s="16">
        <v>88005</v>
      </c>
      <c r="F84" s="16">
        <v>102981</v>
      </c>
      <c r="G84" s="16">
        <v>102786</v>
      </c>
      <c r="H84" s="16">
        <v>100939</v>
      </c>
      <c r="I84" s="16">
        <v>100694</v>
      </c>
      <c r="J84" s="16">
        <v>104592</v>
      </c>
      <c r="K84" s="16">
        <v>104139</v>
      </c>
      <c r="L84" s="16">
        <v>107943</v>
      </c>
      <c r="M84" s="16">
        <v>108313</v>
      </c>
      <c r="N84" s="16">
        <v>111446</v>
      </c>
      <c r="O84" s="16">
        <v>114411</v>
      </c>
      <c r="P84" s="16">
        <v>113656</v>
      </c>
      <c r="Q84" s="16">
        <v>114399</v>
      </c>
      <c r="R84" s="16">
        <v>109409</v>
      </c>
      <c r="S84" s="16">
        <v>109305</v>
      </c>
      <c r="T84" s="16">
        <v>119606</v>
      </c>
      <c r="U84" s="16">
        <v>119728</v>
      </c>
      <c r="V84" s="16">
        <v>107091</v>
      </c>
      <c r="W84" s="16">
        <v>107541</v>
      </c>
      <c r="X84" s="16">
        <v>107203</v>
      </c>
      <c r="Y84" s="16">
        <v>109543</v>
      </c>
      <c r="Z84" s="16">
        <v>107636</v>
      </c>
      <c r="AA84" s="16">
        <v>102856</v>
      </c>
      <c r="AB84" s="16">
        <v>102974</v>
      </c>
      <c r="AC84" s="16">
        <v>110300</v>
      </c>
      <c r="AD84" s="16">
        <v>122960</v>
      </c>
      <c r="AE84" s="16">
        <v>120856</v>
      </c>
      <c r="AF84" s="16">
        <v>161911</v>
      </c>
      <c r="AG84" s="16">
        <v>151388</v>
      </c>
      <c r="AH84" s="16">
        <v>134901</v>
      </c>
      <c r="AI84" s="16">
        <v>130661</v>
      </c>
      <c r="AJ84" s="16">
        <v>121063</v>
      </c>
      <c r="AK84" s="16">
        <v>120463</v>
      </c>
      <c r="AL84" s="16">
        <v>104581</v>
      </c>
      <c r="AM84" s="7">
        <v>102294</v>
      </c>
      <c r="AN84" s="7">
        <v>111040</v>
      </c>
      <c r="AO84" s="13">
        <v>165004</v>
      </c>
      <c r="AP84" s="7">
        <v>172263</v>
      </c>
      <c r="AQ84" s="7">
        <v>122792</v>
      </c>
      <c r="AR84" s="7">
        <v>112062</v>
      </c>
      <c r="AS84" s="7">
        <v>116906</v>
      </c>
      <c r="AT84" s="13">
        <v>132258</v>
      </c>
      <c r="AU84" s="13">
        <v>137481</v>
      </c>
      <c r="AV84" s="13">
        <v>128844</v>
      </c>
      <c r="AW84" s="13">
        <v>128900</v>
      </c>
      <c r="AX84" s="13">
        <v>127405</v>
      </c>
      <c r="AY84" s="13">
        <v>122769</v>
      </c>
      <c r="AZ84" s="13">
        <v>109680</v>
      </c>
      <c r="BA84" s="13">
        <v>108335</v>
      </c>
      <c r="BB84" s="13">
        <v>103969</v>
      </c>
    </row>
    <row r="85" spans="1:54" x14ac:dyDescent="0.4">
      <c r="A85" s="34" t="s">
        <v>13</v>
      </c>
      <c r="B85" s="16">
        <v>13090</v>
      </c>
      <c r="C85" s="16">
        <v>13075</v>
      </c>
      <c r="D85" s="16">
        <v>13034</v>
      </c>
      <c r="E85" s="16">
        <v>13038</v>
      </c>
      <c r="F85" s="16">
        <v>0</v>
      </c>
      <c r="G85" s="16">
        <v>0</v>
      </c>
      <c r="H85" s="16">
        <v>0</v>
      </c>
      <c r="I85" s="16">
        <v>0</v>
      </c>
      <c r="J85" s="16">
        <v>0</v>
      </c>
      <c r="K85" s="16">
        <v>0</v>
      </c>
      <c r="L85" s="16">
        <v>0</v>
      </c>
      <c r="M85" s="16">
        <v>0</v>
      </c>
      <c r="N85" s="16">
        <v>0</v>
      </c>
      <c r="O85" s="16">
        <v>3000</v>
      </c>
      <c r="P85" s="16">
        <v>3000</v>
      </c>
      <c r="Q85" s="16">
        <v>3000</v>
      </c>
      <c r="R85" s="16">
        <v>3000</v>
      </c>
      <c r="S85" s="16">
        <v>13000</v>
      </c>
      <c r="T85" s="16">
        <v>0</v>
      </c>
      <c r="U85" s="16">
        <v>3000</v>
      </c>
      <c r="V85" s="16">
        <v>0</v>
      </c>
      <c r="W85" s="16">
        <v>0</v>
      </c>
      <c r="X85" s="16">
        <v>0</v>
      </c>
      <c r="Y85" s="16">
        <v>0</v>
      </c>
      <c r="Z85" s="16">
        <v>0</v>
      </c>
      <c r="AA85" s="16">
        <v>0</v>
      </c>
      <c r="AB85" s="16">
        <v>0</v>
      </c>
      <c r="AC85" s="16">
        <v>2000</v>
      </c>
      <c r="AD85" s="16">
        <v>3000</v>
      </c>
      <c r="AE85" s="16">
        <v>0</v>
      </c>
      <c r="AF85" s="16">
        <v>0</v>
      </c>
      <c r="AG85" s="16">
        <v>0</v>
      </c>
      <c r="AH85" s="16">
        <v>0</v>
      </c>
      <c r="AI85" s="16">
        <v>0</v>
      </c>
      <c r="AJ85" s="16">
        <v>0</v>
      </c>
      <c r="AK85" s="16">
        <v>0</v>
      </c>
      <c r="AL85" s="16">
        <v>0</v>
      </c>
      <c r="AM85" s="16">
        <v>0</v>
      </c>
      <c r="AN85" s="16">
        <v>0</v>
      </c>
      <c r="AO85" s="13">
        <v>43395</v>
      </c>
      <c r="AP85" s="16">
        <v>44327</v>
      </c>
      <c r="AQ85" s="16">
        <v>0</v>
      </c>
      <c r="AR85" s="16">
        <v>0</v>
      </c>
      <c r="AS85" s="16">
        <v>0</v>
      </c>
      <c r="AT85" s="13">
        <v>0</v>
      </c>
      <c r="AU85" s="13">
        <v>0</v>
      </c>
      <c r="AV85" s="13">
        <v>0</v>
      </c>
      <c r="AW85" s="13">
        <v>0</v>
      </c>
      <c r="AX85" s="13">
        <v>0</v>
      </c>
      <c r="AY85" s="13">
        <v>0</v>
      </c>
      <c r="AZ85" s="13">
        <v>0</v>
      </c>
      <c r="BA85" s="13">
        <v>0</v>
      </c>
      <c r="BB85" s="13">
        <v>0</v>
      </c>
    </row>
    <row r="86" spans="1:54" x14ac:dyDescent="0.4">
      <c r="A86" s="34" t="s">
        <v>14</v>
      </c>
      <c r="B86" s="16">
        <v>57392</v>
      </c>
      <c r="C86" s="16">
        <v>57479</v>
      </c>
      <c r="D86" s="16">
        <v>57507</v>
      </c>
      <c r="E86" s="16">
        <v>74968</v>
      </c>
      <c r="F86" s="16">
        <v>102981</v>
      </c>
      <c r="G86" s="16">
        <v>102786</v>
      </c>
      <c r="H86" s="16">
        <v>100939</v>
      </c>
      <c r="I86" s="16">
        <v>100694</v>
      </c>
      <c r="J86" s="16">
        <v>104592</v>
      </c>
      <c r="K86" s="16">
        <v>104139</v>
      </c>
      <c r="L86" s="16">
        <v>107943</v>
      </c>
      <c r="M86" s="16">
        <v>108313</v>
      </c>
      <c r="N86" s="16">
        <v>111446</v>
      </c>
      <c r="O86" s="16">
        <v>111411</v>
      </c>
      <c r="P86" s="16">
        <v>110656</v>
      </c>
      <c r="Q86" s="16">
        <v>111399</v>
      </c>
      <c r="R86" s="16">
        <v>106409</v>
      </c>
      <c r="S86" s="16">
        <v>96305</v>
      </c>
      <c r="T86" s="16">
        <v>119606</v>
      </c>
      <c r="U86" s="16">
        <v>116728</v>
      </c>
      <c r="V86" s="16">
        <v>107091</v>
      </c>
      <c r="W86" s="16">
        <v>107541</v>
      </c>
      <c r="X86" s="16">
        <v>107203</v>
      </c>
      <c r="Y86" s="16">
        <v>109543</v>
      </c>
      <c r="Z86" s="16">
        <v>107636</v>
      </c>
      <c r="AA86" s="16">
        <v>102856</v>
      </c>
      <c r="AB86" s="16">
        <v>102974</v>
      </c>
      <c r="AC86" s="16">
        <v>108300</v>
      </c>
      <c r="AD86" s="16">
        <v>119960</v>
      </c>
      <c r="AE86" s="16">
        <v>120856</v>
      </c>
      <c r="AF86" s="16">
        <v>161911</v>
      </c>
      <c r="AG86" s="16">
        <v>151388</v>
      </c>
      <c r="AH86" s="16">
        <v>134901</v>
      </c>
      <c r="AI86" s="16">
        <v>130661</v>
      </c>
      <c r="AJ86" s="16">
        <v>121063</v>
      </c>
      <c r="AK86" s="16">
        <v>120463</v>
      </c>
      <c r="AL86" s="16">
        <v>104581</v>
      </c>
      <c r="AM86" s="7">
        <v>102294</v>
      </c>
      <c r="AN86" s="7">
        <v>111040</v>
      </c>
      <c r="AO86" s="13">
        <v>121609</v>
      </c>
      <c r="AP86" s="7">
        <v>127935</v>
      </c>
      <c r="AQ86" s="7">
        <v>122792</v>
      </c>
      <c r="AR86" s="7">
        <v>112062</v>
      </c>
      <c r="AS86" s="7">
        <v>116906</v>
      </c>
      <c r="AT86" s="13">
        <v>132258</v>
      </c>
      <c r="AU86" s="13">
        <v>137481</v>
      </c>
      <c r="AV86" s="13">
        <v>128844</v>
      </c>
      <c r="AW86" s="13">
        <v>128900</v>
      </c>
      <c r="AX86" s="13">
        <v>127405</v>
      </c>
      <c r="AY86" s="13">
        <v>122769</v>
      </c>
      <c r="AZ86" s="13">
        <v>109680</v>
      </c>
      <c r="BA86" s="13">
        <v>108335</v>
      </c>
      <c r="BB86" s="13">
        <v>103969</v>
      </c>
    </row>
    <row r="87" spans="1:54" x14ac:dyDescent="0.4">
      <c r="A87" s="35" t="s">
        <v>27</v>
      </c>
      <c r="B87" s="16"/>
      <c r="C87" s="16"/>
      <c r="D87" s="16"/>
      <c r="E87" s="16"/>
      <c r="F87" s="16"/>
      <c r="G87" s="16"/>
      <c r="H87" s="16"/>
      <c r="I87" s="16"/>
      <c r="J87" s="16"/>
      <c r="K87" s="16"/>
      <c r="L87" s="16"/>
      <c r="M87" s="16"/>
      <c r="N87" s="16"/>
      <c r="O87" s="16"/>
      <c r="P87" s="16"/>
      <c r="Q87" s="16"/>
      <c r="R87" s="16"/>
      <c r="S87" s="16"/>
      <c r="T87" s="16"/>
      <c r="U87" s="16"/>
      <c r="V87" s="16"/>
      <c r="W87" s="16"/>
      <c r="X87" s="16"/>
      <c r="Y87" s="16"/>
      <c r="Z87" s="16">
        <v>10000</v>
      </c>
      <c r="AA87" s="16">
        <v>0</v>
      </c>
      <c r="AB87" s="16">
        <v>0</v>
      </c>
      <c r="AC87" s="16">
        <v>15000</v>
      </c>
      <c r="AD87" s="16">
        <v>20102</v>
      </c>
      <c r="AE87" s="16">
        <v>25469</v>
      </c>
      <c r="AF87" s="16">
        <v>36015</v>
      </c>
      <c r="AG87" s="16">
        <v>20794</v>
      </c>
      <c r="AH87" s="16">
        <v>29715</v>
      </c>
      <c r="AI87" s="16">
        <v>24671</v>
      </c>
      <c r="AJ87" s="16">
        <v>14300</v>
      </c>
      <c r="AK87" s="16">
        <v>14300</v>
      </c>
      <c r="AL87" s="16">
        <v>0</v>
      </c>
      <c r="AM87" s="7">
        <v>14065</v>
      </c>
      <c r="AN87" s="7">
        <v>34145</v>
      </c>
      <c r="AO87" s="13">
        <v>34287</v>
      </c>
      <c r="AP87" s="7">
        <v>34456</v>
      </c>
      <c r="AQ87" s="7">
        <v>20361</v>
      </c>
      <c r="AR87" s="7">
        <v>11959</v>
      </c>
      <c r="AS87" s="7">
        <v>11684</v>
      </c>
      <c r="AT87" s="13">
        <v>18942</v>
      </c>
      <c r="AU87" s="13">
        <v>23977</v>
      </c>
      <c r="AV87" s="13">
        <v>25046</v>
      </c>
      <c r="AW87" s="13">
        <v>34236</v>
      </c>
      <c r="AX87" s="13">
        <v>31296</v>
      </c>
      <c r="AY87" s="13">
        <v>35052</v>
      </c>
      <c r="AZ87" s="13">
        <v>23024</v>
      </c>
      <c r="BA87" s="13">
        <v>12260</v>
      </c>
      <c r="BB87" s="13">
        <v>14435</v>
      </c>
    </row>
    <row r="88" spans="1:54" x14ac:dyDescent="0.4">
      <c r="A88" s="35" t="s">
        <v>30</v>
      </c>
      <c r="B88" s="16"/>
      <c r="C88" s="16"/>
      <c r="D88" s="16"/>
      <c r="E88" s="16"/>
      <c r="F88" s="16"/>
      <c r="G88" s="16"/>
      <c r="H88" s="16"/>
      <c r="I88" s="16"/>
      <c r="J88" s="16"/>
      <c r="K88" s="16"/>
      <c r="L88" s="16"/>
      <c r="M88" s="16"/>
      <c r="N88" s="16"/>
      <c r="O88" s="16"/>
      <c r="P88" s="16"/>
      <c r="Q88" s="16"/>
      <c r="R88" s="16"/>
      <c r="S88" s="16"/>
      <c r="T88" s="16"/>
      <c r="U88" s="16"/>
      <c r="V88" s="16"/>
      <c r="W88" s="16"/>
      <c r="X88" s="16"/>
      <c r="Y88" s="16"/>
      <c r="Z88" s="16">
        <v>97636</v>
      </c>
      <c r="AA88" s="16">
        <v>102856</v>
      </c>
      <c r="AB88" s="16">
        <v>102974</v>
      </c>
      <c r="AC88" s="16">
        <v>93300</v>
      </c>
      <c r="AD88" s="16">
        <v>99858</v>
      </c>
      <c r="AE88" s="16">
        <v>95387</v>
      </c>
      <c r="AF88" s="16">
        <v>125896</v>
      </c>
      <c r="AG88" s="16">
        <v>130594</v>
      </c>
      <c r="AH88" s="16">
        <v>105186</v>
      </c>
      <c r="AI88" s="16">
        <v>105990</v>
      </c>
      <c r="AJ88" s="16">
        <v>106763</v>
      </c>
      <c r="AK88" s="16">
        <v>106163</v>
      </c>
      <c r="AL88" s="16">
        <v>104581</v>
      </c>
      <c r="AM88" s="7">
        <v>88229</v>
      </c>
      <c r="AN88" s="7">
        <v>76896</v>
      </c>
      <c r="AO88" s="13">
        <v>87322</v>
      </c>
      <c r="AP88" s="7">
        <v>93479</v>
      </c>
      <c r="AQ88" s="7">
        <v>102432</v>
      </c>
      <c r="AR88" s="7">
        <v>100103</v>
      </c>
      <c r="AS88" s="7">
        <v>105222</v>
      </c>
      <c r="AT88" s="13">
        <v>113317</v>
      </c>
      <c r="AU88" s="13">
        <v>113504</v>
      </c>
      <c r="AV88" s="13">
        <v>103798</v>
      </c>
      <c r="AW88" s="13">
        <v>94664</v>
      </c>
      <c r="AX88" s="13">
        <v>96110</v>
      </c>
      <c r="AY88" s="13">
        <v>87717</v>
      </c>
      <c r="AZ88" s="13">
        <v>86656</v>
      </c>
      <c r="BA88" s="13">
        <v>96075</v>
      </c>
      <c r="BB88" s="13">
        <v>89534</v>
      </c>
    </row>
    <row r="89" spans="1:54" x14ac:dyDescent="0.4">
      <c r="A89" s="24"/>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K89" s="16"/>
      <c r="AL89" s="16"/>
    </row>
    <row r="90" spans="1:54" x14ac:dyDescent="0.4">
      <c r="A90" s="31" t="s">
        <v>17</v>
      </c>
      <c r="L90" s="1"/>
      <c r="AG90" s="23"/>
      <c r="AK90" s="16"/>
      <c r="AL90" s="16"/>
    </row>
    <row r="91" spans="1:54" x14ac:dyDescent="0.4">
      <c r="A91" s="32" t="s">
        <v>2</v>
      </c>
      <c r="B91" s="27">
        <v>44487</v>
      </c>
      <c r="C91" s="27">
        <v>45508</v>
      </c>
      <c r="D91" s="27">
        <v>48036</v>
      </c>
      <c r="E91" s="27">
        <v>60199</v>
      </c>
      <c r="F91" s="27">
        <v>60898</v>
      </c>
      <c r="G91" s="27">
        <v>80641</v>
      </c>
      <c r="H91" s="27">
        <v>92788</v>
      </c>
      <c r="I91" s="27">
        <v>108572</v>
      </c>
      <c r="J91" s="27">
        <v>151449</v>
      </c>
      <c r="K91" s="27">
        <v>128814</v>
      </c>
      <c r="L91" s="27">
        <v>127059</v>
      </c>
      <c r="M91" s="27">
        <v>162202</v>
      </c>
      <c r="N91" s="27">
        <v>306090</v>
      </c>
      <c r="O91" s="27">
        <v>365337</v>
      </c>
      <c r="P91" s="27">
        <v>424333</v>
      </c>
      <c r="Q91" s="27">
        <v>506016</v>
      </c>
      <c r="R91" s="27">
        <v>494233</v>
      </c>
      <c r="S91" s="27">
        <v>479125</v>
      </c>
      <c r="T91" s="27">
        <v>491105</v>
      </c>
      <c r="U91" s="27">
        <v>496786</v>
      </c>
      <c r="V91" s="27">
        <v>480364</v>
      </c>
      <c r="W91" s="27">
        <v>491587</v>
      </c>
      <c r="X91" s="27">
        <v>530807</v>
      </c>
      <c r="Y91" s="27">
        <v>554088</v>
      </c>
      <c r="Z91" s="27">
        <v>588889</v>
      </c>
      <c r="AA91" s="27">
        <v>500689</v>
      </c>
      <c r="AB91" s="27">
        <v>489463</v>
      </c>
      <c r="AC91" s="27">
        <v>499872</v>
      </c>
      <c r="AD91" s="27">
        <v>493268</v>
      </c>
      <c r="AE91" s="27">
        <v>619948</v>
      </c>
      <c r="AF91" s="27">
        <v>538124</v>
      </c>
      <c r="AG91" s="27">
        <v>630071</v>
      </c>
      <c r="AH91" s="27">
        <v>612276</v>
      </c>
      <c r="AI91" s="27">
        <v>714882</v>
      </c>
      <c r="AJ91" s="27">
        <v>705443</v>
      </c>
      <c r="AK91" s="27">
        <v>927098</v>
      </c>
      <c r="AL91" s="27">
        <v>1216844</v>
      </c>
      <c r="AM91" s="22">
        <v>1207436</v>
      </c>
      <c r="AN91" s="22">
        <v>715873</v>
      </c>
      <c r="AO91" s="25">
        <v>1071487</v>
      </c>
      <c r="AP91" s="22">
        <v>2433715</v>
      </c>
      <c r="AQ91" s="22">
        <v>3282312</v>
      </c>
      <c r="AR91" s="22">
        <v>3717319</v>
      </c>
      <c r="AS91" s="22">
        <v>4242691</v>
      </c>
      <c r="AT91" s="25">
        <v>4425375</v>
      </c>
      <c r="AU91" s="25">
        <v>5049848</v>
      </c>
      <c r="AV91" s="25">
        <v>5053464</v>
      </c>
      <c r="AW91" s="25">
        <v>5610009</v>
      </c>
      <c r="AX91" s="25">
        <v>8123821</v>
      </c>
      <c r="AY91" s="25">
        <v>7111528</v>
      </c>
      <c r="AZ91" s="25">
        <v>7160342</v>
      </c>
      <c r="BA91" s="25">
        <v>8212546</v>
      </c>
      <c r="BB91" s="25">
        <v>7506472</v>
      </c>
    </row>
    <row r="92" spans="1:54" x14ac:dyDescent="0.4">
      <c r="A92" s="33" t="s">
        <v>13</v>
      </c>
      <c r="B92" s="27">
        <v>0</v>
      </c>
      <c r="C92" s="27">
        <v>0</v>
      </c>
      <c r="D92" s="27">
        <v>0</v>
      </c>
      <c r="E92" s="27">
        <v>0</v>
      </c>
      <c r="F92" s="27">
        <v>0</v>
      </c>
      <c r="G92" s="27">
        <v>0</v>
      </c>
      <c r="H92" s="27">
        <v>0</v>
      </c>
      <c r="I92" s="27">
        <v>0</v>
      </c>
      <c r="J92" s="27">
        <v>0</v>
      </c>
      <c r="K92" s="27">
        <v>0</v>
      </c>
      <c r="L92" s="27">
        <v>0</v>
      </c>
      <c r="M92" s="27">
        <v>0</v>
      </c>
      <c r="N92" s="27">
        <v>0</v>
      </c>
      <c r="O92" s="27">
        <v>0</v>
      </c>
      <c r="P92" s="27">
        <v>10</v>
      </c>
      <c r="Q92" s="27">
        <v>316</v>
      </c>
      <c r="R92" s="27">
        <v>0</v>
      </c>
      <c r="S92" s="27">
        <v>0</v>
      </c>
      <c r="T92" s="27">
        <v>0</v>
      </c>
      <c r="U92" s="27">
        <v>0</v>
      </c>
      <c r="V92" s="27">
        <v>0</v>
      </c>
      <c r="W92" s="27">
        <v>0</v>
      </c>
      <c r="X92" s="27">
        <v>0</v>
      </c>
      <c r="Y92" s="27">
        <v>0</v>
      </c>
      <c r="Z92" s="27">
        <v>0</v>
      </c>
      <c r="AA92" s="27">
        <v>0</v>
      </c>
      <c r="AB92" s="27">
        <v>0</v>
      </c>
      <c r="AC92" s="27">
        <v>0</v>
      </c>
      <c r="AD92" s="27">
        <v>0</v>
      </c>
      <c r="AE92" s="27">
        <v>0</v>
      </c>
      <c r="AF92" s="27">
        <v>0</v>
      </c>
      <c r="AG92" s="27">
        <v>0</v>
      </c>
      <c r="AH92" s="27">
        <v>0</v>
      </c>
      <c r="AI92" s="27">
        <v>0</v>
      </c>
      <c r="AJ92" s="27">
        <v>0</v>
      </c>
      <c r="AK92" s="27">
        <v>0</v>
      </c>
      <c r="AL92" s="27">
        <v>6636</v>
      </c>
      <c r="AM92" s="22">
        <v>7539</v>
      </c>
      <c r="AN92" s="22">
        <v>4604</v>
      </c>
      <c r="AO92" s="25">
        <v>5186</v>
      </c>
      <c r="AP92" s="22">
        <v>66195</v>
      </c>
      <c r="AQ92" s="22">
        <v>73808</v>
      </c>
      <c r="AR92" s="22">
        <v>2375</v>
      </c>
      <c r="AS92" s="22">
        <v>4938</v>
      </c>
      <c r="AT92" s="25">
        <v>58207</v>
      </c>
      <c r="AU92" s="25">
        <v>90687</v>
      </c>
      <c r="AV92" s="25">
        <v>101362</v>
      </c>
      <c r="AW92" s="25">
        <v>74321</v>
      </c>
      <c r="AX92" s="25">
        <v>22390</v>
      </c>
      <c r="AY92" s="25">
        <v>36776</v>
      </c>
      <c r="AZ92" s="25">
        <v>59184</v>
      </c>
      <c r="BA92" s="25">
        <v>114694</v>
      </c>
      <c r="BB92" s="25">
        <v>109414</v>
      </c>
    </row>
    <row r="93" spans="1:54" x14ac:dyDescent="0.4">
      <c r="A93" s="33" t="s">
        <v>14</v>
      </c>
      <c r="B93" s="27">
        <v>44487</v>
      </c>
      <c r="C93" s="27">
        <v>45508</v>
      </c>
      <c r="D93" s="27">
        <v>48036</v>
      </c>
      <c r="E93" s="27">
        <v>60199</v>
      </c>
      <c r="F93" s="27">
        <v>60898</v>
      </c>
      <c r="G93" s="27">
        <v>80641</v>
      </c>
      <c r="H93" s="27">
        <v>92788</v>
      </c>
      <c r="I93" s="27">
        <v>108572</v>
      </c>
      <c r="J93" s="27">
        <v>151449</v>
      </c>
      <c r="K93" s="27">
        <v>128814</v>
      </c>
      <c r="L93" s="27">
        <v>127059</v>
      </c>
      <c r="M93" s="27">
        <v>162202</v>
      </c>
      <c r="N93" s="27">
        <v>306090</v>
      </c>
      <c r="O93" s="27">
        <v>365337</v>
      </c>
      <c r="P93" s="27">
        <v>424324</v>
      </c>
      <c r="Q93" s="27">
        <v>505700</v>
      </c>
      <c r="R93" s="27">
        <v>494233</v>
      </c>
      <c r="S93" s="27">
        <v>479125</v>
      </c>
      <c r="T93" s="27">
        <v>491105</v>
      </c>
      <c r="U93" s="27">
        <v>496786</v>
      </c>
      <c r="V93" s="27">
        <v>480364</v>
      </c>
      <c r="W93" s="27">
        <v>491587</v>
      </c>
      <c r="X93" s="27">
        <v>530807</v>
      </c>
      <c r="Y93" s="27">
        <v>554088</v>
      </c>
      <c r="Z93" s="27">
        <v>588889</v>
      </c>
      <c r="AA93" s="27">
        <v>500689</v>
      </c>
      <c r="AB93" s="27">
        <v>489463</v>
      </c>
      <c r="AC93" s="27">
        <v>499872</v>
      </c>
      <c r="AD93" s="27">
        <v>493268</v>
      </c>
      <c r="AE93" s="27">
        <v>619948</v>
      </c>
      <c r="AF93" s="27">
        <v>538124</v>
      </c>
      <c r="AG93" s="27">
        <v>630071</v>
      </c>
      <c r="AH93" s="27">
        <v>612276</v>
      </c>
      <c r="AI93" s="27">
        <v>714882</v>
      </c>
      <c r="AJ93" s="27">
        <v>705443</v>
      </c>
      <c r="AK93" s="27">
        <v>927098</v>
      </c>
      <c r="AL93" s="27">
        <v>1210208</v>
      </c>
      <c r="AM93" s="22">
        <v>1199897</v>
      </c>
      <c r="AN93" s="22">
        <v>711269</v>
      </c>
      <c r="AO93" s="25">
        <v>1066301</v>
      </c>
      <c r="AP93" s="22">
        <v>2367520</v>
      </c>
      <c r="AQ93" s="22">
        <v>3208503</v>
      </c>
      <c r="AR93" s="22">
        <v>3714944</v>
      </c>
      <c r="AS93" s="22">
        <v>4237753</v>
      </c>
      <c r="AT93" s="25">
        <v>4367168</v>
      </c>
      <c r="AU93" s="25">
        <v>4959161</v>
      </c>
      <c r="AV93" s="25">
        <v>4952101</v>
      </c>
      <c r="AW93" s="25">
        <v>5535689</v>
      </c>
      <c r="AX93" s="25">
        <v>8101431</v>
      </c>
      <c r="AY93" s="25">
        <v>7074752</v>
      </c>
      <c r="AZ93" s="25">
        <v>7101158</v>
      </c>
      <c r="BA93" s="25">
        <v>8097852</v>
      </c>
      <c r="BB93" s="25">
        <v>7397058</v>
      </c>
    </row>
    <row r="94" spans="1:54" x14ac:dyDescent="0.4">
      <c r="A94" s="33" t="s">
        <v>27</v>
      </c>
      <c r="B94" s="27"/>
      <c r="C94" s="27"/>
      <c r="D94" s="27"/>
      <c r="E94" s="27"/>
      <c r="F94" s="27"/>
      <c r="G94" s="27"/>
      <c r="H94" s="27"/>
      <c r="I94" s="27"/>
      <c r="J94" s="27"/>
      <c r="K94" s="27"/>
      <c r="L94" s="27"/>
      <c r="M94" s="27"/>
      <c r="N94" s="27"/>
      <c r="O94" s="27"/>
      <c r="P94" s="27"/>
      <c r="Q94" s="27"/>
      <c r="R94" s="27"/>
      <c r="S94" s="27"/>
      <c r="T94" s="27"/>
      <c r="U94" s="27"/>
      <c r="V94" s="27"/>
      <c r="W94" s="27"/>
      <c r="X94" s="27"/>
      <c r="Y94" s="27"/>
      <c r="Z94" s="27">
        <v>0</v>
      </c>
      <c r="AA94" s="27">
        <v>0</v>
      </c>
      <c r="AB94" s="27">
        <v>22686</v>
      </c>
      <c r="AC94" s="27">
        <v>23168</v>
      </c>
      <c r="AD94" s="27">
        <v>22265</v>
      </c>
      <c r="AE94" s="27">
        <v>27958</v>
      </c>
      <c r="AF94" s="27">
        <v>2</v>
      </c>
      <c r="AG94" s="27">
        <v>49582</v>
      </c>
      <c r="AH94" s="27">
        <v>47653</v>
      </c>
      <c r="AI94" s="27">
        <v>47784</v>
      </c>
      <c r="AJ94" s="27">
        <v>45897</v>
      </c>
      <c r="AK94" s="27">
        <v>875</v>
      </c>
      <c r="AL94" s="27">
        <v>45922</v>
      </c>
      <c r="AM94" s="22">
        <v>52877</v>
      </c>
      <c r="AN94" s="22">
        <v>32537</v>
      </c>
      <c r="AO94" s="25">
        <v>35378</v>
      </c>
      <c r="AP94" s="22">
        <v>43031</v>
      </c>
      <c r="AQ94" s="22">
        <v>82660</v>
      </c>
      <c r="AR94" s="22">
        <v>179866</v>
      </c>
      <c r="AS94" s="22">
        <v>221562</v>
      </c>
      <c r="AT94" s="25">
        <v>250118</v>
      </c>
      <c r="AU94" s="25">
        <v>372394</v>
      </c>
      <c r="AV94" s="25">
        <v>426113</v>
      </c>
      <c r="AW94" s="25">
        <v>547895</v>
      </c>
      <c r="AX94" s="25">
        <v>1238153</v>
      </c>
      <c r="AY94" s="25">
        <v>1254924</v>
      </c>
      <c r="AZ94" s="25">
        <v>1370166</v>
      </c>
      <c r="BA94" s="25">
        <v>1501026</v>
      </c>
      <c r="BB94" s="25">
        <v>910199</v>
      </c>
    </row>
    <row r="95" spans="1:54" x14ac:dyDescent="0.4">
      <c r="A95" s="33" t="s">
        <v>30</v>
      </c>
      <c r="B95" s="27"/>
      <c r="C95" s="27"/>
      <c r="D95" s="27"/>
      <c r="E95" s="27"/>
      <c r="F95" s="27"/>
      <c r="G95" s="27"/>
      <c r="H95" s="27"/>
      <c r="I95" s="27"/>
      <c r="J95" s="27"/>
      <c r="K95" s="27"/>
      <c r="L95" s="27"/>
      <c r="M95" s="27"/>
      <c r="N95" s="27"/>
      <c r="O95" s="27"/>
      <c r="P95" s="27"/>
      <c r="Q95" s="27"/>
      <c r="R95" s="27"/>
      <c r="S95" s="27"/>
      <c r="T95" s="27"/>
      <c r="U95" s="27"/>
      <c r="V95" s="27"/>
      <c r="W95" s="27"/>
      <c r="X95" s="27"/>
      <c r="Y95" s="27"/>
      <c r="Z95" s="27">
        <v>588889</v>
      </c>
      <c r="AA95" s="27">
        <v>500689</v>
      </c>
      <c r="AB95" s="27">
        <v>466778</v>
      </c>
      <c r="AC95" s="27">
        <v>476704</v>
      </c>
      <c r="AD95" s="27">
        <v>471003</v>
      </c>
      <c r="AE95" s="27">
        <v>591990</v>
      </c>
      <c r="AF95" s="27">
        <v>538122</v>
      </c>
      <c r="AG95" s="27">
        <v>580490</v>
      </c>
      <c r="AH95" s="27">
        <v>564623</v>
      </c>
      <c r="AI95" s="27">
        <v>667097</v>
      </c>
      <c r="AJ95" s="27">
        <v>659546</v>
      </c>
      <c r="AK95" s="27">
        <v>926223</v>
      </c>
      <c r="AL95" s="27">
        <v>1164286</v>
      </c>
      <c r="AM95" s="22">
        <v>1147020</v>
      </c>
      <c r="AN95" s="22">
        <v>678733</v>
      </c>
      <c r="AO95" s="25">
        <v>1030923</v>
      </c>
      <c r="AP95" s="22">
        <v>2324489</v>
      </c>
      <c r="AQ95" s="22">
        <v>3125843</v>
      </c>
      <c r="AR95" s="22">
        <v>3535078</v>
      </c>
      <c r="AS95" s="22">
        <v>4016191</v>
      </c>
      <c r="AT95" s="25">
        <v>4117050</v>
      </c>
      <c r="AU95" s="25">
        <v>4586766</v>
      </c>
      <c r="AV95" s="25">
        <v>4525988</v>
      </c>
      <c r="AW95" s="25">
        <v>4987793</v>
      </c>
      <c r="AX95" s="25">
        <v>6863278</v>
      </c>
      <c r="AY95" s="25">
        <v>5819828</v>
      </c>
      <c r="AZ95" s="25">
        <v>5730992</v>
      </c>
      <c r="BA95" s="25">
        <v>6596825</v>
      </c>
      <c r="BB95" s="25">
        <v>6486860</v>
      </c>
    </row>
    <row r="96" spans="1:54" x14ac:dyDescent="0.4">
      <c r="A96" s="34" t="s">
        <v>11</v>
      </c>
      <c r="B96" s="16">
        <v>0</v>
      </c>
      <c r="C96" s="16">
        <v>0</v>
      </c>
      <c r="D96" s="16">
        <v>0</v>
      </c>
      <c r="E96" s="16">
        <v>0</v>
      </c>
      <c r="F96" s="16">
        <v>0</v>
      </c>
      <c r="G96" s="16">
        <v>0</v>
      </c>
      <c r="H96" s="16">
        <v>0</v>
      </c>
      <c r="I96" s="16">
        <v>0</v>
      </c>
      <c r="J96" s="16">
        <v>0</v>
      </c>
      <c r="K96" s="16">
        <v>0</v>
      </c>
      <c r="L96" s="16">
        <v>0</v>
      </c>
      <c r="M96" s="16">
        <v>0</v>
      </c>
      <c r="N96" s="16">
        <v>0</v>
      </c>
      <c r="O96" s="16">
        <v>0</v>
      </c>
      <c r="P96" s="16">
        <v>0</v>
      </c>
      <c r="Q96" s="16">
        <v>0</v>
      </c>
      <c r="R96" s="16">
        <v>0</v>
      </c>
      <c r="S96" s="16">
        <v>0</v>
      </c>
      <c r="T96" s="16">
        <v>0</v>
      </c>
      <c r="U96" s="16">
        <v>0</v>
      </c>
      <c r="V96" s="16">
        <v>0</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7">
        <v>0</v>
      </c>
      <c r="AN96" s="7">
        <v>0</v>
      </c>
      <c r="AO96" s="13">
        <v>0</v>
      </c>
      <c r="AP96" s="7">
        <v>0</v>
      </c>
      <c r="AQ96" s="7">
        <v>0</v>
      </c>
      <c r="AR96" s="7">
        <v>0</v>
      </c>
      <c r="AS96" s="7">
        <v>0</v>
      </c>
      <c r="AT96" s="13">
        <v>0</v>
      </c>
      <c r="AU96" s="13">
        <v>0</v>
      </c>
      <c r="AV96" s="13">
        <v>0</v>
      </c>
      <c r="AW96" s="13">
        <v>0</v>
      </c>
      <c r="AX96" s="13">
        <v>0</v>
      </c>
      <c r="AY96" s="13">
        <v>0</v>
      </c>
      <c r="AZ96" s="13">
        <v>0</v>
      </c>
      <c r="BA96" s="13">
        <v>0</v>
      </c>
      <c r="BB96" s="13">
        <v>0</v>
      </c>
    </row>
    <row r="97" spans="1:54" x14ac:dyDescent="0.4">
      <c r="A97" s="35" t="s">
        <v>13</v>
      </c>
      <c r="B97" s="16">
        <v>0</v>
      </c>
      <c r="C97" s="16">
        <v>0</v>
      </c>
      <c r="D97" s="16">
        <v>0</v>
      </c>
      <c r="E97" s="16">
        <v>0</v>
      </c>
      <c r="F97" s="16">
        <v>0</v>
      </c>
      <c r="G97" s="16">
        <v>0</v>
      </c>
      <c r="H97" s="16">
        <v>0</v>
      </c>
      <c r="I97" s="16">
        <v>0</v>
      </c>
      <c r="J97" s="16">
        <v>0</v>
      </c>
      <c r="K97" s="16">
        <v>0</v>
      </c>
      <c r="L97" s="16">
        <v>0</v>
      </c>
      <c r="M97" s="16">
        <v>0</v>
      </c>
      <c r="N97" s="16">
        <v>0</v>
      </c>
      <c r="O97" s="16">
        <v>0</v>
      </c>
      <c r="P97" s="16">
        <v>0</v>
      </c>
      <c r="Q97" s="16">
        <v>0</v>
      </c>
      <c r="R97" s="16">
        <v>0</v>
      </c>
      <c r="S97" s="16">
        <v>0</v>
      </c>
      <c r="T97" s="16">
        <v>0</v>
      </c>
      <c r="U97" s="16">
        <v>0</v>
      </c>
      <c r="V97" s="16">
        <v>0</v>
      </c>
      <c r="W97" s="16">
        <v>0</v>
      </c>
      <c r="X97" s="16">
        <v>0</v>
      </c>
      <c r="Y97" s="16">
        <v>0</v>
      </c>
      <c r="Z97" s="16">
        <v>0</v>
      </c>
      <c r="AA97" s="16">
        <v>0</v>
      </c>
      <c r="AB97" s="16">
        <v>0</v>
      </c>
      <c r="AC97" s="16">
        <v>0</v>
      </c>
      <c r="AD97" s="16">
        <v>0</v>
      </c>
      <c r="AE97" s="16">
        <v>0</v>
      </c>
      <c r="AF97" s="16">
        <v>0</v>
      </c>
      <c r="AG97" s="16">
        <v>0</v>
      </c>
      <c r="AH97" s="16">
        <v>0</v>
      </c>
      <c r="AI97" s="16">
        <v>0</v>
      </c>
      <c r="AJ97" s="16">
        <v>0</v>
      </c>
      <c r="AK97" s="16">
        <v>0</v>
      </c>
      <c r="AL97" s="16">
        <v>0</v>
      </c>
      <c r="AM97" s="7">
        <v>0</v>
      </c>
      <c r="AN97" s="7">
        <v>0</v>
      </c>
      <c r="AO97" s="13">
        <v>0</v>
      </c>
      <c r="AP97" s="7">
        <v>0</v>
      </c>
      <c r="AQ97" s="7">
        <v>0</v>
      </c>
      <c r="AR97" s="7">
        <v>0</v>
      </c>
      <c r="AS97" s="7">
        <v>0</v>
      </c>
      <c r="AT97" s="13">
        <v>0</v>
      </c>
      <c r="AU97" s="13">
        <v>0</v>
      </c>
      <c r="AV97" s="13">
        <v>0</v>
      </c>
      <c r="AW97" s="13">
        <v>0</v>
      </c>
      <c r="AX97" s="13">
        <v>0</v>
      </c>
      <c r="AY97" s="13">
        <v>0</v>
      </c>
      <c r="AZ97" s="13">
        <v>0</v>
      </c>
      <c r="BA97" s="13">
        <v>0</v>
      </c>
      <c r="BB97" s="13">
        <v>0</v>
      </c>
    </row>
    <row r="98" spans="1:54" x14ac:dyDescent="0.4">
      <c r="A98" s="35" t="s">
        <v>14</v>
      </c>
      <c r="B98" s="16">
        <v>0</v>
      </c>
      <c r="C98" s="16">
        <v>0</v>
      </c>
      <c r="D98" s="16">
        <v>0</v>
      </c>
      <c r="E98" s="16">
        <v>0</v>
      </c>
      <c r="F98" s="16">
        <v>0</v>
      </c>
      <c r="G98" s="16">
        <v>0</v>
      </c>
      <c r="H98" s="16">
        <v>0</v>
      </c>
      <c r="I98" s="16">
        <v>0</v>
      </c>
      <c r="J98" s="16">
        <v>0</v>
      </c>
      <c r="K98" s="16">
        <v>0</v>
      </c>
      <c r="L98" s="16">
        <v>0</v>
      </c>
      <c r="M98" s="16">
        <v>0</v>
      </c>
      <c r="N98" s="16">
        <v>0</v>
      </c>
      <c r="O98" s="16">
        <v>0</v>
      </c>
      <c r="P98" s="16">
        <v>0</v>
      </c>
      <c r="Q98" s="16">
        <v>0</v>
      </c>
      <c r="R98" s="16">
        <v>0</v>
      </c>
      <c r="S98" s="16">
        <v>0</v>
      </c>
      <c r="T98" s="16">
        <v>0</v>
      </c>
      <c r="U98" s="16">
        <v>0</v>
      </c>
      <c r="V98" s="16">
        <v>0</v>
      </c>
      <c r="W98" s="16">
        <v>0</v>
      </c>
      <c r="X98" s="16">
        <v>0</v>
      </c>
      <c r="Y98" s="16">
        <v>0</v>
      </c>
      <c r="Z98" s="16">
        <v>0</v>
      </c>
      <c r="AA98" s="16">
        <v>0</v>
      </c>
      <c r="AB98" s="16">
        <v>0</v>
      </c>
      <c r="AC98" s="16">
        <v>0</v>
      </c>
      <c r="AD98" s="16">
        <v>0</v>
      </c>
      <c r="AE98" s="16">
        <v>0</v>
      </c>
      <c r="AF98" s="16">
        <v>0</v>
      </c>
      <c r="AG98" s="16">
        <v>0</v>
      </c>
      <c r="AH98" s="16">
        <v>0</v>
      </c>
      <c r="AI98" s="16">
        <v>0</v>
      </c>
      <c r="AJ98" s="16">
        <v>0</v>
      </c>
      <c r="AK98" s="16">
        <v>0</v>
      </c>
      <c r="AL98" s="16">
        <v>0</v>
      </c>
      <c r="AM98" s="16">
        <v>0</v>
      </c>
      <c r="AN98" s="16">
        <v>0</v>
      </c>
      <c r="AO98" s="13">
        <v>0</v>
      </c>
      <c r="AP98" s="16">
        <v>0</v>
      </c>
      <c r="AQ98" s="16">
        <v>0</v>
      </c>
      <c r="AR98" s="16">
        <v>0</v>
      </c>
      <c r="AS98" s="16">
        <v>0</v>
      </c>
      <c r="AT98" s="13">
        <v>0</v>
      </c>
      <c r="AU98" s="13">
        <v>0</v>
      </c>
      <c r="AV98" s="13">
        <v>0</v>
      </c>
      <c r="AW98" s="13">
        <v>0</v>
      </c>
      <c r="AX98" s="13">
        <v>0</v>
      </c>
      <c r="AY98" s="13">
        <v>0</v>
      </c>
      <c r="AZ98" s="13">
        <v>0</v>
      </c>
      <c r="BA98" s="13">
        <v>0</v>
      </c>
      <c r="BB98" s="13">
        <v>0</v>
      </c>
    </row>
    <row r="99" spans="1:54" x14ac:dyDescent="0.4">
      <c r="A99" s="35" t="s">
        <v>27</v>
      </c>
      <c r="B99" s="16"/>
      <c r="C99" s="16"/>
      <c r="D99" s="16"/>
      <c r="E99" s="16"/>
      <c r="F99" s="16"/>
      <c r="G99" s="16"/>
      <c r="H99" s="16"/>
      <c r="I99" s="16"/>
      <c r="J99" s="16"/>
      <c r="K99" s="16"/>
      <c r="L99" s="16"/>
      <c r="M99" s="16"/>
      <c r="N99" s="16"/>
      <c r="O99" s="16"/>
      <c r="P99" s="16"/>
      <c r="Q99" s="16"/>
      <c r="R99" s="16"/>
      <c r="S99" s="16"/>
      <c r="T99" s="16"/>
      <c r="U99" s="16"/>
      <c r="V99" s="16"/>
      <c r="W99" s="16"/>
      <c r="X99" s="16"/>
      <c r="Y99" s="16"/>
      <c r="Z99" s="16">
        <v>0</v>
      </c>
      <c r="AA99" s="16">
        <v>0</v>
      </c>
      <c r="AB99" s="16">
        <v>0</v>
      </c>
      <c r="AC99" s="16">
        <v>0</v>
      </c>
      <c r="AD99" s="16">
        <v>0</v>
      </c>
      <c r="AE99" s="16">
        <v>0</v>
      </c>
      <c r="AF99" s="16">
        <v>0</v>
      </c>
      <c r="AG99" s="16">
        <v>0</v>
      </c>
      <c r="AH99" s="16">
        <v>0</v>
      </c>
      <c r="AI99" s="16">
        <v>0</v>
      </c>
      <c r="AJ99" s="16">
        <v>0</v>
      </c>
      <c r="AK99" s="16">
        <v>0</v>
      </c>
      <c r="AL99" s="16">
        <v>0</v>
      </c>
      <c r="AM99" s="16">
        <v>0</v>
      </c>
      <c r="AN99" s="16">
        <v>0</v>
      </c>
      <c r="AO99" s="13">
        <v>0</v>
      </c>
      <c r="AP99" s="16">
        <v>0</v>
      </c>
      <c r="AQ99" s="16">
        <v>0</v>
      </c>
      <c r="AR99" s="16">
        <v>0</v>
      </c>
      <c r="AS99" s="16">
        <v>0</v>
      </c>
      <c r="AT99" s="13">
        <v>0</v>
      </c>
      <c r="AU99" s="13">
        <v>0</v>
      </c>
      <c r="AV99" s="13">
        <v>0</v>
      </c>
      <c r="AW99" s="13">
        <v>0</v>
      </c>
      <c r="AX99" s="13">
        <v>0</v>
      </c>
      <c r="AY99" s="13">
        <v>0</v>
      </c>
      <c r="AZ99" s="13">
        <v>0</v>
      </c>
      <c r="BA99" s="13">
        <v>0</v>
      </c>
      <c r="BB99" s="13">
        <v>0</v>
      </c>
    </row>
    <row r="100" spans="1:54" x14ac:dyDescent="0.4">
      <c r="A100" s="35" t="s">
        <v>30</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v>0</v>
      </c>
      <c r="AA100" s="16">
        <v>0</v>
      </c>
      <c r="AB100" s="16">
        <v>0</v>
      </c>
      <c r="AC100" s="16">
        <v>0</v>
      </c>
      <c r="AD100" s="16">
        <v>0</v>
      </c>
      <c r="AE100" s="16">
        <v>0</v>
      </c>
      <c r="AF100" s="16">
        <v>0</v>
      </c>
      <c r="AG100" s="16">
        <v>0</v>
      </c>
      <c r="AH100" s="16">
        <v>0</v>
      </c>
      <c r="AI100" s="16">
        <v>0</v>
      </c>
      <c r="AJ100" s="16">
        <v>0</v>
      </c>
      <c r="AK100" s="16">
        <v>0</v>
      </c>
      <c r="AL100" s="16">
        <v>0</v>
      </c>
      <c r="AM100" s="16">
        <v>0</v>
      </c>
      <c r="AN100" s="16">
        <v>0</v>
      </c>
      <c r="AO100" s="13">
        <v>0</v>
      </c>
      <c r="AP100" s="16">
        <v>0</v>
      </c>
      <c r="AQ100" s="16">
        <v>0</v>
      </c>
      <c r="AR100" s="16">
        <v>0</v>
      </c>
      <c r="AS100" s="16">
        <v>0</v>
      </c>
      <c r="AT100" s="13">
        <v>0</v>
      </c>
      <c r="AU100" s="13">
        <v>0</v>
      </c>
      <c r="AV100" s="13">
        <v>0</v>
      </c>
      <c r="AW100" s="13">
        <v>0</v>
      </c>
      <c r="AX100" s="13">
        <v>0</v>
      </c>
      <c r="AY100" s="13">
        <v>0</v>
      </c>
      <c r="AZ100" s="13">
        <v>0</v>
      </c>
      <c r="BA100" s="13">
        <v>0</v>
      </c>
      <c r="BB100" s="13">
        <v>0</v>
      </c>
    </row>
    <row r="101" spans="1:54" x14ac:dyDescent="0.4">
      <c r="A101" s="34" t="s">
        <v>3</v>
      </c>
      <c r="B101" s="16">
        <v>0</v>
      </c>
      <c r="C101" s="16">
        <v>0</v>
      </c>
      <c r="D101" s="16">
        <v>0</v>
      </c>
      <c r="E101" s="16">
        <v>0</v>
      </c>
      <c r="F101" s="16">
        <v>0</v>
      </c>
      <c r="G101" s="16">
        <v>0</v>
      </c>
      <c r="H101" s="16">
        <v>0</v>
      </c>
      <c r="I101" s="16">
        <v>0</v>
      </c>
      <c r="J101" s="16">
        <v>0</v>
      </c>
      <c r="K101" s="16">
        <v>0</v>
      </c>
      <c r="L101" s="16">
        <v>0</v>
      </c>
      <c r="M101" s="16">
        <v>0</v>
      </c>
      <c r="N101" s="16">
        <v>0</v>
      </c>
      <c r="O101" s="16">
        <v>0</v>
      </c>
      <c r="P101" s="16">
        <v>10</v>
      </c>
      <c r="Q101" s="16">
        <v>316</v>
      </c>
      <c r="R101" s="16">
        <v>9099</v>
      </c>
      <c r="S101" s="16">
        <v>8579</v>
      </c>
      <c r="T101" s="16">
        <v>8996</v>
      </c>
      <c r="U101" s="16">
        <v>9777</v>
      </c>
      <c r="V101" s="16">
        <v>11027</v>
      </c>
      <c r="W101" s="16">
        <v>25336</v>
      </c>
      <c r="X101" s="16">
        <v>28618</v>
      </c>
      <c r="Y101" s="16">
        <v>30278</v>
      </c>
      <c r="Z101" s="16">
        <v>35479</v>
      </c>
      <c r="AA101" s="16">
        <v>35004</v>
      </c>
      <c r="AB101" s="16">
        <v>35187</v>
      </c>
      <c r="AC101" s="16">
        <v>36072</v>
      </c>
      <c r="AD101" s="16">
        <v>45287</v>
      </c>
      <c r="AE101" s="16">
        <v>56577</v>
      </c>
      <c r="AF101" s="16">
        <v>52134</v>
      </c>
      <c r="AG101" s="16">
        <v>80688</v>
      </c>
      <c r="AH101" s="16">
        <v>76385</v>
      </c>
      <c r="AI101" s="16">
        <v>166889</v>
      </c>
      <c r="AJ101" s="16">
        <v>165481</v>
      </c>
      <c r="AK101" s="16">
        <v>166291</v>
      </c>
      <c r="AL101" s="16">
        <v>212963</v>
      </c>
      <c r="AM101" s="7">
        <v>228861</v>
      </c>
      <c r="AN101" s="7">
        <v>123067</v>
      </c>
      <c r="AO101" s="13">
        <v>131096</v>
      </c>
      <c r="AP101" s="7">
        <v>159256</v>
      </c>
      <c r="AQ101" s="7">
        <v>178728</v>
      </c>
      <c r="AR101" s="7">
        <v>230815</v>
      </c>
      <c r="AS101" s="7">
        <v>264331</v>
      </c>
      <c r="AT101" s="13">
        <v>288121</v>
      </c>
      <c r="AU101" s="13">
        <v>329560</v>
      </c>
      <c r="AV101" s="13">
        <v>549340</v>
      </c>
      <c r="AW101" s="13">
        <v>534507</v>
      </c>
      <c r="AX101" s="13">
        <v>530878</v>
      </c>
      <c r="AY101" s="13">
        <v>513400</v>
      </c>
      <c r="AZ101" s="13">
        <v>455416</v>
      </c>
      <c r="BA101" s="13">
        <v>492309</v>
      </c>
      <c r="BB101" s="13">
        <v>444599</v>
      </c>
    </row>
    <row r="102" spans="1:54" x14ac:dyDescent="0.4">
      <c r="A102" s="35" t="s">
        <v>13</v>
      </c>
      <c r="B102" s="16">
        <v>0</v>
      </c>
      <c r="C102" s="16">
        <v>0</v>
      </c>
      <c r="D102" s="16">
        <v>0</v>
      </c>
      <c r="E102" s="16">
        <v>0</v>
      </c>
      <c r="F102" s="16">
        <v>0</v>
      </c>
      <c r="G102" s="16">
        <v>0</v>
      </c>
      <c r="H102" s="16">
        <v>0</v>
      </c>
      <c r="I102" s="16">
        <v>0</v>
      </c>
      <c r="J102" s="16">
        <v>0</v>
      </c>
      <c r="K102" s="16">
        <v>0</v>
      </c>
      <c r="L102" s="16">
        <v>0</v>
      </c>
      <c r="M102" s="16">
        <v>0</v>
      </c>
      <c r="N102" s="16">
        <v>0</v>
      </c>
      <c r="O102" s="16">
        <v>0</v>
      </c>
      <c r="P102" s="16">
        <v>10</v>
      </c>
      <c r="Q102" s="16">
        <v>316</v>
      </c>
      <c r="R102" s="16">
        <v>0</v>
      </c>
      <c r="S102" s="16">
        <v>0</v>
      </c>
      <c r="T102" s="16">
        <v>0</v>
      </c>
      <c r="U102" s="16">
        <v>0</v>
      </c>
      <c r="V102" s="16">
        <v>0</v>
      </c>
      <c r="W102" s="16">
        <v>0</v>
      </c>
      <c r="X102" s="16">
        <v>0</v>
      </c>
      <c r="Y102" s="16">
        <v>0</v>
      </c>
      <c r="Z102" s="16">
        <v>0</v>
      </c>
      <c r="AA102" s="16">
        <v>0</v>
      </c>
      <c r="AB102" s="16">
        <v>0</v>
      </c>
      <c r="AC102" s="16">
        <v>0</v>
      </c>
      <c r="AD102" s="16">
        <v>0</v>
      </c>
      <c r="AE102" s="16">
        <v>0</v>
      </c>
      <c r="AF102" s="16">
        <v>0</v>
      </c>
      <c r="AG102" s="16">
        <v>0</v>
      </c>
      <c r="AH102" s="16">
        <v>0</v>
      </c>
      <c r="AI102" s="16">
        <v>0</v>
      </c>
      <c r="AJ102" s="16">
        <v>0</v>
      </c>
      <c r="AK102" s="16">
        <v>0</v>
      </c>
      <c r="AL102" s="16">
        <v>0</v>
      </c>
      <c r="AM102" s="16">
        <v>0</v>
      </c>
      <c r="AN102" s="16">
        <v>0</v>
      </c>
      <c r="AO102" s="13">
        <v>0</v>
      </c>
      <c r="AP102" s="16">
        <v>0</v>
      </c>
      <c r="AQ102" s="16">
        <v>35</v>
      </c>
      <c r="AR102" s="16">
        <v>139</v>
      </c>
      <c r="AS102" s="16">
        <v>2443</v>
      </c>
      <c r="AT102" s="13">
        <v>3013</v>
      </c>
      <c r="AU102" s="13">
        <v>11488</v>
      </c>
      <c r="AV102" s="13">
        <v>37766</v>
      </c>
      <c r="AW102" s="13">
        <v>42468</v>
      </c>
      <c r="AX102" s="13">
        <v>22390</v>
      </c>
      <c r="AY102" s="13">
        <v>4778</v>
      </c>
      <c r="AZ102" s="13">
        <v>567</v>
      </c>
      <c r="BA102" s="13">
        <v>481</v>
      </c>
      <c r="BB102" s="13">
        <v>56</v>
      </c>
    </row>
    <row r="103" spans="1:54" x14ac:dyDescent="0.4">
      <c r="A103" s="35" t="s">
        <v>14</v>
      </c>
      <c r="B103" s="16">
        <v>0</v>
      </c>
      <c r="C103" s="16">
        <v>0</v>
      </c>
      <c r="D103" s="16">
        <v>0</v>
      </c>
      <c r="E103" s="16">
        <v>0</v>
      </c>
      <c r="F103" s="16">
        <v>0</v>
      </c>
      <c r="G103" s="16">
        <v>0</v>
      </c>
      <c r="H103" s="16">
        <v>0</v>
      </c>
      <c r="I103" s="16">
        <v>0</v>
      </c>
      <c r="J103" s="16">
        <v>0</v>
      </c>
      <c r="K103" s="16">
        <v>0</v>
      </c>
      <c r="L103" s="16">
        <v>0</v>
      </c>
      <c r="M103" s="16">
        <v>0</v>
      </c>
      <c r="N103" s="16">
        <v>0</v>
      </c>
      <c r="O103" s="16">
        <v>0</v>
      </c>
      <c r="P103" s="16">
        <v>0</v>
      </c>
      <c r="Q103" s="16">
        <v>0</v>
      </c>
      <c r="R103" s="16">
        <v>9099</v>
      </c>
      <c r="S103" s="16">
        <v>8579</v>
      </c>
      <c r="T103" s="16">
        <v>8996</v>
      </c>
      <c r="U103" s="16">
        <v>9777</v>
      </c>
      <c r="V103" s="16">
        <v>11027</v>
      </c>
      <c r="W103" s="16">
        <v>25336</v>
      </c>
      <c r="X103" s="16">
        <v>28618</v>
      </c>
      <c r="Y103" s="16">
        <v>30278</v>
      </c>
      <c r="Z103" s="16">
        <v>35479</v>
      </c>
      <c r="AA103" s="16">
        <v>35004</v>
      </c>
      <c r="AB103" s="16">
        <v>35187</v>
      </c>
      <c r="AC103" s="16">
        <v>36072</v>
      </c>
      <c r="AD103" s="16">
        <v>45287</v>
      </c>
      <c r="AE103" s="16">
        <v>56577</v>
      </c>
      <c r="AF103" s="16">
        <v>52134</v>
      </c>
      <c r="AG103" s="16">
        <v>80688</v>
      </c>
      <c r="AH103" s="16">
        <v>76385</v>
      </c>
      <c r="AI103" s="16">
        <v>166889</v>
      </c>
      <c r="AJ103" s="16">
        <v>165481</v>
      </c>
      <c r="AK103" s="16">
        <v>166291</v>
      </c>
      <c r="AL103" s="16">
        <v>212963</v>
      </c>
      <c r="AM103" s="7">
        <v>228861</v>
      </c>
      <c r="AN103" s="7">
        <v>123067</v>
      </c>
      <c r="AO103" s="13">
        <v>131096</v>
      </c>
      <c r="AP103" s="7">
        <v>159256</v>
      </c>
      <c r="AQ103" s="7">
        <v>178693</v>
      </c>
      <c r="AR103" s="7">
        <v>230676</v>
      </c>
      <c r="AS103" s="7">
        <v>261888</v>
      </c>
      <c r="AT103" s="13">
        <v>285108</v>
      </c>
      <c r="AU103" s="13">
        <v>318072</v>
      </c>
      <c r="AV103" s="13">
        <v>511574</v>
      </c>
      <c r="AW103" s="13">
        <v>492038</v>
      </c>
      <c r="AX103" s="13">
        <v>508488</v>
      </c>
      <c r="AY103" s="13">
        <v>508622</v>
      </c>
      <c r="AZ103" s="13">
        <v>454849</v>
      </c>
      <c r="BA103" s="13">
        <v>491827</v>
      </c>
      <c r="BB103" s="13">
        <v>444543</v>
      </c>
    </row>
    <row r="104" spans="1:54" x14ac:dyDescent="0.4">
      <c r="A104" s="35" t="s">
        <v>27</v>
      </c>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v>0</v>
      </c>
      <c r="AA104" s="16">
        <v>0</v>
      </c>
      <c r="AB104" s="16">
        <v>0</v>
      </c>
      <c r="AC104" s="16">
        <v>0</v>
      </c>
      <c r="AD104" s="16">
        <v>0</v>
      </c>
      <c r="AE104" s="16">
        <v>0</v>
      </c>
      <c r="AF104" s="16">
        <v>0</v>
      </c>
      <c r="AG104" s="16">
        <v>621</v>
      </c>
      <c r="AH104" s="16">
        <v>1454</v>
      </c>
      <c r="AI104" s="16">
        <v>1499</v>
      </c>
      <c r="AJ104" s="16">
        <v>1442</v>
      </c>
      <c r="AK104" s="16">
        <v>875</v>
      </c>
      <c r="AL104" s="16">
        <v>2937</v>
      </c>
      <c r="AM104" s="7">
        <v>3254</v>
      </c>
      <c r="AN104" s="7">
        <v>1919</v>
      </c>
      <c r="AO104" s="13">
        <v>2045</v>
      </c>
      <c r="AP104" s="7">
        <v>0</v>
      </c>
      <c r="AQ104" s="7">
        <v>2325</v>
      </c>
      <c r="AR104" s="7">
        <v>4304</v>
      </c>
      <c r="AS104" s="7">
        <v>4607</v>
      </c>
      <c r="AT104" s="13">
        <v>15546</v>
      </c>
      <c r="AU104" s="13">
        <v>13496</v>
      </c>
      <c r="AV104" s="13">
        <v>10509</v>
      </c>
      <c r="AW104" s="13">
        <v>12182</v>
      </c>
      <c r="AX104" s="13">
        <v>1167</v>
      </c>
      <c r="AY104" s="13">
        <v>19448</v>
      </c>
      <c r="AZ104" s="13">
        <v>19370</v>
      </c>
      <c r="BA104" s="13">
        <v>34399</v>
      </c>
      <c r="BB104" s="13">
        <v>44526</v>
      </c>
    </row>
    <row r="105" spans="1:54" x14ac:dyDescent="0.4">
      <c r="A105" s="35" t="s">
        <v>30</v>
      </c>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v>35479</v>
      </c>
      <c r="AA105" s="16">
        <v>35004</v>
      </c>
      <c r="AB105" s="16">
        <v>35187</v>
      </c>
      <c r="AC105" s="16">
        <v>36072</v>
      </c>
      <c r="AD105" s="16">
        <v>45287</v>
      </c>
      <c r="AE105" s="16">
        <v>56577</v>
      </c>
      <c r="AF105" s="16">
        <v>52134</v>
      </c>
      <c r="AG105" s="16">
        <v>80067</v>
      </c>
      <c r="AH105" s="16">
        <v>74931</v>
      </c>
      <c r="AI105" s="16">
        <v>165390</v>
      </c>
      <c r="AJ105" s="16">
        <v>164040</v>
      </c>
      <c r="AK105" s="16">
        <v>165417</v>
      </c>
      <c r="AL105" s="16">
        <v>210027</v>
      </c>
      <c r="AM105" s="7">
        <v>225608</v>
      </c>
      <c r="AN105" s="7">
        <v>121148</v>
      </c>
      <c r="AO105" s="13">
        <v>129051</v>
      </c>
      <c r="AP105" s="7">
        <v>159256</v>
      </c>
      <c r="AQ105" s="7">
        <v>176367</v>
      </c>
      <c r="AR105" s="7">
        <v>226372</v>
      </c>
      <c r="AS105" s="7">
        <v>257281</v>
      </c>
      <c r="AT105" s="13">
        <v>269563</v>
      </c>
      <c r="AU105" s="13">
        <v>304577</v>
      </c>
      <c r="AV105" s="13">
        <v>501065</v>
      </c>
      <c r="AW105" s="13">
        <v>479856</v>
      </c>
      <c r="AX105" s="13">
        <v>507320</v>
      </c>
      <c r="AY105" s="13">
        <v>489174</v>
      </c>
      <c r="AZ105" s="13">
        <v>435479</v>
      </c>
      <c r="BA105" s="13">
        <v>457428</v>
      </c>
      <c r="BB105" s="13">
        <v>400018</v>
      </c>
    </row>
    <row r="106" spans="1:54" x14ac:dyDescent="0.4">
      <c r="A106" s="34" t="s">
        <v>4</v>
      </c>
      <c r="B106" s="16">
        <v>0</v>
      </c>
      <c r="C106" s="16">
        <v>0</v>
      </c>
      <c r="D106" s="16">
        <v>0</v>
      </c>
      <c r="E106" s="16">
        <v>0</v>
      </c>
      <c r="F106" s="16">
        <v>0</v>
      </c>
      <c r="G106" s="16">
        <v>0</v>
      </c>
      <c r="H106" s="16">
        <v>0</v>
      </c>
      <c r="I106" s="16">
        <v>0</v>
      </c>
      <c r="J106" s="16">
        <v>0</v>
      </c>
      <c r="K106" s="16">
        <v>0</v>
      </c>
      <c r="L106" s="16">
        <v>0</v>
      </c>
      <c r="M106" s="16">
        <v>0</v>
      </c>
      <c r="N106" s="16">
        <v>0</v>
      </c>
      <c r="O106" s="16">
        <v>0</v>
      </c>
      <c r="P106" s="16">
        <v>0</v>
      </c>
      <c r="Q106" s="16">
        <v>0</v>
      </c>
      <c r="R106" s="16">
        <v>0</v>
      </c>
      <c r="S106" s="16">
        <v>0</v>
      </c>
      <c r="T106" s="16">
        <v>0</v>
      </c>
      <c r="U106" s="16">
        <v>0</v>
      </c>
      <c r="V106" s="16">
        <v>0</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3">
        <v>0</v>
      </c>
      <c r="AP106" s="16">
        <v>0</v>
      </c>
      <c r="AQ106" s="16">
        <v>0</v>
      </c>
      <c r="AR106" s="16">
        <v>0</v>
      </c>
      <c r="AS106" s="16">
        <v>0</v>
      </c>
      <c r="AT106" s="13">
        <v>0</v>
      </c>
      <c r="AU106" s="13">
        <v>0</v>
      </c>
      <c r="AV106" s="13">
        <v>0</v>
      </c>
      <c r="AW106" s="13">
        <v>0</v>
      </c>
      <c r="AX106" s="13">
        <v>0</v>
      </c>
      <c r="AY106" s="13">
        <v>0</v>
      </c>
      <c r="AZ106" s="13">
        <v>0</v>
      </c>
      <c r="BA106" s="13">
        <v>0</v>
      </c>
      <c r="BB106" s="13">
        <v>0</v>
      </c>
    </row>
    <row r="107" spans="1:54" x14ac:dyDescent="0.4">
      <c r="A107" s="35" t="s">
        <v>13</v>
      </c>
      <c r="B107" s="16">
        <v>0</v>
      </c>
      <c r="C107" s="16">
        <v>0</v>
      </c>
      <c r="D107" s="16">
        <v>0</v>
      </c>
      <c r="E107" s="16">
        <v>0</v>
      </c>
      <c r="F107" s="16">
        <v>0</v>
      </c>
      <c r="G107" s="16">
        <v>0</v>
      </c>
      <c r="H107" s="16">
        <v>0</v>
      </c>
      <c r="I107" s="16">
        <v>0</v>
      </c>
      <c r="J107" s="16">
        <v>0</v>
      </c>
      <c r="K107" s="16">
        <v>0</v>
      </c>
      <c r="L107" s="16">
        <v>0</v>
      </c>
      <c r="M107" s="16">
        <v>0</v>
      </c>
      <c r="N107" s="16">
        <v>0</v>
      </c>
      <c r="O107" s="16">
        <v>0</v>
      </c>
      <c r="P107" s="16">
        <v>0</v>
      </c>
      <c r="Q107" s="16">
        <v>0</v>
      </c>
      <c r="R107" s="16">
        <v>0</v>
      </c>
      <c r="S107" s="16">
        <v>0</v>
      </c>
      <c r="T107" s="16">
        <v>0</v>
      </c>
      <c r="U107" s="16">
        <v>0</v>
      </c>
      <c r="V107" s="16">
        <v>0</v>
      </c>
      <c r="W107" s="16">
        <v>0</v>
      </c>
      <c r="X107" s="16">
        <v>0</v>
      </c>
      <c r="Y107" s="16">
        <v>0</v>
      </c>
      <c r="Z107" s="16">
        <v>0</v>
      </c>
      <c r="AA107" s="16">
        <v>0</v>
      </c>
      <c r="AB107" s="16">
        <v>0</v>
      </c>
      <c r="AC107" s="16">
        <v>0</v>
      </c>
      <c r="AD107" s="16">
        <v>0</v>
      </c>
      <c r="AE107" s="16">
        <v>0</v>
      </c>
      <c r="AF107" s="16">
        <v>0</v>
      </c>
      <c r="AG107" s="16">
        <v>0</v>
      </c>
      <c r="AH107" s="16">
        <v>0</v>
      </c>
      <c r="AI107" s="16">
        <v>0</v>
      </c>
      <c r="AJ107" s="16">
        <v>0</v>
      </c>
      <c r="AK107" s="16">
        <v>0</v>
      </c>
      <c r="AL107" s="16">
        <v>0</v>
      </c>
      <c r="AM107" s="16">
        <v>0</v>
      </c>
      <c r="AN107" s="16">
        <v>0</v>
      </c>
      <c r="AO107" s="13">
        <v>0</v>
      </c>
      <c r="AP107" s="16">
        <v>0</v>
      </c>
      <c r="AQ107" s="16">
        <v>0</v>
      </c>
      <c r="AR107" s="16">
        <v>0</v>
      </c>
      <c r="AS107" s="16">
        <v>0</v>
      </c>
      <c r="AT107" s="13">
        <v>0</v>
      </c>
      <c r="AU107" s="13">
        <v>0</v>
      </c>
      <c r="AV107" s="13">
        <v>0</v>
      </c>
      <c r="AW107" s="13">
        <v>0</v>
      </c>
      <c r="AX107" s="13">
        <v>0</v>
      </c>
      <c r="AY107" s="13">
        <v>0</v>
      </c>
      <c r="AZ107" s="13">
        <v>0</v>
      </c>
      <c r="BA107" s="13">
        <v>0</v>
      </c>
      <c r="BB107" s="13">
        <v>0</v>
      </c>
    </row>
    <row r="108" spans="1:54" x14ac:dyDescent="0.4">
      <c r="A108" s="35" t="s">
        <v>14</v>
      </c>
      <c r="B108" s="16">
        <v>0</v>
      </c>
      <c r="C108" s="16">
        <v>0</v>
      </c>
      <c r="D108" s="16">
        <v>0</v>
      </c>
      <c r="E108" s="16">
        <v>0</v>
      </c>
      <c r="F108" s="16">
        <v>0</v>
      </c>
      <c r="G108" s="16">
        <v>0</v>
      </c>
      <c r="H108" s="16">
        <v>0</v>
      </c>
      <c r="I108" s="16">
        <v>0</v>
      </c>
      <c r="J108" s="16">
        <v>0</v>
      </c>
      <c r="K108" s="16">
        <v>0</v>
      </c>
      <c r="L108" s="16">
        <v>0</v>
      </c>
      <c r="M108" s="16">
        <v>0</v>
      </c>
      <c r="N108" s="16">
        <v>0</v>
      </c>
      <c r="O108" s="16">
        <v>0</v>
      </c>
      <c r="P108" s="16">
        <v>0</v>
      </c>
      <c r="Q108" s="16">
        <v>0</v>
      </c>
      <c r="R108" s="16">
        <v>0</v>
      </c>
      <c r="S108" s="16">
        <v>0</v>
      </c>
      <c r="T108" s="16">
        <v>0</v>
      </c>
      <c r="U108" s="16">
        <v>0</v>
      </c>
      <c r="V108" s="16">
        <v>0</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0</v>
      </c>
      <c r="AM108" s="16">
        <v>0</v>
      </c>
      <c r="AN108" s="16">
        <v>0</v>
      </c>
      <c r="AO108" s="13">
        <v>0</v>
      </c>
      <c r="AP108" s="16">
        <v>0</v>
      </c>
      <c r="AQ108" s="16">
        <v>0</v>
      </c>
      <c r="AR108" s="16">
        <v>0</v>
      </c>
      <c r="AS108" s="16">
        <v>0</v>
      </c>
      <c r="AT108" s="13">
        <v>0</v>
      </c>
      <c r="AU108" s="13">
        <v>0</v>
      </c>
      <c r="AV108" s="13">
        <v>0</v>
      </c>
      <c r="AW108" s="13">
        <v>0</v>
      </c>
      <c r="AX108" s="13">
        <v>0</v>
      </c>
      <c r="AY108" s="13">
        <v>0</v>
      </c>
      <c r="AZ108" s="13">
        <v>0</v>
      </c>
      <c r="BA108" s="13">
        <v>0</v>
      </c>
      <c r="BB108" s="13">
        <v>0</v>
      </c>
    </row>
    <row r="109" spans="1:54" x14ac:dyDescent="0.4">
      <c r="A109" s="35" t="s">
        <v>27</v>
      </c>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v>0</v>
      </c>
      <c r="AA109" s="16">
        <v>0</v>
      </c>
      <c r="AB109" s="16">
        <v>0</v>
      </c>
      <c r="AC109" s="16">
        <v>0</v>
      </c>
      <c r="AD109" s="16">
        <v>0</v>
      </c>
      <c r="AE109" s="16">
        <v>0</v>
      </c>
      <c r="AF109" s="16">
        <v>0</v>
      </c>
      <c r="AG109" s="16">
        <v>0</v>
      </c>
      <c r="AH109" s="16">
        <v>0</v>
      </c>
      <c r="AI109" s="16">
        <v>0</v>
      </c>
      <c r="AJ109" s="16">
        <v>0</v>
      </c>
      <c r="AK109" s="16">
        <v>0</v>
      </c>
      <c r="AL109" s="16">
        <v>0</v>
      </c>
      <c r="AM109" s="16">
        <v>0</v>
      </c>
      <c r="AN109" s="16">
        <v>0</v>
      </c>
      <c r="AO109" s="13">
        <v>0</v>
      </c>
      <c r="AP109" s="16">
        <v>0</v>
      </c>
      <c r="AQ109" s="16">
        <v>0</v>
      </c>
      <c r="AR109" s="16">
        <v>0</v>
      </c>
      <c r="AS109" s="16">
        <v>0</v>
      </c>
      <c r="AT109" s="13">
        <v>0</v>
      </c>
      <c r="AU109" s="13">
        <v>0</v>
      </c>
      <c r="AV109" s="13">
        <v>0</v>
      </c>
      <c r="AW109" s="13">
        <v>0</v>
      </c>
      <c r="AX109" s="13">
        <v>0</v>
      </c>
      <c r="AY109" s="13">
        <v>0</v>
      </c>
      <c r="AZ109" s="13">
        <v>0</v>
      </c>
      <c r="BA109" s="13">
        <v>0</v>
      </c>
      <c r="BB109" s="13">
        <v>0</v>
      </c>
    </row>
    <row r="110" spans="1:54" x14ac:dyDescent="0.4">
      <c r="A110" s="35" t="s">
        <v>30</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v>0</v>
      </c>
      <c r="AA110" s="16">
        <v>0</v>
      </c>
      <c r="AB110" s="16">
        <v>0</v>
      </c>
      <c r="AC110" s="16">
        <v>0</v>
      </c>
      <c r="AD110" s="16">
        <v>0</v>
      </c>
      <c r="AE110" s="16">
        <v>0</v>
      </c>
      <c r="AF110" s="16">
        <v>0</v>
      </c>
      <c r="AG110" s="16">
        <v>0</v>
      </c>
      <c r="AH110" s="16">
        <v>0</v>
      </c>
      <c r="AI110" s="16">
        <v>0</v>
      </c>
      <c r="AJ110" s="16">
        <v>0</v>
      </c>
      <c r="AK110" s="16">
        <v>0</v>
      </c>
      <c r="AL110" s="16">
        <v>0</v>
      </c>
      <c r="AM110" s="16">
        <v>0</v>
      </c>
      <c r="AN110" s="16">
        <v>0</v>
      </c>
      <c r="AO110" s="13">
        <v>0</v>
      </c>
      <c r="AP110" s="16">
        <v>0</v>
      </c>
      <c r="AQ110" s="16">
        <v>0</v>
      </c>
      <c r="AR110" s="16">
        <v>0</v>
      </c>
      <c r="AS110" s="16">
        <v>0</v>
      </c>
      <c r="AT110" s="13">
        <v>0</v>
      </c>
      <c r="AU110" s="13">
        <v>0</v>
      </c>
      <c r="AV110" s="13">
        <v>0</v>
      </c>
      <c r="AW110" s="13">
        <v>0</v>
      </c>
      <c r="AX110" s="13">
        <v>0</v>
      </c>
      <c r="AY110" s="13">
        <v>0</v>
      </c>
      <c r="AZ110" s="13">
        <v>0</v>
      </c>
      <c r="BA110" s="13">
        <v>0</v>
      </c>
      <c r="BB110" s="13">
        <v>0</v>
      </c>
    </row>
    <row r="111" spans="1:54" x14ac:dyDescent="0.4">
      <c r="A111" s="34" t="s">
        <v>5</v>
      </c>
      <c r="B111" s="16">
        <v>44487</v>
      </c>
      <c r="C111" s="16">
        <v>45508</v>
      </c>
      <c r="D111" s="16">
        <v>48036</v>
      </c>
      <c r="E111" s="16">
        <v>60199</v>
      </c>
      <c r="F111" s="16">
        <v>60898</v>
      </c>
      <c r="G111" s="16">
        <v>80641</v>
      </c>
      <c r="H111" s="16">
        <v>92788</v>
      </c>
      <c r="I111" s="16">
        <v>108572</v>
      </c>
      <c r="J111" s="16">
        <v>151449</v>
      </c>
      <c r="K111" s="16">
        <v>128814</v>
      </c>
      <c r="L111" s="16">
        <v>127059</v>
      </c>
      <c r="M111" s="16">
        <v>162202</v>
      </c>
      <c r="N111" s="16">
        <v>178545</v>
      </c>
      <c r="O111" s="16">
        <v>165420</v>
      </c>
      <c r="P111" s="16">
        <v>160018</v>
      </c>
      <c r="Q111" s="16">
        <v>195390</v>
      </c>
      <c r="R111" s="16">
        <v>187113</v>
      </c>
      <c r="S111" s="16">
        <v>193548</v>
      </c>
      <c r="T111" s="16">
        <v>191809</v>
      </c>
      <c r="U111" s="16">
        <v>199654</v>
      </c>
      <c r="V111" s="16">
        <v>185583</v>
      </c>
      <c r="W111" s="16">
        <v>184134</v>
      </c>
      <c r="X111" s="16">
        <v>182132</v>
      </c>
      <c r="Y111" s="16">
        <v>191071</v>
      </c>
      <c r="Z111" s="16">
        <v>202299</v>
      </c>
      <c r="AA111" s="16">
        <v>190015</v>
      </c>
      <c r="AB111" s="16">
        <v>185946</v>
      </c>
      <c r="AC111" s="16">
        <v>189826</v>
      </c>
      <c r="AD111" s="16">
        <v>184682</v>
      </c>
      <c r="AE111" s="16">
        <v>230668</v>
      </c>
      <c r="AF111" s="16">
        <v>186864</v>
      </c>
      <c r="AG111" s="16">
        <v>208813</v>
      </c>
      <c r="AH111" s="16">
        <v>220320</v>
      </c>
      <c r="AI111" s="16">
        <v>224500</v>
      </c>
      <c r="AJ111" s="16">
        <v>222826</v>
      </c>
      <c r="AK111" s="16">
        <v>226962</v>
      </c>
      <c r="AL111" s="16">
        <v>233859</v>
      </c>
      <c r="AM111" s="7">
        <v>260210</v>
      </c>
      <c r="AN111" s="7">
        <v>162103</v>
      </c>
      <c r="AO111" s="13">
        <v>249434</v>
      </c>
      <c r="AP111" s="7">
        <v>1155055</v>
      </c>
      <c r="AQ111" s="7">
        <v>1748746</v>
      </c>
      <c r="AR111" s="7">
        <v>1976616</v>
      </c>
      <c r="AS111" s="7">
        <v>2231351</v>
      </c>
      <c r="AT111" s="13">
        <v>2358533</v>
      </c>
      <c r="AU111" s="13">
        <v>2459461</v>
      </c>
      <c r="AV111" s="13">
        <v>2182733</v>
      </c>
      <c r="AW111" s="13">
        <v>2259697</v>
      </c>
      <c r="AX111" s="13">
        <v>2410998</v>
      </c>
      <c r="AY111" s="13">
        <v>2058324</v>
      </c>
      <c r="AZ111" s="13">
        <v>2035295</v>
      </c>
      <c r="BA111" s="13">
        <v>2359666</v>
      </c>
      <c r="BB111" s="13">
        <v>1886489</v>
      </c>
    </row>
    <row r="112" spans="1:54" x14ac:dyDescent="0.4">
      <c r="A112" s="35" t="s">
        <v>13</v>
      </c>
      <c r="B112" s="16">
        <v>0</v>
      </c>
      <c r="C112" s="16">
        <v>0</v>
      </c>
      <c r="D112" s="16">
        <v>0</v>
      </c>
      <c r="E112" s="16">
        <v>0</v>
      </c>
      <c r="F112" s="16">
        <v>0</v>
      </c>
      <c r="G112" s="16">
        <v>0</v>
      </c>
      <c r="H112" s="16">
        <v>0</v>
      </c>
      <c r="I112" s="16">
        <v>0</v>
      </c>
      <c r="J112" s="16">
        <v>0</v>
      </c>
      <c r="K112" s="16">
        <v>0</v>
      </c>
      <c r="L112" s="16">
        <v>0</v>
      </c>
      <c r="M112" s="16">
        <v>0</v>
      </c>
      <c r="N112" s="16">
        <v>0</v>
      </c>
      <c r="O112" s="16">
        <v>0</v>
      </c>
      <c r="P112" s="16">
        <v>0</v>
      </c>
      <c r="Q112" s="16">
        <v>0</v>
      </c>
      <c r="R112" s="16">
        <v>0</v>
      </c>
      <c r="S112" s="16">
        <v>0</v>
      </c>
      <c r="T112" s="16">
        <v>0</v>
      </c>
      <c r="U112" s="16">
        <v>0</v>
      </c>
      <c r="V112" s="16">
        <v>0</v>
      </c>
      <c r="W112" s="16">
        <v>0</v>
      </c>
      <c r="X112" s="16">
        <v>0</v>
      </c>
      <c r="Y112" s="16">
        <v>0</v>
      </c>
      <c r="Z112" s="16">
        <v>0</v>
      </c>
      <c r="AA112" s="16">
        <v>0</v>
      </c>
      <c r="AB112" s="16">
        <v>0</v>
      </c>
      <c r="AC112" s="16">
        <v>0</v>
      </c>
      <c r="AD112" s="27">
        <v>0</v>
      </c>
      <c r="AE112" s="27">
        <v>0</v>
      </c>
      <c r="AF112" s="27">
        <v>0</v>
      </c>
      <c r="AG112" s="27">
        <v>0</v>
      </c>
      <c r="AH112" s="27">
        <v>0</v>
      </c>
      <c r="AI112" s="27">
        <v>0</v>
      </c>
      <c r="AJ112" s="27">
        <v>0</v>
      </c>
      <c r="AK112" s="27">
        <v>0</v>
      </c>
      <c r="AL112" s="27">
        <v>0</v>
      </c>
      <c r="AM112" s="16">
        <v>0</v>
      </c>
      <c r="AN112" s="16">
        <v>0</v>
      </c>
      <c r="AO112" s="13">
        <v>0</v>
      </c>
      <c r="AP112" s="16">
        <v>26583</v>
      </c>
      <c r="AQ112" s="16">
        <v>29526</v>
      </c>
      <c r="AR112" s="16">
        <v>47</v>
      </c>
      <c r="AS112" s="16">
        <v>53</v>
      </c>
      <c r="AT112" s="13">
        <v>22410</v>
      </c>
      <c r="AU112" s="13">
        <v>23564</v>
      </c>
      <c r="AV112" s="13">
        <v>0</v>
      </c>
      <c r="AW112" s="13">
        <v>0</v>
      </c>
      <c r="AX112" s="13">
        <v>0</v>
      </c>
      <c r="AY112" s="13">
        <v>31998</v>
      </c>
      <c r="AZ112" s="13">
        <v>30958</v>
      </c>
      <c r="BA112" s="13">
        <v>85342</v>
      </c>
      <c r="BB112" s="13">
        <v>81755</v>
      </c>
    </row>
    <row r="113" spans="1:54" x14ac:dyDescent="0.4">
      <c r="A113" s="35" t="s">
        <v>14</v>
      </c>
      <c r="B113" s="16">
        <v>44487</v>
      </c>
      <c r="C113" s="16">
        <v>45508</v>
      </c>
      <c r="D113" s="16">
        <v>48036</v>
      </c>
      <c r="E113" s="16">
        <v>60199</v>
      </c>
      <c r="F113" s="16">
        <v>60898</v>
      </c>
      <c r="G113" s="16">
        <v>80641</v>
      </c>
      <c r="H113" s="16">
        <v>92788</v>
      </c>
      <c r="I113" s="16">
        <v>108572</v>
      </c>
      <c r="J113" s="16">
        <v>151449</v>
      </c>
      <c r="K113" s="16">
        <v>128814</v>
      </c>
      <c r="L113" s="16">
        <v>127059</v>
      </c>
      <c r="M113" s="16">
        <v>162202</v>
      </c>
      <c r="N113" s="16">
        <v>178545</v>
      </c>
      <c r="O113" s="16">
        <v>165420</v>
      </c>
      <c r="P113" s="16">
        <v>160018</v>
      </c>
      <c r="Q113" s="16">
        <v>195390</v>
      </c>
      <c r="R113" s="16">
        <v>187113</v>
      </c>
      <c r="S113" s="16">
        <v>193548</v>
      </c>
      <c r="T113" s="16">
        <v>191809</v>
      </c>
      <c r="U113" s="16">
        <v>199654</v>
      </c>
      <c r="V113" s="16">
        <v>185583</v>
      </c>
      <c r="W113" s="16">
        <v>184134</v>
      </c>
      <c r="X113" s="16">
        <v>182132</v>
      </c>
      <c r="Y113" s="16">
        <v>191071</v>
      </c>
      <c r="Z113" s="16">
        <v>202299</v>
      </c>
      <c r="AA113" s="16">
        <v>190015</v>
      </c>
      <c r="AB113" s="16">
        <v>185946</v>
      </c>
      <c r="AC113" s="16">
        <v>189826</v>
      </c>
      <c r="AD113" s="16">
        <v>184682</v>
      </c>
      <c r="AE113" s="16">
        <v>230668</v>
      </c>
      <c r="AF113" s="16">
        <v>186864</v>
      </c>
      <c r="AG113" s="16">
        <v>208813</v>
      </c>
      <c r="AH113" s="16">
        <v>220320</v>
      </c>
      <c r="AI113" s="16">
        <v>224500</v>
      </c>
      <c r="AJ113" s="16">
        <v>222826</v>
      </c>
      <c r="AK113" s="16">
        <v>226962</v>
      </c>
      <c r="AL113" s="16">
        <v>233859</v>
      </c>
      <c r="AM113" s="7">
        <v>260210</v>
      </c>
      <c r="AN113" s="7">
        <v>162103</v>
      </c>
      <c r="AO113" s="13">
        <v>249434</v>
      </c>
      <c r="AP113" s="7">
        <v>1128472</v>
      </c>
      <c r="AQ113" s="7">
        <v>1719221</v>
      </c>
      <c r="AR113" s="7">
        <v>1976568</v>
      </c>
      <c r="AS113" s="7">
        <v>2231298</v>
      </c>
      <c r="AT113" s="13">
        <v>2336123</v>
      </c>
      <c r="AU113" s="13">
        <v>2435897</v>
      </c>
      <c r="AV113" s="13">
        <v>2182733</v>
      </c>
      <c r="AW113" s="13">
        <v>2259697</v>
      </c>
      <c r="AX113" s="13">
        <v>2410998</v>
      </c>
      <c r="AY113" s="13">
        <v>2026327</v>
      </c>
      <c r="AZ113" s="13">
        <v>2004337</v>
      </c>
      <c r="BA113" s="13">
        <v>2274324</v>
      </c>
      <c r="BB113" s="13">
        <v>1804733</v>
      </c>
    </row>
    <row r="114" spans="1:54" x14ac:dyDescent="0.4">
      <c r="A114" s="35" t="s">
        <v>27</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v>0</v>
      </c>
      <c r="AA114" s="16">
        <v>0</v>
      </c>
      <c r="AB114" s="16">
        <v>22686</v>
      </c>
      <c r="AC114" s="16">
        <v>23168</v>
      </c>
      <c r="AD114" s="16">
        <v>22265</v>
      </c>
      <c r="AE114" s="16">
        <v>27957</v>
      </c>
      <c r="AF114" s="16">
        <v>0</v>
      </c>
      <c r="AG114" s="16">
        <v>48961</v>
      </c>
      <c r="AH114" s="16">
        <v>46199</v>
      </c>
      <c r="AI114" s="16">
        <v>46285</v>
      </c>
      <c r="AJ114" s="16">
        <v>44455</v>
      </c>
      <c r="AK114" s="16">
        <v>0</v>
      </c>
      <c r="AL114" s="16">
        <v>42985</v>
      </c>
      <c r="AM114" s="7">
        <v>49624</v>
      </c>
      <c r="AN114" s="7">
        <v>30618</v>
      </c>
      <c r="AO114" s="13">
        <v>33333</v>
      </c>
      <c r="AP114" s="7">
        <v>34390</v>
      </c>
      <c r="AQ114" s="7">
        <v>70830</v>
      </c>
      <c r="AR114" s="7">
        <v>138221</v>
      </c>
      <c r="AS114" s="7">
        <v>170955</v>
      </c>
      <c r="AT114" s="13">
        <v>183699</v>
      </c>
      <c r="AU114" s="13">
        <v>265838</v>
      </c>
      <c r="AV114" s="13">
        <v>344387</v>
      </c>
      <c r="AW114" s="13">
        <v>403932</v>
      </c>
      <c r="AX114" s="13">
        <v>955230</v>
      </c>
      <c r="AY114" s="13">
        <v>871302</v>
      </c>
      <c r="AZ114" s="13">
        <v>692668</v>
      </c>
      <c r="BA114" s="13">
        <v>806582</v>
      </c>
      <c r="BB114" s="13">
        <v>327351</v>
      </c>
    </row>
    <row r="115" spans="1:54" x14ac:dyDescent="0.4">
      <c r="A115" s="35" t="s">
        <v>30</v>
      </c>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v>202299</v>
      </c>
      <c r="AA115" s="16">
        <v>190015</v>
      </c>
      <c r="AB115" s="16">
        <v>163260</v>
      </c>
      <c r="AC115" s="16">
        <v>166658</v>
      </c>
      <c r="AD115" s="16">
        <v>162417</v>
      </c>
      <c r="AE115" s="16">
        <v>202711</v>
      </c>
      <c r="AF115" s="16">
        <v>186864</v>
      </c>
      <c r="AG115" s="16">
        <v>159853</v>
      </c>
      <c r="AH115" s="16">
        <v>174121</v>
      </c>
      <c r="AI115" s="16">
        <v>178215</v>
      </c>
      <c r="AJ115" s="16">
        <v>178371</v>
      </c>
      <c r="AK115" s="16">
        <v>226962</v>
      </c>
      <c r="AL115" s="16">
        <v>190873</v>
      </c>
      <c r="AM115" s="7">
        <v>210586</v>
      </c>
      <c r="AN115" s="7">
        <v>131485</v>
      </c>
      <c r="AO115" s="13">
        <v>216101</v>
      </c>
      <c r="AP115" s="7">
        <v>1094081</v>
      </c>
      <c r="AQ115" s="7">
        <v>1648391</v>
      </c>
      <c r="AR115" s="7">
        <v>1838347</v>
      </c>
      <c r="AS115" s="7">
        <v>2060343</v>
      </c>
      <c r="AT115" s="13">
        <v>2152425</v>
      </c>
      <c r="AU115" s="13">
        <v>2170059</v>
      </c>
      <c r="AV115" s="13">
        <v>1838345</v>
      </c>
      <c r="AW115" s="13">
        <v>1855765</v>
      </c>
      <c r="AX115" s="13">
        <v>1455768</v>
      </c>
      <c r="AY115" s="13">
        <v>1155025</v>
      </c>
      <c r="AZ115" s="13">
        <v>1311669</v>
      </c>
      <c r="BA115" s="13">
        <v>1467742</v>
      </c>
      <c r="BB115" s="13">
        <v>1477383</v>
      </c>
    </row>
    <row r="116" spans="1:54" x14ac:dyDescent="0.4">
      <c r="A116" s="34" t="s">
        <v>6</v>
      </c>
      <c r="B116" s="16">
        <v>0</v>
      </c>
      <c r="C116" s="16">
        <v>0</v>
      </c>
      <c r="D116" s="16">
        <v>0</v>
      </c>
      <c r="E116" s="16">
        <v>0</v>
      </c>
      <c r="F116" s="16">
        <v>0</v>
      </c>
      <c r="G116" s="16">
        <v>0</v>
      </c>
      <c r="H116" s="16">
        <v>0</v>
      </c>
      <c r="I116" s="16">
        <v>0</v>
      </c>
      <c r="J116" s="16">
        <v>0</v>
      </c>
      <c r="K116" s="16">
        <v>0</v>
      </c>
      <c r="L116" s="16">
        <v>0</v>
      </c>
      <c r="M116" s="16">
        <v>0</v>
      </c>
      <c r="N116" s="16">
        <v>0</v>
      </c>
      <c r="O116" s="16">
        <v>0</v>
      </c>
      <c r="P116" s="16">
        <v>0</v>
      </c>
      <c r="Q116" s="16">
        <v>0</v>
      </c>
      <c r="R116" s="16">
        <v>0</v>
      </c>
      <c r="S116" s="16">
        <v>0</v>
      </c>
      <c r="T116" s="16">
        <v>0</v>
      </c>
      <c r="U116" s="16">
        <v>0</v>
      </c>
      <c r="V116" s="16">
        <v>0</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3">
        <v>0</v>
      </c>
      <c r="AP116" s="16">
        <v>0</v>
      </c>
      <c r="AQ116" s="16">
        <v>0</v>
      </c>
      <c r="AR116" s="16">
        <v>0</v>
      </c>
      <c r="AS116" s="16">
        <v>0</v>
      </c>
      <c r="AT116" s="13">
        <v>0</v>
      </c>
      <c r="AU116" s="13">
        <v>0</v>
      </c>
      <c r="AV116" s="13">
        <v>0</v>
      </c>
      <c r="AW116" s="13">
        <v>0</v>
      </c>
      <c r="AX116" s="13">
        <v>2127801</v>
      </c>
      <c r="AY116" s="13">
        <v>1770278</v>
      </c>
      <c r="AZ116" s="13">
        <v>1686152</v>
      </c>
      <c r="BA116" s="13">
        <v>1786683</v>
      </c>
      <c r="BB116" s="13">
        <v>1774268</v>
      </c>
    </row>
    <row r="117" spans="1:54" x14ac:dyDescent="0.4">
      <c r="A117" s="35" t="s">
        <v>13</v>
      </c>
      <c r="B117" s="16">
        <v>0</v>
      </c>
      <c r="C117" s="16">
        <v>0</v>
      </c>
      <c r="D117" s="16">
        <v>0</v>
      </c>
      <c r="E117" s="16">
        <v>0</v>
      </c>
      <c r="F117" s="16">
        <v>0</v>
      </c>
      <c r="G117" s="16">
        <v>0</v>
      </c>
      <c r="H117" s="16">
        <v>0</v>
      </c>
      <c r="I117" s="16">
        <v>0</v>
      </c>
      <c r="J117" s="16">
        <v>0</v>
      </c>
      <c r="K117" s="16">
        <v>0</v>
      </c>
      <c r="L117" s="16">
        <v>0</v>
      </c>
      <c r="M117" s="16">
        <v>0</v>
      </c>
      <c r="N117" s="16">
        <v>0</v>
      </c>
      <c r="O117" s="16">
        <v>0</v>
      </c>
      <c r="P117" s="16">
        <v>0</v>
      </c>
      <c r="Q117" s="16">
        <v>0</v>
      </c>
      <c r="R117" s="16">
        <v>0</v>
      </c>
      <c r="S117" s="16">
        <v>0</v>
      </c>
      <c r="T117" s="16">
        <v>0</v>
      </c>
      <c r="U117" s="16">
        <v>0</v>
      </c>
      <c r="V117" s="16">
        <v>0</v>
      </c>
      <c r="W117" s="16">
        <v>0</v>
      </c>
      <c r="X117" s="16">
        <v>0</v>
      </c>
      <c r="Y117" s="16">
        <v>0</v>
      </c>
      <c r="Z117" s="16">
        <v>0</v>
      </c>
      <c r="AA117" s="16">
        <v>0</v>
      </c>
      <c r="AB117" s="16">
        <v>0</v>
      </c>
      <c r="AC117" s="16">
        <v>0</v>
      </c>
      <c r="AD117" s="16">
        <v>0</v>
      </c>
      <c r="AE117" s="16">
        <v>0</v>
      </c>
      <c r="AF117" s="16">
        <v>0</v>
      </c>
      <c r="AG117" s="16">
        <v>0</v>
      </c>
      <c r="AH117" s="16">
        <v>0</v>
      </c>
      <c r="AI117" s="16">
        <v>0</v>
      </c>
      <c r="AJ117" s="16">
        <v>0</v>
      </c>
      <c r="AK117" s="16">
        <v>0</v>
      </c>
      <c r="AL117" s="16">
        <v>0</v>
      </c>
      <c r="AM117" s="16">
        <v>0</v>
      </c>
      <c r="AN117" s="16">
        <v>0</v>
      </c>
      <c r="AO117" s="13">
        <v>0</v>
      </c>
      <c r="AP117" s="16">
        <v>0</v>
      </c>
      <c r="AQ117" s="16">
        <v>0</v>
      </c>
      <c r="AR117" s="16">
        <v>0</v>
      </c>
      <c r="AS117" s="16">
        <v>0</v>
      </c>
      <c r="AT117" s="13">
        <v>0</v>
      </c>
      <c r="AU117" s="13">
        <v>0</v>
      </c>
      <c r="AV117" s="13">
        <v>0</v>
      </c>
      <c r="AW117" s="13">
        <v>0</v>
      </c>
      <c r="AX117" s="13">
        <v>0</v>
      </c>
      <c r="AY117" s="13">
        <v>0</v>
      </c>
      <c r="AZ117" s="13">
        <v>0</v>
      </c>
      <c r="BA117" s="13">
        <v>0</v>
      </c>
      <c r="BB117" s="13">
        <v>0</v>
      </c>
    </row>
    <row r="118" spans="1:54" x14ac:dyDescent="0.4">
      <c r="A118" s="35" t="s">
        <v>14</v>
      </c>
      <c r="B118" s="16">
        <v>0</v>
      </c>
      <c r="C118" s="16">
        <v>0</v>
      </c>
      <c r="D118" s="16">
        <v>0</v>
      </c>
      <c r="E118" s="16">
        <v>0</v>
      </c>
      <c r="F118" s="16">
        <v>0</v>
      </c>
      <c r="G118" s="16">
        <v>0</v>
      </c>
      <c r="H118" s="16">
        <v>0</v>
      </c>
      <c r="I118" s="16">
        <v>0</v>
      </c>
      <c r="J118" s="16">
        <v>0</v>
      </c>
      <c r="K118" s="16">
        <v>0</v>
      </c>
      <c r="L118" s="16">
        <v>0</v>
      </c>
      <c r="M118" s="16">
        <v>0</v>
      </c>
      <c r="N118" s="16">
        <v>0</v>
      </c>
      <c r="O118" s="16">
        <v>0</v>
      </c>
      <c r="P118" s="16">
        <v>0</v>
      </c>
      <c r="Q118" s="16">
        <v>0</v>
      </c>
      <c r="R118" s="16">
        <v>0</v>
      </c>
      <c r="S118" s="16">
        <v>0</v>
      </c>
      <c r="T118" s="16">
        <v>0</v>
      </c>
      <c r="U118" s="16">
        <v>0</v>
      </c>
      <c r="V118" s="16">
        <v>0</v>
      </c>
      <c r="W118" s="16">
        <v>0</v>
      </c>
      <c r="X118" s="16">
        <v>0</v>
      </c>
      <c r="Y118" s="16">
        <v>0</v>
      </c>
      <c r="Z118" s="16">
        <v>0</v>
      </c>
      <c r="AA118" s="16">
        <v>0</v>
      </c>
      <c r="AB118" s="16">
        <v>0</v>
      </c>
      <c r="AC118" s="16">
        <v>0</v>
      </c>
      <c r="AD118" s="16">
        <v>0</v>
      </c>
      <c r="AE118" s="16">
        <v>0</v>
      </c>
      <c r="AF118" s="16">
        <v>0</v>
      </c>
      <c r="AG118" s="16">
        <v>0</v>
      </c>
      <c r="AH118" s="16">
        <v>0</v>
      </c>
      <c r="AI118" s="16">
        <v>0</v>
      </c>
      <c r="AJ118" s="16">
        <v>0</v>
      </c>
      <c r="AK118" s="16">
        <v>0</v>
      </c>
      <c r="AL118" s="16">
        <v>0</v>
      </c>
      <c r="AM118" s="16">
        <v>0</v>
      </c>
      <c r="AN118" s="16">
        <v>0</v>
      </c>
      <c r="AO118" s="13">
        <v>0</v>
      </c>
      <c r="AP118" s="16">
        <v>0</v>
      </c>
      <c r="AQ118" s="16">
        <v>0</v>
      </c>
      <c r="AR118" s="16">
        <v>0</v>
      </c>
      <c r="AS118" s="16">
        <v>0</v>
      </c>
      <c r="AT118" s="13">
        <v>0</v>
      </c>
      <c r="AU118" s="13">
        <v>0</v>
      </c>
      <c r="AV118" s="13">
        <v>0</v>
      </c>
      <c r="AW118" s="13">
        <v>0</v>
      </c>
      <c r="AX118" s="13">
        <v>2127801</v>
      </c>
      <c r="AY118" s="13">
        <v>1770278</v>
      </c>
      <c r="AZ118" s="13">
        <v>1686152</v>
      </c>
      <c r="BA118" s="13">
        <v>1786683</v>
      </c>
      <c r="BB118" s="13">
        <v>1774268</v>
      </c>
    </row>
    <row r="119" spans="1:54" x14ac:dyDescent="0.4">
      <c r="A119" s="35" t="s">
        <v>27</v>
      </c>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v>0</v>
      </c>
      <c r="AA119" s="16">
        <v>0</v>
      </c>
      <c r="AB119" s="16">
        <v>0</v>
      </c>
      <c r="AC119" s="16">
        <v>0</v>
      </c>
      <c r="AD119" s="16">
        <v>0</v>
      </c>
      <c r="AE119" s="16">
        <v>0</v>
      </c>
      <c r="AF119" s="16">
        <v>0</v>
      </c>
      <c r="AG119" s="16">
        <v>0</v>
      </c>
      <c r="AH119" s="16">
        <v>0</v>
      </c>
      <c r="AI119" s="16">
        <v>0</v>
      </c>
      <c r="AJ119" s="16">
        <v>0</v>
      </c>
      <c r="AK119" s="16">
        <v>0</v>
      </c>
      <c r="AL119" s="16">
        <v>0</v>
      </c>
      <c r="AM119" s="16">
        <v>0</v>
      </c>
      <c r="AN119" s="16">
        <v>0</v>
      </c>
      <c r="AO119" s="13">
        <v>0</v>
      </c>
      <c r="AP119" s="16">
        <v>0</v>
      </c>
      <c r="AQ119" s="16">
        <v>0</v>
      </c>
      <c r="AR119" s="16">
        <v>0</v>
      </c>
      <c r="AS119" s="16">
        <v>0</v>
      </c>
      <c r="AT119" s="13">
        <v>0</v>
      </c>
      <c r="AU119" s="13">
        <v>0</v>
      </c>
      <c r="AV119" s="13">
        <v>0</v>
      </c>
      <c r="AW119" s="13">
        <v>0</v>
      </c>
      <c r="AX119" s="13">
        <v>0</v>
      </c>
      <c r="AY119" s="13">
        <v>121961</v>
      </c>
      <c r="AZ119" s="13">
        <v>309379</v>
      </c>
      <c r="BA119" s="13">
        <v>329566</v>
      </c>
      <c r="BB119" s="13">
        <v>182394</v>
      </c>
    </row>
    <row r="120" spans="1:54" x14ac:dyDescent="0.4">
      <c r="A120" s="35" t="s">
        <v>30</v>
      </c>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v>0</v>
      </c>
      <c r="AA120" s="16">
        <v>0</v>
      </c>
      <c r="AB120" s="16">
        <v>0</v>
      </c>
      <c r="AC120" s="16">
        <v>0</v>
      </c>
      <c r="AD120" s="16">
        <v>0</v>
      </c>
      <c r="AE120" s="16">
        <v>0</v>
      </c>
      <c r="AF120" s="16">
        <v>0</v>
      </c>
      <c r="AG120" s="16">
        <v>0</v>
      </c>
      <c r="AH120" s="16">
        <v>0</v>
      </c>
      <c r="AI120" s="16">
        <v>0</v>
      </c>
      <c r="AJ120" s="16">
        <v>0</v>
      </c>
      <c r="AK120" s="16">
        <v>0</v>
      </c>
      <c r="AL120" s="16">
        <v>0</v>
      </c>
      <c r="AM120" s="16">
        <v>0</v>
      </c>
      <c r="AN120" s="16">
        <v>0</v>
      </c>
      <c r="AO120" s="13">
        <v>0</v>
      </c>
      <c r="AP120" s="16">
        <v>0</v>
      </c>
      <c r="AQ120" s="16">
        <v>0</v>
      </c>
      <c r="AR120" s="16">
        <v>0</v>
      </c>
      <c r="AS120" s="16">
        <v>0</v>
      </c>
      <c r="AT120" s="13">
        <v>0</v>
      </c>
      <c r="AU120" s="13">
        <v>0</v>
      </c>
      <c r="AV120" s="13">
        <v>0</v>
      </c>
      <c r="AW120" s="13">
        <v>0</v>
      </c>
      <c r="AX120" s="13">
        <v>2127801</v>
      </c>
      <c r="AY120" s="13">
        <v>1648317</v>
      </c>
      <c r="AZ120" s="13">
        <v>1376773</v>
      </c>
      <c r="BA120" s="13">
        <v>1457117</v>
      </c>
      <c r="BB120" s="13">
        <v>1591873</v>
      </c>
    </row>
    <row r="121" spans="1:54" x14ac:dyDescent="0.4">
      <c r="A121" s="34" t="s">
        <v>7</v>
      </c>
      <c r="B121" s="16">
        <v>0</v>
      </c>
      <c r="C121" s="16">
        <v>0</v>
      </c>
      <c r="D121" s="16">
        <v>0</v>
      </c>
      <c r="E121" s="16">
        <v>0</v>
      </c>
      <c r="F121" s="16">
        <v>0</v>
      </c>
      <c r="G121" s="16">
        <v>0</v>
      </c>
      <c r="H121" s="16">
        <v>0</v>
      </c>
      <c r="I121" s="16">
        <v>0</v>
      </c>
      <c r="J121" s="16">
        <v>0</v>
      </c>
      <c r="K121" s="16">
        <v>0</v>
      </c>
      <c r="L121" s="16">
        <v>0</v>
      </c>
      <c r="M121" s="16">
        <v>0</v>
      </c>
      <c r="N121" s="16">
        <v>127545</v>
      </c>
      <c r="O121" s="16">
        <v>199917</v>
      </c>
      <c r="P121" s="16">
        <v>264306</v>
      </c>
      <c r="Q121" s="16">
        <v>310310</v>
      </c>
      <c r="R121" s="16">
        <v>298021</v>
      </c>
      <c r="S121" s="16">
        <v>276998</v>
      </c>
      <c r="T121" s="16">
        <v>290301</v>
      </c>
      <c r="U121" s="16">
        <v>287355</v>
      </c>
      <c r="V121" s="16">
        <v>283755</v>
      </c>
      <c r="W121" s="16">
        <v>282118</v>
      </c>
      <c r="X121" s="16">
        <v>320057</v>
      </c>
      <c r="Y121" s="16">
        <v>332739</v>
      </c>
      <c r="Z121" s="16">
        <v>351111</v>
      </c>
      <c r="AA121" s="16">
        <v>275671</v>
      </c>
      <c r="AB121" s="16">
        <v>268330</v>
      </c>
      <c r="AC121" s="16">
        <v>273974</v>
      </c>
      <c r="AD121" s="16">
        <v>263299</v>
      </c>
      <c r="AE121" s="16">
        <v>332703</v>
      </c>
      <c r="AF121" s="16">
        <v>299126</v>
      </c>
      <c r="AG121" s="16">
        <v>340570</v>
      </c>
      <c r="AH121" s="16">
        <v>315571</v>
      </c>
      <c r="AI121" s="16">
        <v>323492</v>
      </c>
      <c r="AJ121" s="16">
        <v>317135</v>
      </c>
      <c r="AK121" s="16">
        <v>533845</v>
      </c>
      <c r="AL121" s="16">
        <v>770022</v>
      </c>
      <c r="AM121" s="7">
        <v>718364</v>
      </c>
      <c r="AN121" s="7">
        <v>430702</v>
      </c>
      <c r="AO121" s="13">
        <v>650893</v>
      </c>
      <c r="AP121" s="7">
        <v>1050951</v>
      </c>
      <c r="AQ121" s="7">
        <v>1281102</v>
      </c>
      <c r="AR121" s="7">
        <v>1436983</v>
      </c>
      <c r="AS121" s="7">
        <v>1660480</v>
      </c>
      <c r="AT121" s="13">
        <v>1698605</v>
      </c>
      <c r="AU121" s="13">
        <v>2153105</v>
      </c>
      <c r="AV121" s="13">
        <v>2223787</v>
      </c>
      <c r="AW121" s="13">
        <v>2716604</v>
      </c>
      <c r="AX121" s="13">
        <v>2948706</v>
      </c>
      <c r="AY121" s="13">
        <v>2674478</v>
      </c>
      <c r="AZ121" s="13">
        <v>2893217</v>
      </c>
      <c r="BA121" s="13">
        <v>3475136</v>
      </c>
      <c r="BB121" s="13">
        <v>3309731</v>
      </c>
    </row>
    <row r="122" spans="1:54" x14ac:dyDescent="0.4">
      <c r="A122" s="35" t="s">
        <v>13</v>
      </c>
      <c r="B122" s="16">
        <v>0</v>
      </c>
      <c r="C122" s="16">
        <v>0</v>
      </c>
      <c r="D122" s="16">
        <v>0</v>
      </c>
      <c r="E122" s="16">
        <v>0</v>
      </c>
      <c r="F122" s="16">
        <v>0</v>
      </c>
      <c r="G122" s="16">
        <v>0</v>
      </c>
      <c r="H122" s="16">
        <v>0</v>
      </c>
      <c r="I122" s="16">
        <v>0</v>
      </c>
      <c r="J122" s="16">
        <v>0</v>
      </c>
      <c r="K122" s="16">
        <v>0</v>
      </c>
      <c r="L122" s="16">
        <v>0</v>
      </c>
      <c r="M122" s="16">
        <v>0</v>
      </c>
      <c r="N122" s="16">
        <v>0</v>
      </c>
      <c r="O122" s="16">
        <v>0</v>
      </c>
      <c r="P122" s="16">
        <v>0</v>
      </c>
      <c r="Q122" s="16">
        <v>0</v>
      </c>
      <c r="R122" s="16">
        <v>0</v>
      </c>
      <c r="S122" s="16">
        <v>0</v>
      </c>
      <c r="T122" s="16">
        <v>0</v>
      </c>
      <c r="U122" s="16">
        <v>0</v>
      </c>
      <c r="V122" s="16">
        <v>0</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6636</v>
      </c>
      <c r="AM122" s="7">
        <v>7539</v>
      </c>
      <c r="AN122" s="7">
        <v>4604</v>
      </c>
      <c r="AO122" s="13">
        <v>5186</v>
      </c>
      <c r="AP122" s="7">
        <v>39612</v>
      </c>
      <c r="AQ122" s="7">
        <v>44248</v>
      </c>
      <c r="AR122" s="7">
        <v>2188</v>
      </c>
      <c r="AS122" s="7">
        <v>2442</v>
      </c>
      <c r="AT122" s="13">
        <v>32785</v>
      </c>
      <c r="AU122" s="13">
        <v>55635</v>
      </c>
      <c r="AV122" s="13">
        <v>63596</v>
      </c>
      <c r="AW122" s="13">
        <v>31852</v>
      </c>
      <c r="AX122" s="13">
        <v>0</v>
      </c>
      <c r="AY122" s="13">
        <v>0</v>
      </c>
      <c r="AZ122" s="13">
        <v>27659</v>
      </c>
      <c r="BA122" s="13">
        <v>28871</v>
      </c>
      <c r="BB122" s="13">
        <v>27603</v>
      </c>
    </row>
    <row r="123" spans="1:54" x14ac:dyDescent="0.4">
      <c r="A123" s="35" t="s">
        <v>14</v>
      </c>
      <c r="B123" s="16">
        <v>0</v>
      </c>
      <c r="C123" s="16">
        <v>0</v>
      </c>
      <c r="D123" s="16">
        <v>0</v>
      </c>
      <c r="E123" s="16">
        <v>0</v>
      </c>
      <c r="F123" s="16">
        <v>0</v>
      </c>
      <c r="G123" s="16">
        <v>0</v>
      </c>
      <c r="H123" s="16">
        <v>0</v>
      </c>
      <c r="I123" s="16">
        <v>0</v>
      </c>
      <c r="J123" s="16">
        <v>0</v>
      </c>
      <c r="K123" s="16">
        <v>0</v>
      </c>
      <c r="L123" s="16">
        <v>0</v>
      </c>
      <c r="M123" s="16">
        <v>0</v>
      </c>
      <c r="N123" s="16">
        <v>127545</v>
      </c>
      <c r="O123" s="16">
        <v>199917</v>
      </c>
      <c r="P123" s="16">
        <v>264306</v>
      </c>
      <c r="Q123" s="16">
        <v>310310</v>
      </c>
      <c r="R123" s="16">
        <v>298021</v>
      </c>
      <c r="S123" s="16">
        <v>276998</v>
      </c>
      <c r="T123" s="16">
        <v>290301</v>
      </c>
      <c r="U123" s="16">
        <v>287355</v>
      </c>
      <c r="V123" s="16">
        <v>283755</v>
      </c>
      <c r="W123" s="16">
        <v>282118</v>
      </c>
      <c r="X123" s="16">
        <v>320057</v>
      </c>
      <c r="Y123" s="16">
        <v>332739</v>
      </c>
      <c r="Z123" s="16">
        <v>351111</v>
      </c>
      <c r="AA123" s="16">
        <v>275671</v>
      </c>
      <c r="AB123" s="16">
        <v>268330</v>
      </c>
      <c r="AC123" s="16">
        <v>273974</v>
      </c>
      <c r="AD123" s="16">
        <v>263299</v>
      </c>
      <c r="AE123" s="16">
        <v>332703</v>
      </c>
      <c r="AF123" s="16">
        <v>299126</v>
      </c>
      <c r="AG123" s="16">
        <v>340570</v>
      </c>
      <c r="AH123" s="16">
        <v>315571</v>
      </c>
      <c r="AI123" s="16">
        <v>323492</v>
      </c>
      <c r="AJ123" s="16">
        <v>317135</v>
      </c>
      <c r="AK123" s="16">
        <v>533845</v>
      </c>
      <c r="AL123" s="16">
        <v>763386</v>
      </c>
      <c r="AM123" s="7">
        <v>710826</v>
      </c>
      <c r="AN123" s="7">
        <v>426099</v>
      </c>
      <c r="AO123" s="13">
        <v>645707</v>
      </c>
      <c r="AP123" s="7">
        <v>1011339</v>
      </c>
      <c r="AQ123" s="7">
        <v>1236854</v>
      </c>
      <c r="AR123" s="7">
        <v>1434795</v>
      </c>
      <c r="AS123" s="7">
        <v>1658038</v>
      </c>
      <c r="AT123" s="13">
        <v>1665820</v>
      </c>
      <c r="AU123" s="13">
        <v>2097471</v>
      </c>
      <c r="AV123" s="13">
        <v>2160191</v>
      </c>
      <c r="AW123" s="13">
        <v>2684752</v>
      </c>
      <c r="AX123" s="13">
        <v>2948706</v>
      </c>
      <c r="AY123" s="13">
        <v>2674478</v>
      </c>
      <c r="AZ123" s="13">
        <v>2865558</v>
      </c>
      <c r="BA123" s="13">
        <v>3446265</v>
      </c>
      <c r="BB123" s="13">
        <v>3282129</v>
      </c>
    </row>
    <row r="124" spans="1:54" x14ac:dyDescent="0.4">
      <c r="A124" s="35" t="s">
        <v>27</v>
      </c>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v>0</v>
      </c>
      <c r="AA124" s="16">
        <v>0</v>
      </c>
      <c r="AB124" s="16">
        <v>0</v>
      </c>
      <c r="AC124" s="16">
        <v>0</v>
      </c>
      <c r="AD124" s="16">
        <v>0</v>
      </c>
      <c r="AE124" s="16">
        <v>1</v>
      </c>
      <c r="AF124" s="16">
        <v>2</v>
      </c>
      <c r="AG124" s="16">
        <v>0</v>
      </c>
      <c r="AH124" s="16">
        <v>0</v>
      </c>
      <c r="AI124" s="16">
        <v>0</v>
      </c>
      <c r="AJ124" s="16">
        <v>0</v>
      </c>
      <c r="AK124" s="16">
        <v>0</v>
      </c>
      <c r="AL124" s="16">
        <v>0</v>
      </c>
      <c r="AM124" s="7">
        <v>0</v>
      </c>
      <c r="AN124" s="7">
        <v>0</v>
      </c>
      <c r="AO124" s="13">
        <v>0</v>
      </c>
      <c r="AP124" s="7">
        <v>8641</v>
      </c>
      <c r="AQ124" s="7">
        <v>9505</v>
      </c>
      <c r="AR124" s="7">
        <v>37341</v>
      </c>
      <c r="AS124" s="7">
        <v>46000</v>
      </c>
      <c r="AT124" s="13">
        <v>50874</v>
      </c>
      <c r="AU124" s="13">
        <v>93061</v>
      </c>
      <c r="AV124" s="13">
        <v>71217</v>
      </c>
      <c r="AW124" s="13">
        <v>131781</v>
      </c>
      <c r="AX124" s="13">
        <v>281755</v>
      </c>
      <c r="AY124" s="13">
        <v>242214</v>
      </c>
      <c r="AZ124" s="13">
        <v>348749</v>
      </c>
      <c r="BA124" s="13">
        <v>330479</v>
      </c>
      <c r="BB124" s="13">
        <v>355928</v>
      </c>
    </row>
    <row r="125" spans="1:54" x14ac:dyDescent="0.4">
      <c r="A125" s="35" t="s">
        <v>30</v>
      </c>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v>351111</v>
      </c>
      <c r="AA125" s="16">
        <v>275671</v>
      </c>
      <c r="AB125" s="16">
        <v>268330</v>
      </c>
      <c r="AC125" s="16">
        <v>273974</v>
      </c>
      <c r="AD125" s="16">
        <v>263299</v>
      </c>
      <c r="AE125" s="16">
        <v>332702</v>
      </c>
      <c r="AF125" s="16">
        <v>299124</v>
      </c>
      <c r="AG125" s="16">
        <v>340570</v>
      </c>
      <c r="AH125" s="16">
        <v>315571</v>
      </c>
      <c r="AI125" s="16">
        <v>323492</v>
      </c>
      <c r="AJ125" s="16">
        <v>317135</v>
      </c>
      <c r="AK125" s="16">
        <v>533845</v>
      </c>
      <c r="AL125" s="16">
        <v>763386</v>
      </c>
      <c r="AM125" s="7">
        <v>710826</v>
      </c>
      <c r="AN125" s="7">
        <v>426099</v>
      </c>
      <c r="AO125" s="13">
        <v>645707</v>
      </c>
      <c r="AP125" s="7">
        <v>1002699</v>
      </c>
      <c r="AQ125" s="7">
        <v>1227350</v>
      </c>
      <c r="AR125" s="7">
        <v>1397453</v>
      </c>
      <c r="AS125" s="7">
        <v>1612038</v>
      </c>
      <c r="AT125" s="13">
        <v>1614946</v>
      </c>
      <c r="AU125" s="13">
        <v>2004410</v>
      </c>
      <c r="AV125" s="13">
        <v>2088974</v>
      </c>
      <c r="AW125" s="13">
        <v>2552971</v>
      </c>
      <c r="AX125" s="13">
        <v>2666951</v>
      </c>
      <c r="AY125" s="13">
        <v>2432264</v>
      </c>
      <c r="AZ125" s="13">
        <v>2516808</v>
      </c>
      <c r="BA125" s="13">
        <v>3115786</v>
      </c>
      <c r="BB125" s="13">
        <v>2926201</v>
      </c>
    </row>
    <row r="126" spans="1:54" x14ac:dyDescent="0.4">
      <c r="A126" s="34" t="s">
        <v>8</v>
      </c>
      <c r="B126" s="16">
        <v>0</v>
      </c>
      <c r="C126" s="16">
        <v>0</v>
      </c>
      <c r="D126" s="16">
        <v>0</v>
      </c>
      <c r="E126" s="16">
        <v>0</v>
      </c>
      <c r="F126" s="16">
        <v>0</v>
      </c>
      <c r="G126" s="16">
        <v>0</v>
      </c>
      <c r="H126" s="16">
        <v>0</v>
      </c>
      <c r="I126" s="16">
        <v>0</v>
      </c>
      <c r="J126" s="16">
        <v>0</v>
      </c>
      <c r="K126" s="16">
        <v>0</v>
      </c>
      <c r="L126" s="16">
        <v>0</v>
      </c>
      <c r="M126" s="16">
        <v>0</v>
      </c>
      <c r="N126" s="16">
        <v>0</v>
      </c>
      <c r="O126" s="16">
        <v>0</v>
      </c>
      <c r="P126" s="16">
        <v>0</v>
      </c>
      <c r="Q126" s="16">
        <v>0</v>
      </c>
      <c r="R126" s="16">
        <v>0</v>
      </c>
      <c r="S126" s="16">
        <v>0</v>
      </c>
      <c r="T126" s="16">
        <v>0</v>
      </c>
      <c r="U126" s="16">
        <v>0</v>
      </c>
      <c r="V126" s="16">
        <v>0</v>
      </c>
      <c r="W126" s="16">
        <v>0</v>
      </c>
      <c r="X126" s="16">
        <v>0</v>
      </c>
      <c r="Y126" s="16">
        <v>0</v>
      </c>
      <c r="Z126" s="16">
        <v>0</v>
      </c>
      <c r="AA126" s="16">
        <v>0</v>
      </c>
      <c r="AB126" s="16">
        <v>0</v>
      </c>
      <c r="AC126" s="16">
        <v>0</v>
      </c>
      <c r="AD126" s="27">
        <v>0</v>
      </c>
      <c r="AE126" s="27">
        <v>0</v>
      </c>
      <c r="AF126" s="27">
        <v>0</v>
      </c>
      <c r="AG126" s="27">
        <v>0</v>
      </c>
      <c r="AH126" s="27">
        <v>0</v>
      </c>
      <c r="AI126" s="27">
        <v>0</v>
      </c>
      <c r="AJ126" s="27">
        <v>0</v>
      </c>
      <c r="AK126" s="27">
        <v>0</v>
      </c>
      <c r="AL126" s="27">
        <v>0</v>
      </c>
      <c r="AM126" s="16">
        <v>0</v>
      </c>
      <c r="AN126" s="16">
        <v>0</v>
      </c>
      <c r="AO126" s="13">
        <v>40063</v>
      </c>
      <c r="AP126" s="16">
        <v>68453</v>
      </c>
      <c r="AQ126" s="16">
        <v>73736</v>
      </c>
      <c r="AR126" s="16">
        <v>72906</v>
      </c>
      <c r="AS126" s="16">
        <v>86529</v>
      </c>
      <c r="AT126" s="13">
        <v>80116</v>
      </c>
      <c r="AU126" s="13">
        <v>107720</v>
      </c>
      <c r="AV126" s="13">
        <v>97604</v>
      </c>
      <c r="AW126" s="13">
        <v>99202</v>
      </c>
      <c r="AX126" s="13">
        <v>105437</v>
      </c>
      <c r="AY126" s="13">
        <v>95048</v>
      </c>
      <c r="AZ126" s="13">
        <v>90262</v>
      </c>
      <c r="BA126" s="13">
        <v>98753</v>
      </c>
      <c r="BB126" s="13">
        <v>91385</v>
      </c>
    </row>
    <row r="127" spans="1:54" x14ac:dyDescent="0.4">
      <c r="A127" s="35" t="s">
        <v>13</v>
      </c>
      <c r="B127" s="16">
        <v>0</v>
      </c>
      <c r="C127" s="16">
        <v>0</v>
      </c>
      <c r="D127" s="16">
        <v>0</v>
      </c>
      <c r="E127" s="16">
        <v>0</v>
      </c>
      <c r="F127" s="16">
        <v>0</v>
      </c>
      <c r="G127" s="16">
        <v>0</v>
      </c>
      <c r="H127" s="16">
        <v>0</v>
      </c>
      <c r="I127" s="16">
        <v>0</v>
      </c>
      <c r="J127" s="16">
        <v>0</v>
      </c>
      <c r="K127" s="16">
        <v>0</v>
      </c>
      <c r="L127" s="16">
        <v>0</v>
      </c>
      <c r="M127" s="16">
        <v>0</v>
      </c>
      <c r="N127" s="16">
        <v>0</v>
      </c>
      <c r="O127" s="16">
        <v>0</v>
      </c>
      <c r="P127" s="16">
        <v>0</v>
      </c>
      <c r="Q127" s="16">
        <v>0</v>
      </c>
      <c r="R127" s="16">
        <v>0</v>
      </c>
      <c r="S127" s="16">
        <v>0</v>
      </c>
      <c r="T127" s="16">
        <v>0</v>
      </c>
      <c r="U127" s="16">
        <v>0</v>
      </c>
      <c r="V127" s="16">
        <v>0</v>
      </c>
      <c r="W127" s="16">
        <v>0</v>
      </c>
      <c r="X127" s="16">
        <v>0</v>
      </c>
      <c r="Y127" s="16">
        <v>0</v>
      </c>
      <c r="Z127" s="16">
        <v>0</v>
      </c>
      <c r="AA127" s="16">
        <v>0</v>
      </c>
      <c r="AB127" s="16">
        <v>0</v>
      </c>
      <c r="AC127" s="16">
        <v>0</v>
      </c>
      <c r="AD127" s="27">
        <v>0</v>
      </c>
      <c r="AE127" s="27">
        <v>0</v>
      </c>
      <c r="AF127" s="27">
        <v>0</v>
      </c>
      <c r="AG127" s="27">
        <v>0</v>
      </c>
      <c r="AH127" s="27">
        <v>0</v>
      </c>
      <c r="AI127" s="27">
        <v>0</v>
      </c>
      <c r="AJ127" s="27">
        <v>0</v>
      </c>
      <c r="AK127" s="27">
        <v>0</v>
      </c>
      <c r="AL127" s="27">
        <v>0</v>
      </c>
      <c r="AM127" s="16">
        <v>0</v>
      </c>
      <c r="AN127" s="16">
        <v>0</v>
      </c>
      <c r="AO127" s="13">
        <v>0</v>
      </c>
      <c r="AP127" s="16">
        <v>0</v>
      </c>
      <c r="AQ127" s="16">
        <v>0</v>
      </c>
      <c r="AR127" s="16">
        <v>0</v>
      </c>
      <c r="AS127" s="16">
        <v>0</v>
      </c>
      <c r="AT127" s="13">
        <v>0</v>
      </c>
      <c r="AU127" s="13">
        <v>0</v>
      </c>
      <c r="AV127" s="13">
        <v>0</v>
      </c>
      <c r="AW127" s="13">
        <v>0</v>
      </c>
      <c r="AX127" s="13">
        <v>0</v>
      </c>
      <c r="AY127" s="13">
        <v>0</v>
      </c>
      <c r="AZ127" s="13">
        <v>0</v>
      </c>
      <c r="BA127" s="13">
        <v>0</v>
      </c>
      <c r="BB127" s="13">
        <v>0</v>
      </c>
    </row>
    <row r="128" spans="1:54" x14ac:dyDescent="0.4">
      <c r="A128" s="35" t="s">
        <v>14</v>
      </c>
      <c r="B128" s="16">
        <v>0</v>
      </c>
      <c r="C128" s="16">
        <v>0</v>
      </c>
      <c r="D128" s="16">
        <v>0</v>
      </c>
      <c r="E128" s="16">
        <v>0</v>
      </c>
      <c r="F128" s="16">
        <v>0</v>
      </c>
      <c r="G128" s="16">
        <v>0</v>
      </c>
      <c r="H128" s="16">
        <v>0</v>
      </c>
      <c r="I128" s="16">
        <v>0</v>
      </c>
      <c r="J128" s="16">
        <v>0</v>
      </c>
      <c r="K128" s="16">
        <v>0</v>
      </c>
      <c r="L128" s="16">
        <v>0</v>
      </c>
      <c r="M128" s="16">
        <v>0</v>
      </c>
      <c r="N128" s="16">
        <v>0</v>
      </c>
      <c r="O128" s="16">
        <v>0</v>
      </c>
      <c r="P128" s="16">
        <v>0</v>
      </c>
      <c r="Q128" s="16">
        <v>0</v>
      </c>
      <c r="R128" s="16">
        <v>0</v>
      </c>
      <c r="S128" s="16">
        <v>0</v>
      </c>
      <c r="T128" s="16">
        <v>0</v>
      </c>
      <c r="U128" s="16">
        <v>0</v>
      </c>
      <c r="V128" s="16">
        <v>0</v>
      </c>
      <c r="W128" s="16">
        <v>0</v>
      </c>
      <c r="X128" s="16">
        <v>0</v>
      </c>
      <c r="Y128" s="16">
        <v>0</v>
      </c>
      <c r="Z128" s="16">
        <v>0</v>
      </c>
      <c r="AA128" s="16">
        <v>0</v>
      </c>
      <c r="AB128" s="16">
        <v>0</v>
      </c>
      <c r="AC128" s="16">
        <v>0</v>
      </c>
      <c r="AD128" s="27">
        <v>0</v>
      </c>
      <c r="AE128" s="27">
        <v>0</v>
      </c>
      <c r="AF128" s="27">
        <v>0</v>
      </c>
      <c r="AG128" s="27">
        <v>0</v>
      </c>
      <c r="AH128" s="27">
        <v>0</v>
      </c>
      <c r="AI128" s="27">
        <v>0</v>
      </c>
      <c r="AJ128" s="27">
        <v>0</v>
      </c>
      <c r="AK128" s="27">
        <v>0</v>
      </c>
      <c r="AL128" s="27">
        <v>0</v>
      </c>
      <c r="AM128" s="16">
        <v>0</v>
      </c>
      <c r="AN128" s="16">
        <v>0</v>
      </c>
      <c r="AO128" s="13">
        <v>40063</v>
      </c>
      <c r="AP128" s="16">
        <v>68453</v>
      </c>
      <c r="AQ128" s="16">
        <v>73736</v>
      </c>
      <c r="AR128" s="16">
        <v>72906</v>
      </c>
      <c r="AS128" s="16">
        <v>86529</v>
      </c>
      <c r="AT128" s="13">
        <v>80116</v>
      </c>
      <c r="AU128" s="13">
        <v>107720</v>
      </c>
      <c r="AV128" s="13">
        <v>97604</v>
      </c>
      <c r="AW128" s="13">
        <v>99202</v>
      </c>
      <c r="AX128" s="13">
        <v>105437</v>
      </c>
      <c r="AY128" s="13">
        <v>95048</v>
      </c>
      <c r="AZ128" s="13">
        <v>90262</v>
      </c>
      <c r="BA128" s="13">
        <v>98753</v>
      </c>
      <c r="BB128" s="13">
        <v>91385</v>
      </c>
    </row>
    <row r="129" spans="1:54" x14ac:dyDescent="0.4">
      <c r="A129" s="35" t="s">
        <v>27</v>
      </c>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v>0</v>
      </c>
      <c r="AA129" s="16">
        <v>0</v>
      </c>
      <c r="AB129" s="16">
        <v>0</v>
      </c>
      <c r="AC129" s="16">
        <v>0</v>
      </c>
      <c r="AD129" s="27">
        <v>0</v>
      </c>
      <c r="AE129" s="27">
        <v>0</v>
      </c>
      <c r="AF129" s="27">
        <v>0</v>
      </c>
      <c r="AG129" s="27">
        <v>0</v>
      </c>
      <c r="AH129" s="27">
        <v>0</v>
      </c>
      <c r="AI129" s="27">
        <v>0</v>
      </c>
      <c r="AJ129" s="27">
        <v>0</v>
      </c>
      <c r="AK129" s="27">
        <v>0</v>
      </c>
      <c r="AL129" s="27">
        <v>0</v>
      </c>
      <c r="AM129" s="16">
        <v>0</v>
      </c>
      <c r="AN129" s="16">
        <v>0</v>
      </c>
      <c r="AO129" s="13">
        <v>0</v>
      </c>
      <c r="AP129" s="16">
        <v>0</v>
      </c>
      <c r="AQ129" s="16">
        <v>0</v>
      </c>
      <c r="AR129" s="16">
        <v>0</v>
      </c>
      <c r="AS129" s="16">
        <v>0</v>
      </c>
      <c r="AT129" s="13">
        <v>0</v>
      </c>
      <c r="AU129" s="13">
        <v>0</v>
      </c>
      <c r="AV129" s="13">
        <v>0</v>
      </c>
      <c r="AW129" s="13">
        <v>0</v>
      </c>
      <c r="AX129" s="13">
        <v>0</v>
      </c>
      <c r="AY129" s="13">
        <v>0</v>
      </c>
      <c r="AZ129" s="13">
        <v>0</v>
      </c>
      <c r="BA129" s="13">
        <v>0</v>
      </c>
      <c r="BB129" s="13">
        <v>0</v>
      </c>
    </row>
    <row r="130" spans="1:54" x14ac:dyDescent="0.4">
      <c r="A130" s="35" t="s">
        <v>30</v>
      </c>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v>0</v>
      </c>
      <c r="AA130" s="16">
        <v>0</v>
      </c>
      <c r="AB130" s="16">
        <v>0</v>
      </c>
      <c r="AC130" s="16">
        <v>0</v>
      </c>
      <c r="AD130" s="27">
        <v>0</v>
      </c>
      <c r="AE130" s="27">
        <v>0</v>
      </c>
      <c r="AF130" s="27">
        <v>0</v>
      </c>
      <c r="AG130" s="27">
        <v>0</v>
      </c>
      <c r="AH130" s="27">
        <v>0</v>
      </c>
      <c r="AI130" s="27">
        <v>0</v>
      </c>
      <c r="AJ130" s="27">
        <v>0</v>
      </c>
      <c r="AK130" s="27">
        <v>0</v>
      </c>
      <c r="AL130" s="27">
        <v>0</v>
      </c>
      <c r="AM130" s="16">
        <v>0</v>
      </c>
      <c r="AN130" s="16">
        <v>0</v>
      </c>
      <c r="AO130" s="13">
        <v>40063</v>
      </c>
      <c r="AP130" s="16">
        <v>68453</v>
      </c>
      <c r="AQ130" s="16">
        <v>73736</v>
      </c>
      <c r="AR130" s="16">
        <v>72906</v>
      </c>
      <c r="AS130" s="16">
        <v>86529</v>
      </c>
      <c r="AT130" s="13">
        <v>80116</v>
      </c>
      <c r="AU130" s="13">
        <v>107720</v>
      </c>
      <c r="AV130" s="13">
        <v>97604</v>
      </c>
      <c r="AW130" s="13">
        <v>99202</v>
      </c>
      <c r="AX130" s="13">
        <v>105437</v>
      </c>
      <c r="AY130" s="13">
        <v>95048</v>
      </c>
      <c r="AZ130" s="13">
        <v>90262</v>
      </c>
      <c r="BA130" s="13">
        <v>98753</v>
      </c>
      <c r="BB130" s="13">
        <v>91385</v>
      </c>
    </row>
    <row r="131" spans="1:54" x14ac:dyDescent="0.4">
      <c r="A131" s="19"/>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27"/>
      <c r="AE131" s="27"/>
      <c r="AF131" s="27"/>
      <c r="AG131" s="27"/>
      <c r="AH131" s="27"/>
      <c r="AI131" s="27"/>
      <c r="AJ131" s="27"/>
      <c r="AK131" s="27"/>
      <c r="AL131" s="27"/>
    </row>
    <row r="132" spans="1:54" x14ac:dyDescent="0.4">
      <c r="A132" s="51" t="s">
        <v>29</v>
      </c>
      <c r="B132" s="51"/>
      <c r="C132" s="51"/>
      <c r="D132" s="51"/>
      <c r="E132" s="51"/>
      <c r="F132" s="51"/>
      <c r="G132" s="51"/>
      <c r="H132" s="51"/>
      <c r="I132" s="51"/>
    </row>
    <row r="133" spans="1:54" x14ac:dyDescent="0.4">
      <c r="A133" s="49"/>
      <c r="B133" s="49"/>
      <c r="C133" s="49"/>
      <c r="D133" s="49"/>
      <c r="E133" s="49"/>
      <c r="F133" s="49"/>
      <c r="G133" s="49"/>
      <c r="H133" s="49"/>
      <c r="I133" s="49"/>
    </row>
    <row r="134" spans="1:54" x14ac:dyDescent="0.4">
      <c r="A134" s="8" t="s">
        <v>9</v>
      </c>
      <c r="B134" s="15"/>
      <c r="C134" s="15"/>
      <c r="D134" s="15"/>
    </row>
    <row r="135" spans="1:54" x14ac:dyDescent="0.4">
      <c r="A135" s="8"/>
      <c r="B135" s="15"/>
      <c r="C135" s="15"/>
      <c r="D135" s="15"/>
    </row>
    <row r="136" spans="1:54" x14ac:dyDescent="0.4">
      <c r="A136" s="8" t="s">
        <v>10</v>
      </c>
      <c r="B136" s="15"/>
      <c r="C136" s="15"/>
      <c r="D136" s="15"/>
      <c r="E136" s="15"/>
      <c r="AM136" s="9"/>
      <c r="AN136" s="9"/>
      <c r="AP136" s="9"/>
      <c r="AQ136" s="9"/>
      <c r="AR136" s="9"/>
      <c r="AS136" s="9"/>
      <c r="AT136" s="9"/>
      <c r="AU136" s="9"/>
      <c r="AV136" s="9"/>
      <c r="AW136" s="9"/>
    </row>
    <row r="137" spans="1:54" s="9" customFormat="1" x14ac:dyDescent="0.4">
      <c r="A137" s="54" t="s">
        <v>24</v>
      </c>
      <c r="B137" s="54"/>
      <c r="C137" s="54"/>
      <c r="D137" s="54"/>
      <c r="E137" s="54"/>
      <c r="F137" s="54"/>
      <c r="G137" s="54"/>
      <c r="H137" s="54"/>
      <c r="I137" s="54"/>
      <c r="L137" s="21"/>
    </row>
    <row r="138" spans="1:54" s="9" customFormat="1" x14ac:dyDescent="0.4">
      <c r="A138" s="51" t="s">
        <v>37</v>
      </c>
      <c r="B138" s="51"/>
      <c r="C138" s="51"/>
      <c r="D138" s="51"/>
      <c r="E138" s="51"/>
      <c r="F138" s="51"/>
      <c r="G138" s="51"/>
      <c r="H138" s="51"/>
      <c r="I138" s="51"/>
      <c r="L138" s="21"/>
    </row>
    <row r="139" spans="1:54" s="9" customFormat="1" ht="59.25" customHeight="1" x14ac:dyDescent="0.4">
      <c r="A139" s="54" t="s">
        <v>31</v>
      </c>
      <c r="B139" s="54"/>
      <c r="C139" s="54"/>
      <c r="D139" s="54"/>
      <c r="E139" s="54"/>
      <c r="F139" s="54"/>
      <c r="G139" s="54"/>
      <c r="H139" s="54"/>
      <c r="I139" s="54"/>
      <c r="L139" s="21"/>
    </row>
    <row r="140" spans="1:54" s="11" customFormat="1" ht="18" customHeight="1" x14ac:dyDescent="0.4">
      <c r="A140" s="54" t="s">
        <v>32</v>
      </c>
      <c r="B140" s="54"/>
      <c r="C140" s="54"/>
      <c r="D140" s="54"/>
      <c r="E140" s="10"/>
      <c r="L140" s="20"/>
      <c r="AO140" s="9"/>
      <c r="AX140" s="9"/>
      <c r="AY140" s="9"/>
      <c r="AZ140" s="9"/>
      <c r="BA140" s="9"/>
      <c r="BB140" s="9"/>
    </row>
    <row r="141" spans="1:54" x14ac:dyDescent="0.4">
      <c r="A141" s="52" t="s">
        <v>33</v>
      </c>
      <c r="B141" s="52"/>
      <c r="C141" s="52"/>
      <c r="D141" s="52"/>
      <c r="E141" s="15"/>
      <c r="AO141" s="11"/>
      <c r="AX141" s="11"/>
      <c r="AY141" s="11"/>
      <c r="AZ141" s="11"/>
      <c r="BA141" s="11"/>
      <c r="BB141" s="11"/>
    </row>
    <row r="142" spans="1:54" x14ac:dyDescent="0.4">
      <c r="A142" s="54" t="s">
        <v>34</v>
      </c>
      <c r="B142" s="54"/>
      <c r="C142" s="54"/>
      <c r="D142" s="54"/>
      <c r="E142" s="12"/>
      <c r="F142" s="12"/>
    </row>
    <row r="143" spans="1:54" ht="36" x14ac:dyDescent="0.4">
      <c r="A143" s="48" t="s">
        <v>35</v>
      </c>
      <c r="B143" s="18"/>
      <c r="C143" s="18"/>
      <c r="D143" s="18"/>
      <c r="E143" s="12"/>
      <c r="F143" s="12"/>
    </row>
    <row r="144" spans="1:54" x14ac:dyDescent="0.4">
      <c r="A144" s="6"/>
      <c r="B144" s="12"/>
      <c r="C144" s="12"/>
      <c r="D144" s="12"/>
      <c r="E144" s="12"/>
      <c r="F144" s="12"/>
    </row>
    <row r="145" spans="1:6" x14ac:dyDescent="0.4">
      <c r="A145" s="6"/>
      <c r="B145" s="12"/>
      <c r="C145" s="12"/>
      <c r="D145" s="12"/>
      <c r="E145" s="12"/>
      <c r="F145" s="12"/>
    </row>
  </sheetData>
  <mergeCells count="7">
    <mergeCell ref="A132:I132"/>
    <mergeCell ref="A140:D140"/>
    <mergeCell ref="A142:D142"/>
    <mergeCell ref="A137:I137"/>
    <mergeCell ref="A139:I139"/>
    <mergeCell ref="A141:D141"/>
    <mergeCell ref="A138:I138"/>
  </mergeCells>
  <pageMargins left="0.25" right="0.25" top="0.75" bottom="0.75" header="0.3" footer="0.3"/>
  <pageSetup paperSize="9"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I169"/>
  <sheetViews>
    <sheetView zoomScale="70" zoomScaleNormal="70" zoomScaleSheetLayoutView="90" workbookViewId="0">
      <pane xSplit="1" ySplit="5" topLeftCell="EO118" activePane="bottomRight" state="frozen"/>
      <selection activeCell="AL5" sqref="AL5"/>
      <selection pane="topRight" activeCell="AL5" sqref="AL5"/>
      <selection pane="bottomLeft" activeCell="AL5" sqref="AL5"/>
      <selection pane="bottomRight" activeCell="EU125" sqref="EU125"/>
    </sheetView>
  </sheetViews>
  <sheetFormatPr defaultColWidth="9.1796875" defaultRowHeight="18" x14ac:dyDescent="0.4"/>
  <cols>
    <col min="1" max="1" width="90.54296875" style="1" customWidth="1"/>
    <col min="2" max="17" width="18.26953125" style="1" bestFit="1" customWidth="1"/>
    <col min="18" max="18" width="18.26953125" style="1" customWidth="1"/>
    <col min="19" max="111" width="18.26953125" style="1" bestFit="1" customWidth="1"/>
    <col min="112" max="112" width="17.54296875" style="1" bestFit="1" customWidth="1"/>
    <col min="113" max="113" width="18.453125" style="1" customWidth="1"/>
    <col min="114" max="165" width="17.54296875" style="1" customWidth="1"/>
    <col min="166" max="16384" width="9.1796875" style="1"/>
  </cols>
  <sheetData>
    <row r="1" spans="1:165" x14ac:dyDescent="0.4">
      <c r="F1" s="2"/>
      <c r="H1" s="2"/>
    </row>
    <row r="2" spans="1:165" x14ac:dyDescent="0.4">
      <c r="A2" s="3" t="s">
        <v>21</v>
      </c>
      <c r="EK2" s="1">
        <f>3000*12</f>
        <v>36000</v>
      </c>
      <c r="EM2" s="1">
        <f>2750*12</f>
        <v>33000</v>
      </c>
      <c r="EO2" s="1">
        <f>2000*13</f>
        <v>26000</v>
      </c>
      <c r="EQ2" s="1">
        <f>1250*13</f>
        <v>16250</v>
      </c>
      <c r="ES2" s="1">
        <f>1000*15</f>
        <v>15000</v>
      </c>
    </row>
    <row r="3" spans="1:165" x14ac:dyDescent="0.4">
      <c r="A3" s="1" t="s">
        <v>0</v>
      </c>
      <c r="EK3" s="55" t="s">
        <v>38</v>
      </c>
      <c r="EM3" s="55" t="s">
        <v>39</v>
      </c>
      <c r="EO3" s="55" t="s">
        <v>40</v>
      </c>
      <c r="EQ3" s="55" t="s">
        <v>41</v>
      </c>
      <c r="ES3" s="55" t="s">
        <v>42</v>
      </c>
    </row>
    <row r="4" spans="1:165" x14ac:dyDescent="0.4">
      <c r="A4" s="3" t="s">
        <v>1</v>
      </c>
    </row>
    <row r="5" spans="1:165" x14ac:dyDescent="0.4">
      <c r="A5" s="4"/>
      <c r="B5" s="5">
        <v>41275</v>
      </c>
      <c r="C5" s="5">
        <v>41306</v>
      </c>
      <c r="D5" s="5">
        <v>41334</v>
      </c>
      <c r="E5" s="5">
        <v>41365</v>
      </c>
      <c r="F5" s="5">
        <v>41395</v>
      </c>
      <c r="G5" s="5">
        <v>41426</v>
      </c>
      <c r="H5" s="5">
        <v>41456</v>
      </c>
      <c r="I5" s="5">
        <v>41487</v>
      </c>
      <c r="J5" s="5">
        <v>41518</v>
      </c>
      <c r="K5" s="5">
        <v>41548</v>
      </c>
      <c r="L5" s="5">
        <v>41579</v>
      </c>
      <c r="M5" s="5">
        <v>41609</v>
      </c>
      <c r="N5" s="5">
        <v>41640</v>
      </c>
      <c r="O5" s="5">
        <v>41671</v>
      </c>
      <c r="P5" s="5">
        <v>41699</v>
      </c>
      <c r="Q5" s="5">
        <v>41730</v>
      </c>
      <c r="R5" s="5">
        <v>41760</v>
      </c>
      <c r="S5" s="5">
        <v>41791</v>
      </c>
      <c r="T5" s="5">
        <v>41821</v>
      </c>
      <c r="U5" s="5">
        <v>41852</v>
      </c>
      <c r="V5" s="5">
        <v>41883</v>
      </c>
      <c r="W5" s="5">
        <v>41913</v>
      </c>
      <c r="X5" s="5">
        <v>41944</v>
      </c>
      <c r="Y5" s="5">
        <v>41974</v>
      </c>
      <c r="Z5" s="5">
        <v>42005</v>
      </c>
      <c r="AA5" s="5">
        <v>42036</v>
      </c>
      <c r="AB5" s="5">
        <v>42064</v>
      </c>
      <c r="AC5" s="5">
        <v>42095</v>
      </c>
      <c r="AD5" s="5">
        <v>42125</v>
      </c>
      <c r="AE5" s="5">
        <v>42156</v>
      </c>
      <c r="AF5" s="5">
        <v>42186</v>
      </c>
      <c r="AG5" s="5">
        <v>42217</v>
      </c>
      <c r="AH5" s="5">
        <v>42248</v>
      </c>
      <c r="AI5" s="5">
        <v>42278</v>
      </c>
      <c r="AJ5" s="5">
        <v>42309</v>
      </c>
      <c r="AK5" s="5">
        <v>42339</v>
      </c>
      <c r="AL5" s="5">
        <v>42370</v>
      </c>
      <c r="AM5" s="5">
        <v>42401</v>
      </c>
      <c r="AN5" s="5">
        <v>42430</v>
      </c>
      <c r="AO5" s="5">
        <v>42461</v>
      </c>
      <c r="AP5" s="5">
        <v>42491</v>
      </c>
      <c r="AQ5" s="5">
        <v>42522</v>
      </c>
      <c r="AR5" s="5">
        <v>42552</v>
      </c>
      <c r="AS5" s="5">
        <v>42583</v>
      </c>
      <c r="AT5" s="5">
        <v>42614</v>
      </c>
      <c r="AU5" s="5">
        <v>42644</v>
      </c>
      <c r="AV5" s="5">
        <v>42675</v>
      </c>
      <c r="AW5" s="5">
        <v>42705</v>
      </c>
      <c r="AX5" s="5">
        <v>42736</v>
      </c>
      <c r="AY5" s="5">
        <v>42767</v>
      </c>
      <c r="AZ5" s="5">
        <v>42795</v>
      </c>
      <c r="BA5" s="5">
        <v>42826</v>
      </c>
      <c r="BB5" s="5">
        <v>42856</v>
      </c>
      <c r="BC5" s="5">
        <v>42887</v>
      </c>
      <c r="BD5" s="5">
        <v>42917</v>
      </c>
      <c r="BE5" s="5">
        <v>42948</v>
      </c>
      <c r="BF5" s="5">
        <v>42979</v>
      </c>
      <c r="BG5" s="5">
        <v>43009</v>
      </c>
      <c r="BH5" s="5">
        <v>43040</v>
      </c>
      <c r="BI5" s="5">
        <v>43070</v>
      </c>
      <c r="BJ5" s="5">
        <v>43101</v>
      </c>
      <c r="BK5" s="5">
        <v>43132</v>
      </c>
      <c r="BL5" s="5">
        <v>43160</v>
      </c>
      <c r="BM5" s="5">
        <v>43191</v>
      </c>
      <c r="BN5" s="5">
        <v>43221</v>
      </c>
      <c r="BO5" s="5">
        <v>43252</v>
      </c>
      <c r="BP5" s="5">
        <v>43282</v>
      </c>
      <c r="BQ5" s="5">
        <v>43313</v>
      </c>
      <c r="BR5" s="5">
        <v>43344</v>
      </c>
      <c r="BS5" s="5">
        <v>43374</v>
      </c>
      <c r="BT5" s="5">
        <v>43405</v>
      </c>
      <c r="BU5" s="5">
        <v>43435</v>
      </c>
      <c r="BV5" s="5" t="s">
        <v>28</v>
      </c>
      <c r="BW5" s="5">
        <v>43497</v>
      </c>
      <c r="BX5" s="5">
        <v>43525</v>
      </c>
      <c r="BY5" s="5">
        <v>43556</v>
      </c>
      <c r="BZ5" s="5">
        <v>43586</v>
      </c>
      <c r="CA5" s="5">
        <v>43617</v>
      </c>
      <c r="CB5" s="5">
        <v>43647</v>
      </c>
      <c r="CC5" s="5">
        <v>43678</v>
      </c>
      <c r="CD5" s="5">
        <v>43709</v>
      </c>
      <c r="CE5" s="5">
        <v>43739</v>
      </c>
      <c r="CF5" s="5">
        <v>43770</v>
      </c>
      <c r="CG5" s="5">
        <v>43800</v>
      </c>
      <c r="CH5" s="5">
        <v>43831</v>
      </c>
      <c r="CI5" s="5">
        <v>43862</v>
      </c>
      <c r="CJ5" s="5">
        <v>43891</v>
      </c>
      <c r="CK5" s="5">
        <v>43922</v>
      </c>
      <c r="CL5" s="5">
        <v>43952</v>
      </c>
      <c r="CM5" s="5">
        <v>43983</v>
      </c>
      <c r="CN5" s="5">
        <v>44013</v>
      </c>
      <c r="CO5" s="5">
        <v>44044</v>
      </c>
      <c r="CP5" s="5">
        <v>44075</v>
      </c>
      <c r="CQ5" s="5">
        <v>44105</v>
      </c>
      <c r="CR5" s="5">
        <v>44136</v>
      </c>
      <c r="CS5" s="5">
        <v>44166</v>
      </c>
      <c r="CT5" s="5">
        <v>44197</v>
      </c>
      <c r="CU5" s="5">
        <v>44228</v>
      </c>
      <c r="CV5" s="5">
        <v>44256</v>
      </c>
      <c r="CW5" s="5">
        <v>44287</v>
      </c>
      <c r="CX5" s="5">
        <v>44317</v>
      </c>
      <c r="CY5" s="5">
        <v>44348</v>
      </c>
      <c r="CZ5" s="5">
        <v>44378</v>
      </c>
      <c r="DA5" s="5">
        <v>44409</v>
      </c>
      <c r="DB5" s="5">
        <v>44440</v>
      </c>
      <c r="DC5" s="5">
        <v>44470</v>
      </c>
      <c r="DD5" s="5">
        <v>44501</v>
      </c>
      <c r="DE5" s="5">
        <v>44531</v>
      </c>
      <c r="DF5" s="5">
        <v>44562</v>
      </c>
      <c r="DG5" s="5">
        <v>44593</v>
      </c>
      <c r="DH5" s="5">
        <v>44621</v>
      </c>
      <c r="DI5" s="5">
        <v>44652</v>
      </c>
      <c r="DJ5" s="5">
        <v>44682</v>
      </c>
      <c r="DK5" s="5">
        <v>44713</v>
      </c>
      <c r="DL5" s="5">
        <v>44743</v>
      </c>
      <c r="DM5" s="5">
        <v>44774</v>
      </c>
      <c r="DN5" s="5">
        <v>44805</v>
      </c>
      <c r="DO5" s="5">
        <v>44835</v>
      </c>
      <c r="DP5" s="5">
        <v>44866</v>
      </c>
      <c r="DQ5" s="5">
        <v>44896</v>
      </c>
      <c r="DR5" s="5">
        <v>44927</v>
      </c>
      <c r="DS5" s="5">
        <v>44958</v>
      </c>
      <c r="DT5" s="5">
        <v>44986</v>
      </c>
      <c r="DU5" s="5">
        <v>45017</v>
      </c>
      <c r="DV5" s="5">
        <v>45047</v>
      </c>
      <c r="DW5" s="5">
        <v>45078</v>
      </c>
      <c r="DX5" s="5">
        <v>45108</v>
      </c>
      <c r="DY5" s="5">
        <v>45139</v>
      </c>
      <c r="DZ5" s="5">
        <v>45170</v>
      </c>
      <c r="EA5" s="5">
        <v>45200</v>
      </c>
      <c r="EB5" s="5">
        <v>45231</v>
      </c>
      <c r="EC5" s="5">
        <v>45261</v>
      </c>
      <c r="ED5" s="5">
        <v>45292</v>
      </c>
      <c r="EE5" s="5">
        <v>45323</v>
      </c>
      <c r="EF5" s="5">
        <v>45352</v>
      </c>
      <c r="EG5" s="5">
        <v>45383</v>
      </c>
      <c r="EH5" s="5">
        <v>45413</v>
      </c>
      <c r="EI5" s="5">
        <v>45444</v>
      </c>
      <c r="EJ5" s="5">
        <v>45474</v>
      </c>
      <c r="EK5" s="5"/>
      <c r="EL5" s="5">
        <v>45505</v>
      </c>
      <c r="EM5" s="5"/>
      <c r="EN5" s="5">
        <v>45536</v>
      </c>
      <c r="EO5" s="5"/>
      <c r="EP5" s="5">
        <v>45566</v>
      </c>
      <c r="EQ5" s="5"/>
      <c r="ER5" s="5">
        <v>45597</v>
      </c>
      <c r="ES5" s="5"/>
      <c r="ET5" s="5">
        <v>45627</v>
      </c>
      <c r="EU5" s="5"/>
      <c r="EV5" s="5">
        <v>45658</v>
      </c>
      <c r="EW5" s="5">
        <v>45689</v>
      </c>
      <c r="EX5" s="5">
        <v>45717</v>
      </c>
      <c r="EY5" s="5">
        <v>45748</v>
      </c>
      <c r="EZ5" s="5">
        <v>45778</v>
      </c>
      <c r="FA5" s="5">
        <v>45809</v>
      </c>
      <c r="FB5" s="5">
        <v>45839</v>
      </c>
      <c r="FC5" s="5">
        <v>45870</v>
      </c>
      <c r="FD5" s="5">
        <v>45901</v>
      </c>
      <c r="FE5" s="5">
        <v>45931</v>
      </c>
      <c r="FF5" s="5">
        <v>45962</v>
      </c>
      <c r="FG5" s="5">
        <v>45992</v>
      </c>
      <c r="FH5" s="5">
        <v>46023</v>
      </c>
      <c r="FI5" s="5">
        <v>46054</v>
      </c>
    </row>
    <row r="6" spans="1:165" x14ac:dyDescent="0.4">
      <c r="A6" s="31" t="s">
        <v>18</v>
      </c>
      <c r="CK6" s="20"/>
      <c r="CL6" s="20"/>
      <c r="CM6" s="20"/>
      <c r="CN6" s="20"/>
      <c r="CO6" s="20"/>
      <c r="CP6" s="26"/>
      <c r="CQ6" s="26"/>
      <c r="CR6" s="26"/>
      <c r="CS6" s="26"/>
      <c r="CT6" s="26"/>
      <c r="CU6" s="26"/>
      <c r="CV6" s="26"/>
      <c r="CW6" s="26"/>
      <c r="CX6" s="26"/>
      <c r="CY6" s="26"/>
      <c r="CZ6" s="26"/>
      <c r="DA6" s="26"/>
      <c r="DB6" s="26"/>
    </row>
    <row r="7" spans="1:165" x14ac:dyDescent="0.4">
      <c r="A7" s="32" t="s">
        <v>2</v>
      </c>
      <c r="B7" s="27">
        <v>8521880</v>
      </c>
      <c r="C7" s="27">
        <v>8408653</v>
      </c>
      <c r="D7" s="27">
        <v>8536573</v>
      </c>
      <c r="E7" s="27">
        <v>8628221</v>
      </c>
      <c r="F7" s="27">
        <v>8797014</v>
      </c>
      <c r="G7" s="27">
        <v>8832946</v>
      </c>
      <c r="H7" s="27">
        <v>8926930</v>
      </c>
      <c r="I7" s="27">
        <v>9018936</v>
      </c>
      <c r="J7" s="27">
        <v>9115787</v>
      </c>
      <c r="K7" s="27">
        <v>9307570</v>
      </c>
      <c r="L7" s="27">
        <v>9544530</v>
      </c>
      <c r="M7" s="27">
        <v>9716157</v>
      </c>
      <c r="N7" s="27">
        <v>9786379</v>
      </c>
      <c r="O7" s="27">
        <v>9981107</v>
      </c>
      <c r="P7" s="27">
        <v>10062486</v>
      </c>
      <c r="Q7" s="27">
        <v>9914430</v>
      </c>
      <c r="R7" s="27">
        <v>9896431</v>
      </c>
      <c r="S7" s="27">
        <v>9941559</v>
      </c>
      <c r="T7" s="27">
        <v>10014974</v>
      </c>
      <c r="U7" s="27">
        <v>10226974</v>
      </c>
      <c r="V7" s="27">
        <v>10152803</v>
      </c>
      <c r="W7" s="27">
        <v>10212973</v>
      </c>
      <c r="X7" s="27">
        <v>10356075</v>
      </c>
      <c r="Y7" s="27">
        <v>10213009</v>
      </c>
      <c r="Z7" s="27">
        <v>12008138</v>
      </c>
      <c r="AA7" s="27">
        <v>12461639</v>
      </c>
      <c r="AB7" s="27">
        <v>12466711</v>
      </c>
      <c r="AC7" s="27">
        <v>12344278</v>
      </c>
      <c r="AD7" s="27">
        <v>12526331</v>
      </c>
      <c r="AE7" s="27">
        <v>12766817</v>
      </c>
      <c r="AF7" s="27">
        <v>12770308</v>
      </c>
      <c r="AG7" s="27">
        <v>13110360</v>
      </c>
      <c r="AH7" s="27">
        <v>12929465</v>
      </c>
      <c r="AI7" s="27">
        <v>12967567</v>
      </c>
      <c r="AJ7" s="27">
        <v>13168547</v>
      </c>
      <c r="AK7" s="27">
        <v>13291185</v>
      </c>
      <c r="AL7" s="27">
        <v>13507595</v>
      </c>
      <c r="AM7" s="27">
        <v>13496473</v>
      </c>
      <c r="AN7" s="27">
        <v>13392175</v>
      </c>
      <c r="AO7" s="27">
        <v>13603150</v>
      </c>
      <c r="AP7" s="27">
        <v>14011380</v>
      </c>
      <c r="AQ7" s="27">
        <v>14104286</v>
      </c>
      <c r="AR7" s="27">
        <v>14244405</v>
      </c>
      <c r="AS7" s="27">
        <v>14364467</v>
      </c>
      <c r="AT7" s="27">
        <v>14313416</v>
      </c>
      <c r="AU7" s="27">
        <v>14476390</v>
      </c>
      <c r="AV7" s="27">
        <v>14569099</v>
      </c>
      <c r="AW7" s="27">
        <v>14781021</v>
      </c>
      <c r="AX7" s="27">
        <v>15600770</v>
      </c>
      <c r="AY7" s="27">
        <v>15773804</v>
      </c>
      <c r="AZ7" s="27">
        <v>15925784</v>
      </c>
      <c r="BA7" s="27">
        <v>16176968</v>
      </c>
      <c r="BB7" s="27">
        <v>16290185</v>
      </c>
      <c r="BC7" s="27">
        <v>16741468</v>
      </c>
      <c r="BD7" s="27">
        <v>16941675</v>
      </c>
      <c r="BE7" s="27">
        <v>17293476</v>
      </c>
      <c r="BF7" s="27">
        <v>17708652</v>
      </c>
      <c r="BG7" s="27">
        <v>17792592</v>
      </c>
      <c r="BH7" s="27">
        <v>18296780</v>
      </c>
      <c r="BI7" s="27">
        <v>18397469</v>
      </c>
      <c r="BJ7" s="27">
        <v>19047201</v>
      </c>
      <c r="BK7" s="27">
        <v>19216421</v>
      </c>
      <c r="BL7" s="27">
        <v>19651642</v>
      </c>
      <c r="BM7" s="27">
        <v>20192472</v>
      </c>
      <c r="BN7" s="27">
        <v>20144968</v>
      </c>
      <c r="BO7" s="27">
        <v>20441627</v>
      </c>
      <c r="BP7" s="27">
        <v>20316126</v>
      </c>
      <c r="BQ7" s="27">
        <v>20781823</v>
      </c>
      <c r="BR7" s="27">
        <v>20706810</v>
      </c>
      <c r="BS7" s="27">
        <v>20604926</v>
      </c>
      <c r="BT7" s="27">
        <v>20623561</v>
      </c>
      <c r="BU7" s="27">
        <v>20903619</v>
      </c>
      <c r="BV7" s="27">
        <v>20844682</v>
      </c>
      <c r="BW7" s="27">
        <v>21149078</v>
      </c>
      <c r="BX7" s="27">
        <v>21280608</v>
      </c>
      <c r="BY7" s="27">
        <v>21657727</v>
      </c>
      <c r="BZ7" s="27">
        <v>22275151</v>
      </c>
      <c r="CA7" s="27">
        <v>22625342</v>
      </c>
      <c r="CB7" s="27">
        <v>22927470</v>
      </c>
      <c r="CC7" s="27">
        <v>23236488</v>
      </c>
      <c r="CD7" s="27">
        <v>22910500</v>
      </c>
      <c r="CE7" s="27">
        <v>22695686</v>
      </c>
      <c r="CF7" s="27">
        <v>23373761</v>
      </c>
      <c r="CG7" s="27">
        <v>23967120</v>
      </c>
      <c r="CH7" s="27">
        <v>24791857</v>
      </c>
      <c r="CI7" s="27">
        <v>24808003</v>
      </c>
      <c r="CJ7" s="27">
        <v>25575350</v>
      </c>
      <c r="CK7" s="28">
        <v>25078550</v>
      </c>
      <c r="CL7" s="28">
        <v>25490254</v>
      </c>
      <c r="CM7" s="28">
        <v>25316158</v>
      </c>
      <c r="CN7" s="28">
        <v>25403109</v>
      </c>
      <c r="CO7" s="28">
        <v>25903578</v>
      </c>
      <c r="CP7" s="25">
        <v>26287183</v>
      </c>
      <c r="CQ7" s="25">
        <v>27104048</v>
      </c>
      <c r="CR7" s="25">
        <v>28547000</v>
      </c>
      <c r="CS7" s="25">
        <v>30448071</v>
      </c>
      <c r="CT7" s="25">
        <v>31184131</v>
      </c>
      <c r="CU7" s="25">
        <v>30741058</v>
      </c>
      <c r="CV7" s="25">
        <v>30947002</v>
      </c>
      <c r="CW7" s="25">
        <v>31593882</v>
      </c>
      <c r="CX7" s="25">
        <v>31980971</v>
      </c>
      <c r="CY7" s="25">
        <v>32343363</v>
      </c>
      <c r="CZ7" s="25">
        <v>32367876</v>
      </c>
      <c r="DA7" s="25">
        <v>32679156</v>
      </c>
      <c r="DB7" s="25">
        <v>32998359</v>
      </c>
      <c r="DC7" s="25">
        <v>33367826</v>
      </c>
      <c r="DD7" s="25">
        <v>33392139</v>
      </c>
      <c r="DE7" s="25">
        <v>33314206</v>
      </c>
      <c r="DF7" s="25">
        <v>33217509</v>
      </c>
      <c r="DG7" s="25">
        <v>33094598</v>
      </c>
      <c r="DH7" s="25">
        <v>32775412</v>
      </c>
      <c r="DI7" s="25">
        <v>32373339</v>
      </c>
      <c r="DJ7" s="25">
        <v>32141968</v>
      </c>
      <c r="DK7" s="25">
        <v>32280400</v>
      </c>
      <c r="DL7" s="25">
        <v>32308832</v>
      </c>
      <c r="DM7" s="25">
        <v>32198161</v>
      </c>
      <c r="DN7" s="25">
        <v>32608690</v>
      </c>
      <c r="DO7" s="25">
        <v>32722112</v>
      </c>
      <c r="DP7" s="25">
        <v>33456293</v>
      </c>
      <c r="DQ7" s="25">
        <v>34890017</v>
      </c>
      <c r="DR7" s="25">
        <v>37293122</v>
      </c>
      <c r="DS7" s="25">
        <v>37447960</v>
      </c>
      <c r="DT7" s="25">
        <v>38027955</v>
      </c>
      <c r="DU7" s="25">
        <v>38703867</v>
      </c>
      <c r="DV7" s="25">
        <v>39398162</v>
      </c>
      <c r="DW7" s="25">
        <v>39719397</v>
      </c>
      <c r="DX7" s="25">
        <v>40524930</v>
      </c>
      <c r="DY7" s="25">
        <v>41402233</v>
      </c>
      <c r="DZ7" s="25">
        <v>41800991</v>
      </c>
      <c r="EA7" s="25">
        <v>42051898</v>
      </c>
      <c r="EB7" s="25">
        <v>41986705</v>
      </c>
      <c r="EC7" s="25">
        <v>42290852</v>
      </c>
      <c r="ED7" s="25">
        <v>44145000</v>
      </c>
      <c r="EE7" s="25">
        <v>44418024</v>
      </c>
      <c r="EF7" s="25">
        <v>44841650</v>
      </c>
      <c r="EG7" s="25">
        <v>45640044</v>
      </c>
      <c r="EH7" s="25">
        <v>45662353</v>
      </c>
      <c r="EI7" s="25">
        <v>45899399</v>
      </c>
      <c r="EJ7" s="25">
        <v>46022912</v>
      </c>
      <c r="EK7" s="25">
        <f>EL7-EJ7</f>
        <v>-1590</v>
      </c>
      <c r="EL7" s="25">
        <v>46021322</v>
      </c>
      <c r="EM7" s="25">
        <f>EN7-EL7</f>
        <v>828563</v>
      </c>
      <c r="EN7" s="25">
        <v>46849885</v>
      </c>
      <c r="EO7" s="25">
        <f>EP7-EN7</f>
        <v>1111447</v>
      </c>
      <c r="EP7" s="25">
        <v>47961332</v>
      </c>
      <c r="EQ7" s="25">
        <f>ER7-EP7</f>
        <v>65697</v>
      </c>
      <c r="ER7" s="25">
        <v>48027029</v>
      </c>
      <c r="ES7" s="25">
        <f>ET7-ER7</f>
        <v>911768</v>
      </c>
      <c r="ET7" s="25">
        <v>48938797</v>
      </c>
      <c r="EU7" s="25">
        <f>EV7-ET7</f>
        <v>6063816</v>
      </c>
      <c r="EV7" s="25">
        <v>55002613</v>
      </c>
      <c r="EW7" s="25">
        <v>55076717</v>
      </c>
      <c r="EX7" s="25">
        <v>55591408</v>
      </c>
      <c r="EY7" s="25">
        <v>56392549</v>
      </c>
      <c r="EZ7" s="25">
        <v>57540289</v>
      </c>
      <c r="FA7" s="25">
        <v>58132788</v>
      </c>
      <c r="FB7" s="25">
        <v>59214168</v>
      </c>
      <c r="FC7" s="25">
        <v>60709960</v>
      </c>
      <c r="FD7" s="25">
        <v>61946413</v>
      </c>
      <c r="FE7" s="25">
        <v>62633584</v>
      </c>
      <c r="FF7" s="25">
        <v>63697424</v>
      </c>
      <c r="FG7" s="25">
        <v>65391774</v>
      </c>
      <c r="FH7" s="25">
        <v>66932876</v>
      </c>
      <c r="FI7" s="25">
        <v>66980288</v>
      </c>
    </row>
    <row r="8" spans="1:165" x14ac:dyDescent="0.4">
      <c r="A8" s="33" t="s">
        <v>13</v>
      </c>
      <c r="B8" s="27">
        <v>13090</v>
      </c>
      <c r="C8" s="27">
        <v>13088</v>
      </c>
      <c r="D8" s="27">
        <v>15082</v>
      </c>
      <c r="E8" s="27">
        <v>15075</v>
      </c>
      <c r="F8" s="27">
        <v>15075</v>
      </c>
      <c r="G8" s="27">
        <v>15008</v>
      </c>
      <c r="H8" s="27">
        <v>15034</v>
      </c>
      <c r="I8" s="27">
        <v>15038</v>
      </c>
      <c r="J8" s="27">
        <v>15038</v>
      </c>
      <c r="K8" s="27">
        <v>15038</v>
      </c>
      <c r="L8" s="27">
        <v>2000</v>
      </c>
      <c r="M8" s="27">
        <v>2000</v>
      </c>
      <c r="N8" s="27">
        <v>2000</v>
      </c>
      <c r="O8" s="27">
        <v>0</v>
      </c>
      <c r="P8" s="27">
        <v>0</v>
      </c>
      <c r="Q8" s="27">
        <v>873</v>
      </c>
      <c r="R8" s="27">
        <v>873</v>
      </c>
      <c r="S8" s="27">
        <v>15910</v>
      </c>
      <c r="T8" s="27">
        <v>15949</v>
      </c>
      <c r="U8" s="27">
        <v>15880</v>
      </c>
      <c r="V8" s="27">
        <v>15886</v>
      </c>
      <c r="W8" s="27">
        <v>15855</v>
      </c>
      <c r="X8" s="27">
        <v>30822</v>
      </c>
      <c r="Y8" s="27">
        <v>30613</v>
      </c>
      <c r="Z8" s="27">
        <v>0</v>
      </c>
      <c r="AA8" s="27">
        <v>0</v>
      </c>
      <c r="AB8" s="27">
        <v>0</v>
      </c>
      <c r="AC8" s="27">
        <v>0</v>
      </c>
      <c r="AD8" s="27">
        <v>0</v>
      </c>
      <c r="AE8" s="27">
        <v>0</v>
      </c>
      <c r="AF8" s="27">
        <v>0</v>
      </c>
      <c r="AG8" s="27">
        <v>0</v>
      </c>
      <c r="AH8" s="27">
        <v>0</v>
      </c>
      <c r="AI8" s="27">
        <v>0</v>
      </c>
      <c r="AJ8" s="27">
        <v>0</v>
      </c>
      <c r="AK8" s="27">
        <v>0</v>
      </c>
      <c r="AL8" s="27">
        <v>0</v>
      </c>
      <c r="AM8" s="27">
        <v>3000</v>
      </c>
      <c r="AN8" s="27">
        <v>3000</v>
      </c>
      <c r="AO8" s="27">
        <v>3000</v>
      </c>
      <c r="AP8" s="27">
        <v>3000</v>
      </c>
      <c r="AQ8" s="27">
        <v>3000</v>
      </c>
      <c r="AR8" s="27">
        <v>3010</v>
      </c>
      <c r="AS8" s="27">
        <v>3010</v>
      </c>
      <c r="AT8" s="27">
        <v>3334</v>
      </c>
      <c r="AU8" s="27">
        <v>3416</v>
      </c>
      <c r="AV8" s="27">
        <v>8317</v>
      </c>
      <c r="AW8" s="27">
        <v>33869</v>
      </c>
      <c r="AX8" s="27">
        <v>4086</v>
      </c>
      <c r="AY8" s="27">
        <v>41162</v>
      </c>
      <c r="AZ8" s="27">
        <v>46406</v>
      </c>
      <c r="BA8" s="27">
        <v>71398</v>
      </c>
      <c r="BB8" s="27">
        <v>20199</v>
      </c>
      <c r="BC8" s="27">
        <v>60433</v>
      </c>
      <c r="BD8" s="27">
        <v>81812</v>
      </c>
      <c r="BE8" s="27">
        <v>54683</v>
      </c>
      <c r="BF8" s="27">
        <v>216645</v>
      </c>
      <c r="BG8" s="27">
        <v>165491</v>
      </c>
      <c r="BH8" s="27">
        <v>381214</v>
      </c>
      <c r="BI8" s="27">
        <v>353230</v>
      </c>
      <c r="BJ8" s="27">
        <v>400383</v>
      </c>
      <c r="BK8" s="27">
        <v>649875</v>
      </c>
      <c r="BL8" s="27">
        <v>870364</v>
      </c>
      <c r="BM8" s="27">
        <v>1226240</v>
      </c>
      <c r="BN8" s="27">
        <v>1139880</v>
      </c>
      <c r="BO8" s="27">
        <v>1377615</v>
      </c>
      <c r="BP8" s="27">
        <v>1196047</v>
      </c>
      <c r="BQ8" s="27">
        <v>1548758</v>
      </c>
      <c r="BR8" s="27">
        <v>1513512</v>
      </c>
      <c r="BS8" s="27">
        <v>1540052</v>
      </c>
      <c r="BT8" s="27">
        <v>1542459</v>
      </c>
      <c r="BU8" s="27">
        <v>1685302</v>
      </c>
      <c r="BV8" s="27">
        <v>1395847</v>
      </c>
      <c r="BW8" s="27">
        <v>1552313</v>
      </c>
      <c r="BX8" s="27">
        <v>1581390</v>
      </c>
      <c r="BY8" s="27">
        <v>1537762</v>
      </c>
      <c r="BZ8" s="27">
        <v>1578272</v>
      </c>
      <c r="CA8" s="27">
        <v>1696231</v>
      </c>
      <c r="CB8" s="27">
        <v>1814205</v>
      </c>
      <c r="CC8" s="27">
        <v>1642423</v>
      </c>
      <c r="CD8" s="27">
        <v>1330530</v>
      </c>
      <c r="CE8" s="27">
        <v>982080</v>
      </c>
      <c r="CF8" s="27">
        <v>1273113</v>
      </c>
      <c r="CG8" s="27">
        <v>1659140</v>
      </c>
      <c r="CH8" s="27">
        <v>2115253</v>
      </c>
      <c r="CI8" s="27">
        <v>2254673</v>
      </c>
      <c r="CJ8" s="27">
        <v>2091535</v>
      </c>
      <c r="CK8" s="28">
        <v>1712256</v>
      </c>
      <c r="CL8" s="28">
        <v>1678307</v>
      </c>
      <c r="CM8" s="28">
        <v>1249295</v>
      </c>
      <c r="CN8" s="28">
        <v>871666</v>
      </c>
      <c r="CO8" s="28">
        <v>869908</v>
      </c>
      <c r="CP8" s="25">
        <v>978754</v>
      </c>
      <c r="CQ8" s="25">
        <v>958109</v>
      </c>
      <c r="CR8" s="25">
        <v>827368</v>
      </c>
      <c r="CS8" s="25">
        <v>723976</v>
      </c>
      <c r="CT8" s="25">
        <v>707368</v>
      </c>
      <c r="CU8" s="25">
        <v>681539</v>
      </c>
      <c r="CV8" s="25">
        <v>669632</v>
      </c>
      <c r="CW8" s="25">
        <v>756547</v>
      </c>
      <c r="CX8" s="25">
        <v>761099</v>
      </c>
      <c r="CY8" s="25">
        <v>772346</v>
      </c>
      <c r="CZ8" s="25">
        <v>724043</v>
      </c>
      <c r="DA8" s="25">
        <v>684714</v>
      </c>
      <c r="DB8" s="25">
        <v>666758</v>
      </c>
      <c r="DC8" s="25">
        <v>691083</v>
      </c>
      <c r="DD8" s="25">
        <v>575682</v>
      </c>
      <c r="DE8" s="25">
        <v>310938</v>
      </c>
      <c r="DF8" s="25">
        <v>154484</v>
      </c>
      <c r="DG8" s="25">
        <v>157970</v>
      </c>
      <c r="DH8" s="25">
        <v>153632</v>
      </c>
      <c r="DI8" s="25">
        <v>142588</v>
      </c>
      <c r="DJ8" s="25">
        <v>140571</v>
      </c>
      <c r="DK8" s="25">
        <v>147082</v>
      </c>
      <c r="DL8" s="25">
        <v>139453</v>
      </c>
      <c r="DM8" s="25">
        <v>177582</v>
      </c>
      <c r="DN8" s="25">
        <v>207372</v>
      </c>
      <c r="DO8" s="25">
        <v>234464</v>
      </c>
      <c r="DP8" s="25">
        <v>234776</v>
      </c>
      <c r="DQ8" s="25">
        <v>175806</v>
      </c>
      <c r="DR8" s="25">
        <v>208239</v>
      </c>
      <c r="DS8" s="25">
        <v>226328</v>
      </c>
      <c r="DT8" s="25">
        <v>163662</v>
      </c>
      <c r="DU8" s="25">
        <v>196196</v>
      </c>
      <c r="DV8" s="25">
        <v>105725</v>
      </c>
      <c r="DW8" s="25">
        <v>142206</v>
      </c>
      <c r="DX8" s="25">
        <v>155059</v>
      </c>
      <c r="DY8" s="25">
        <v>200806</v>
      </c>
      <c r="DZ8" s="25">
        <v>208442</v>
      </c>
      <c r="EA8" s="25">
        <v>296577</v>
      </c>
      <c r="EB8" s="25">
        <v>344464</v>
      </c>
      <c r="EC8" s="25">
        <v>311956</v>
      </c>
      <c r="ED8" s="25">
        <v>347289</v>
      </c>
      <c r="EE8" s="25">
        <v>459608</v>
      </c>
      <c r="EF8" s="25">
        <v>364811</v>
      </c>
      <c r="EG8" s="25">
        <v>460867</v>
      </c>
      <c r="EH8" s="25">
        <v>424582</v>
      </c>
      <c r="EI8" s="25">
        <v>466009</v>
      </c>
      <c r="EJ8" s="25">
        <v>446349</v>
      </c>
      <c r="EK8" s="25">
        <f t="shared" ref="EK8:EK71" si="0">EL8-EJ8</f>
        <v>-56272</v>
      </c>
      <c r="EL8" s="25">
        <v>390077</v>
      </c>
      <c r="EM8" s="25">
        <f t="shared" ref="EM8:EM71" si="1">EN8-EL8</f>
        <v>-82415</v>
      </c>
      <c r="EN8" s="25">
        <v>307662</v>
      </c>
      <c r="EO8" s="25">
        <f t="shared" ref="EO8:EO71" si="2">EP8-EN8</f>
        <v>40858</v>
      </c>
      <c r="EP8" s="25">
        <v>348520</v>
      </c>
      <c r="EQ8" s="25">
        <f t="shared" ref="EQ8:EQ71" si="3">ER8-EP8</f>
        <v>-111811</v>
      </c>
      <c r="ER8" s="25">
        <v>236709</v>
      </c>
      <c r="ES8" s="25">
        <f t="shared" ref="ES8:ES71" si="4">ET8-ER8</f>
        <v>-22291</v>
      </c>
      <c r="ET8" s="25">
        <v>214418</v>
      </c>
      <c r="EU8" s="25">
        <f t="shared" ref="EU8:EU71" si="5">EV8-ET8</f>
        <v>197771</v>
      </c>
      <c r="EV8" s="25">
        <v>412189</v>
      </c>
      <c r="EW8" s="25">
        <v>400173</v>
      </c>
      <c r="EX8" s="25">
        <v>442416</v>
      </c>
      <c r="EY8" s="25">
        <v>462342</v>
      </c>
      <c r="EZ8" s="25">
        <v>482881</v>
      </c>
      <c r="FA8" s="25">
        <v>516930</v>
      </c>
      <c r="FB8" s="25">
        <v>489437</v>
      </c>
      <c r="FC8" s="25">
        <v>559798</v>
      </c>
      <c r="FD8" s="25">
        <v>604546</v>
      </c>
      <c r="FE8" s="25">
        <v>555511</v>
      </c>
      <c r="FF8" s="25">
        <v>575522</v>
      </c>
      <c r="FG8" s="25">
        <v>491770</v>
      </c>
      <c r="FH8" s="25">
        <v>491751</v>
      </c>
      <c r="FI8" s="25">
        <v>497012</v>
      </c>
    </row>
    <row r="9" spans="1:165" x14ac:dyDescent="0.4">
      <c r="A9" s="33" t="s">
        <v>14</v>
      </c>
      <c r="B9" s="27">
        <v>8508790</v>
      </c>
      <c r="C9" s="27">
        <v>8395565</v>
      </c>
      <c r="D9" s="27">
        <v>8521491</v>
      </c>
      <c r="E9" s="27">
        <v>8613146</v>
      </c>
      <c r="F9" s="27">
        <v>8781939</v>
      </c>
      <c r="G9" s="27">
        <v>8817938</v>
      </c>
      <c r="H9" s="27">
        <v>8911896</v>
      </c>
      <c r="I9" s="27">
        <v>9003898</v>
      </c>
      <c r="J9" s="27">
        <v>9100749</v>
      </c>
      <c r="K9" s="27">
        <v>9292532</v>
      </c>
      <c r="L9" s="27">
        <v>9542530</v>
      </c>
      <c r="M9" s="27">
        <v>9714157</v>
      </c>
      <c r="N9" s="27">
        <v>9784379</v>
      </c>
      <c r="O9" s="27">
        <v>9981107</v>
      </c>
      <c r="P9" s="27">
        <v>10062486</v>
      </c>
      <c r="Q9" s="27">
        <v>9913557</v>
      </c>
      <c r="R9" s="27">
        <v>9895558</v>
      </c>
      <c r="S9" s="27">
        <v>9925649</v>
      </c>
      <c r="T9" s="27">
        <v>9999025</v>
      </c>
      <c r="U9" s="27">
        <v>10211093</v>
      </c>
      <c r="V9" s="27">
        <v>10136917</v>
      </c>
      <c r="W9" s="27">
        <v>10197118</v>
      </c>
      <c r="X9" s="27">
        <v>10325253</v>
      </c>
      <c r="Y9" s="27">
        <v>10182395</v>
      </c>
      <c r="Z9" s="27">
        <v>12008138</v>
      </c>
      <c r="AA9" s="27">
        <v>12461639</v>
      </c>
      <c r="AB9" s="27">
        <v>12466711</v>
      </c>
      <c r="AC9" s="27">
        <v>12344278</v>
      </c>
      <c r="AD9" s="27">
        <v>12526331</v>
      </c>
      <c r="AE9" s="27">
        <v>12766817</v>
      </c>
      <c r="AF9" s="27">
        <v>12770308</v>
      </c>
      <c r="AG9" s="27">
        <v>13110360</v>
      </c>
      <c r="AH9" s="27">
        <v>12929465</v>
      </c>
      <c r="AI9" s="27">
        <v>12967567</v>
      </c>
      <c r="AJ9" s="27">
        <v>13168547</v>
      </c>
      <c r="AK9" s="27">
        <v>13291185</v>
      </c>
      <c r="AL9" s="27">
        <v>13507595</v>
      </c>
      <c r="AM9" s="27">
        <v>13493473</v>
      </c>
      <c r="AN9" s="27">
        <v>13389175</v>
      </c>
      <c r="AO9" s="27">
        <v>13600150</v>
      </c>
      <c r="AP9" s="27">
        <v>14008380</v>
      </c>
      <c r="AQ9" s="27">
        <v>14101286</v>
      </c>
      <c r="AR9" s="27">
        <v>14241396</v>
      </c>
      <c r="AS9" s="27">
        <v>14361457</v>
      </c>
      <c r="AT9" s="27">
        <v>14310082</v>
      </c>
      <c r="AU9" s="27">
        <v>14472974</v>
      </c>
      <c r="AV9" s="27">
        <v>14560782</v>
      </c>
      <c r="AW9" s="27">
        <v>14747151</v>
      </c>
      <c r="AX9" s="27">
        <v>15596683</v>
      </c>
      <c r="AY9" s="27">
        <v>15732642</v>
      </c>
      <c r="AZ9" s="27">
        <v>15879378</v>
      </c>
      <c r="BA9" s="27">
        <v>16105570</v>
      </c>
      <c r="BB9" s="27">
        <v>16269986</v>
      </c>
      <c r="BC9" s="27">
        <v>16681036</v>
      </c>
      <c r="BD9" s="27">
        <v>16859862</v>
      </c>
      <c r="BE9" s="27">
        <v>17238792</v>
      </c>
      <c r="BF9" s="27">
        <v>17492007</v>
      </c>
      <c r="BG9" s="27">
        <v>17627101</v>
      </c>
      <c r="BH9" s="27">
        <v>17915567</v>
      </c>
      <c r="BI9" s="27">
        <v>18044239</v>
      </c>
      <c r="BJ9" s="27">
        <v>18646818</v>
      </c>
      <c r="BK9" s="27">
        <v>18566546</v>
      </c>
      <c r="BL9" s="27">
        <v>18781278</v>
      </c>
      <c r="BM9" s="27">
        <v>18966232</v>
      </c>
      <c r="BN9" s="27">
        <v>19005088</v>
      </c>
      <c r="BO9" s="27">
        <v>19064011</v>
      </c>
      <c r="BP9" s="27">
        <v>19120079</v>
      </c>
      <c r="BQ9" s="27">
        <v>19233065</v>
      </c>
      <c r="BR9" s="27">
        <v>19193299</v>
      </c>
      <c r="BS9" s="27">
        <v>19064874</v>
      </c>
      <c r="BT9" s="27">
        <v>19081103</v>
      </c>
      <c r="BU9" s="27">
        <v>19218317</v>
      </c>
      <c r="BV9" s="27">
        <v>19448835</v>
      </c>
      <c r="BW9" s="27">
        <v>19596765</v>
      </c>
      <c r="BX9" s="27">
        <v>19699218</v>
      </c>
      <c r="BY9" s="27">
        <v>20119965</v>
      </c>
      <c r="BZ9" s="27">
        <v>20696879</v>
      </c>
      <c r="CA9" s="27">
        <v>20929111</v>
      </c>
      <c r="CB9" s="27">
        <v>21113266</v>
      </c>
      <c r="CC9" s="27">
        <v>21594065</v>
      </c>
      <c r="CD9" s="27">
        <v>21579970</v>
      </c>
      <c r="CE9" s="27">
        <v>21713606</v>
      </c>
      <c r="CF9" s="27">
        <v>22100648</v>
      </c>
      <c r="CG9" s="27">
        <v>22307980</v>
      </c>
      <c r="CH9" s="27">
        <v>22676604</v>
      </c>
      <c r="CI9" s="27">
        <v>22553330</v>
      </c>
      <c r="CJ9" s="27">
        <v>23483815</v>
      </c>
      <c r="CK9" s="28">
        <v>23366294</v>
      </c>
      <c r="CL9" s="28">
        <v>23811947</v>
      </c>
      <c r="CM9" s="28">
        <v>24066863</v>
      </c>
      <c r="CN9" s="28">
        <v>24531443</v>
      </c>
      <c r="CO9" s="28">
        <v>25033669</v>
      </c>
      <c r="CP9" s="25">
        <v>25308429</v>
      </c>
      <c r="CQ9" s="25">
        <v>26145938</v>
      </c>
      <c r="CR9" s="25">
        <v>27719632</v>
      </c>
      <c r="CS9" s="25">
        <v>29724095</v>
      </c>
      <c r="CT9" s="25">
        <v>30476763</v>
      </c>
      <c r="CU9" s="25">
        <v>30059519</v>
      </c>
      <c r="CV9" s="25">
        <v>30277370</v>
      </c>
      <c r="CW9" s="25">
        <v>30837335</v>
      </c>
      <c r="CX9" s="25">
        <v>31219873</v>
      </c>
      <c r="CY9" s="25">
        <v>31571017</v>
      </c>
      <c r="CZ9" s="25">
        <v>31643833</v>
      </c>
      <c r="DA9" s="25">
        <v>31994443</v>
      </c>
      <c r="DB9" s="25">
        <v>32331601</v>
      </c>
      <c r="DC9" s="25">
        <v>32676744</v>
      </c>
      <c r="DD9" s="25">
        <v>32816456</v>
      </c>
      <c r="DE9" s="25">
        <v>33003268</v>
      </c>
      <c r="DF9" s="25">
        <v>33063025</v>
      </c>
      <c r="DG9" s="25">
        <v>32936629</v>
      </c>
      <c r="DH9" s="25">
        <v>32621779</v>
      </c>
      <c r="DI9" s="25">
        <v>32230751</v>
      </c>
      <c r="DJ9" s="25">
        <v>32001398</v>
      </c>
      <c r="DK9" s="25">
        <v>32133319</v>
      </c>
      <c r="DL9" s="25">
        <v>32169379</v>
      </c>
      <c r="DM9" s="25">
        <v>32020579</v>
      </c>
      <c r="DN9" s="25">
        <v>32401318</v>
      </c>
      <c r="DO9" s="25">
        <v>32487648</v>
      </c>
      <c r="DP9" s="25">
        <v>33221517</v>
      </c>
      <c r="DQ9" s="25">
        <v>34714211</v>
      </c>
      <c r="DR9" s="25">
        <v>37084884</v>
      </c>
      <c r="DS9" s="25">
        <v>37221632</v>
      </c>
      <c r="DT9" s="25">
        <v>37864293</v>
      </c>
      <c r="DU9" s="25">
        <v>38507671</v>
      </c>
      <c r="DV9" s="25">
        <v>39292437</v>
      </c>
      <c r="DW9" s="25">
        <v>39577191</v>
      </c>
      <c r="DX9" s="25">
        <v>40369871</v>
      </c>
      <c r="DY9" s="25">
        <v>41201427</v>
      </c>
      <c r="DZ9" s="25">
        <v>41592549</v>
      </c>
      <c r="EA9" s="25">
        <v>41755320</v>
      </c>
      <c r="EB9" s="25">
        <v>41642241</v>
      </c>
      <c r="EC9" s="25">
        <v>41978896</v>
      </c>
      <c r="ED9" s="25">
        <v>43797711</v>
      </c>
      <c r="EE9" s="25">
        <v>43958416</v>
      </c>
      <c r="EF9" s="25">
        <v>44476839</v>
      </c>
      <c r="EG9" s="25">
        <v>45179177</v>
      </c>
      <c r="EH9" s="25">
        <v>45237771</v>
      </c>
      <c r="EI9" s="25">
        <v>45433390</v>
      </c>
      <c r="EJ9" s="25">
        <v>45576564</v>
      </c>
      <c r="EK9" s="25">
        <f t="shared" si="0"/>
        <v>54680</v>
      </c>
      <c r="EL9" s="25">
        <v>45631244</v>
      </c>
      <c r="EM9" s="25">
        <f t="shared" si="1"/>
        <v>910979</v>
      </c>
      <c r="EN9" s="25">
        <v>46542223</v>
      </c>
      <c r="EO9" s="25">
        <f t="shared" si="2"/>
        <v>1070589</v>
      </c>
      <c r="EP9" s="25">
        <v>47612812</v>
      </c>
      <c r="EQ9" s="25">
        <f t="shared" si="3"/>
        <v>177507</v>
      </c>
      <c r="ER9" s="25">
        <v>47790319</v>
      </c>
      <c r="ES9" s="25">
        <f t="shared" si="4"/>
        <v>934060</v>
      </c>
      <c r="ET9" s="25">
        <v>48724379</v>
      </c>
      <c r="EU9" s="25">
        <f t="shared" si="5"/>
        <v>5866045</v>
      </c>
      <c r="EV9" s="25">
        <v>54590424</v>
      </c>
      <c r="EW9" s="25">
        <v>54676544</v>
      </c>
      <c r="EX9" s="25">
        <v>55148993</v>
      </c>
      <c r="EY9" s="25">
        <v>55930207</v>
      </c>
      <c r="EZ9" s="25">
        <v>57057409</v>
      </c>
      <c r="FA9" s="25">
        <v>57615858</v>
      </c>
      <c r="FB9" s="25">
        <v>58724731</v>
      </c>
      <c r="FC9" s="25">
        <v>60150162</v>
      </c>
      <c r="FD9" s="25">
        <v>61341867</v>
      </c>
      <c r="FE9" s="25">
        <v>62078073</v>
      </c>
      <c r="FF9" s="25">
        <v>63121902</v>
      </c>
      <c r="FG9" s="25">
        <v>64900003</v>
      </c>
      <c r="FH9" s="25">
        <v>66441124</v>
      </c>
      <c r="FI9" s="25">
        <v>66483277</v>
      </c>
    </row>
    <row r="10" spans="1:165" x14ac:dyDescent="0.4">
      <c r="A10" s="33" t="s">
        <v>27</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v>1225139</v>
      </c>
      <c r="BW10" s="27">
        <v>1473826</v>
      </c>
      <c r="BX10" s="27">
        <v>1401659</v>
      </c>
      <c r="BY10" s="27">
        <v>1393854</v>
      </c>
      <c r="BZ10" s="27">
        <v>1373049</v>
      </c>
      <c r="CA10" s="27">
        <v>1390559</v>
      </c>
      <c r="CB10" s="27">
        <v>1472147</v>
      </c>
      <c r="CC10" s="27">
        <v>1441629</v>
      </c>
      <c r="CD10" s="27">
        <v>1426230</v>
      </c>
      <c r="CE10" s="27">
        <v>1415635</v>
      </c>
      <c r="CF10" s="27">
        <v>1388058</v>
      </c>
      <c r="CG10" s="27">
        <v>1384876</v>
      </c>
      <c r="CH10" s="27">
        <v>1736430</v>
      </c>
      <c r="CI10" s="27">
        <v>1892444</v>
      </c>
      <c r="CJ10" s="27">
        <v>2013036</v>
      </c>
      <c r="CK10" s="28">
        <v>2113324</v>
      </c>
      <c r="CL10" s="28">
        <v>2299356</v>
      </c>
      <c r="CM10" s="28">
        <v>2011587</v>
      </c>
      <c r="CN10" s="28">
        <v>2270030</v>
      </c>
      <c r="CO10" s="28">
        <v>2331829</v>
      </c>
      <c r="CP10" s="25">
        <v>2720459</v>
      </c>
      <c r="CQ10" s="25">
        <v>2679840</v>
      </c>
      <c r="CR10" s="25">
        <v>2621440</v>
      </c>
      <c r="CS10" s="25">
        <v>2699067</v>
      </c>
      <c r="CT10" s="25">
        <v>2638664</v>
      </c>
      <c r="CU10" s="25">
        <v>2282291</v>
      </c>
      <c r="CV10" s="25">
        <v>2292389</v>
      </c>
      <c r="CW10" s="25">
        <v>2205872</v>
      </c>
      <c r="CX10" s="25">
        <v>2103340</v>
      </c>
      <c r="CY10" s="25">
        <v>2110256</v>
      </c>
      <c r="CZ10" s="25">
        <v>1886949</v>
      </c>
      <c r="DA10" s="25">
        <v>2349755</v>
      </c>
      <c r="DB10" s="25">
        <v>1990253</v>
      </c>
      <c r="DC10" s="25">
        <v>1974043</v>
      </c>
      <c r="DD10" s="25">
        <v>2086689</v>
      </c>
      <c r="DE10" s="25">
        <v>2212198</v>
      </c>
      <c r="DF10" s="25">
        <v>2248644</v>
      </c>
      <c r="DG10" s="25">
        <v>2480815</v>
      </c>
      <c r="DH10" s="25">
        <v>2384592</v>
      </c>
      <c r="DI10" s="25">
        <v>2452150</v>
      </c>
      <c r="DJ10" s="25">
        <v>2353422</v>
      </c>
      <c r="DK10" s="25">
        <v>2521535</v>
      </c>
      <c r="DL10" s="25">
        <v>2556369</v>
      </c>
      <c r="DM10" s="25">
        <v>2107416</v>
      </c>
      <c r="DN10" s="25">
        <v>2659157</v>
      </c>
      <c r="DO10" s="25">
        <v>2652554</v>
      </c>
      <c r="DP10" s="25">
        <v>2847057</v>
      </c>
      <c r="DQ10" s="25">
        <v>2739615</v>
      </c>
      <c r="DR10" s="25">
        <v>2340363</v>
      </c>
      <c r="DS10" s="25">
        <v>2170011</v>
      </c>
      <c r="DT10" s="25">
        <v>2572768</v>
      </c>
      <c r="DU10" s="25">
        <v>2580444</v>
      </c>
      <c r="DV10" s="25">
        <v>2983452</v>
      </c>
      <c r="DW10" s="25">
        <v>2911497</v>
      </c>
      <c r="DX10" s="25">
        <v>2877424</v>
      </c>
      <c r="DY10" s="25">
        <v>3312385</v>
      </c>
      <c r="DZ10" s="25">
        <v>2845978</v>
      </c>
      <c r="EA10" s="25">
        <v>2924459</v>
      </c>
      <c r="EB10" s="25">
        <v>2978967</v>
      </c>
      <c r="EC10" s="25">
        <v>3279781</v>
      </c>
      <c r="ED10" s="25">
        <v>3385786</v>
      </c>
      <c r="EE10" s="25">
        <v>3683015</v>
      </c>
      <c r="EF10" s="25">
        <v>3391039</v>
      </c>
      <c r="EG10" s="25">
        <v>3659393</v>
      </c>
      <c r="EH10" s="25">
        <v>3478299</v>
      </c>
      <c r="EI10" s="25">
        <v>3490149</v>
      </c>
      <c r="EJ10" s="25">
        <v>3490000</v>
      </c>
      <c r="EK10" s="25">
        <f t="shared" si="0"/>
        <v>107865</v>
      </c>
      <c r="EL10" s="25">
        <v>3597865</v>
      </c>
      <c r="EM10" s="25">
        <f t="shared" si="1"/>
        <v>88752</v>
      </c>
      <c r="EN10" s="25">
        <v>3686617</v>
      </c>
      <c r="EO10" s="25">
        <f t="shared" si="2"/>
        <v>68726</v>
      </c>
      <c r="EP10" s="25">
        <v>3755343</v>
      </c>
      <c r="EQ10" s="25">
        <f t="shared" si="3"/>
        <v>-168176</v>
      </c>
      <c r="ER10" s="25">
        <v>3587167</v>
      </c>
      <c r="ES10" s="25">
        <f t="shared" si="4"/>
        <v>682767</v>
      </c>
      <c r="ET10" s="25">
        <v>4269934</v>
      </c>
      <c r="EU10" s="25">
        <f t="shared" si="5"/>
        <v>184895</v>
      </c>
      <c r="EV10" s="25">
        <v>4454829</v>
      </c>
      <c r="EW10" s="25">
        <v>4069496</v>
      </c>
      <c r="EX10" s="25">
        <v>4108682</v>
      </c>
      <c r="EY10" s="25">
        <v>4361414</v>
      </c>
      <c r="EZ10" s="25">
        <v>4411433</v>
      </c>
      <c r="FA10" s="25">
        <v>4756183</v>
      </c>
      <c r="FB10" s="25">
        <v>4969876</v>
      </c>
      <c r="FC10" s="25">
        <v>4808923</v>
      </c>
      <c r="FD10" s="25">
        <v>5096703</v>
      </c>
      <c r="FE10" s="25">
        <v>5678168</v>
      </c>
      <c r="FF10" s="25">
        <v>6048436</v>
      </c>
      <c r="FG10" s="25">
        <v>5800462</v>
      </c>
      <c r="FH10" s="25">
        <v>5815694</v>
      </c>
      <c r="FI10" s="25">
        <v>5668808</v>
      </c>
    </row>
    <row r="11" spans="1:165" x14ac:dyDescent="0.4">
      <c r="A11" s="33" t="s">
        <v>30</v>
      </c>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v>18223696</v>
      </c>
      <c r="BW11" s="27">
        <v>18122939</v>
      </c>
      <c r="BX11" s="27">
        <v>18297558</v>
      </c>
      <c r="BY11" s="27">
        <v>18726111</v>
      </c>
      <c r="BZ11" s="27">
        <v>19323830</v>
      </c>
      <c r="CA11" s="27">
        <v>19538552</v>
      </c>
      <c r="CB11" s="27">
        <v>19641118</v>
      </c>
      <c r="CC11" s="27">
        <v>20152436</v>
      </c>
      <c r="CD11" s="27">
        <v>20153739</v>
      </c>
      <c r="CE11" s="27">
        <v>20297970</v>
      </c>
      <c r="CF11" s="27">
        <v>20712590</v>
      </c>
      <c r="CG11" s="27">
        <v>20923103</v>
      </c>
      <c r="CH11" s="27">
        <v>20940174</v>
      </c>
      <c r="CI11" s="27">
        <v>20660886</v>
      </c>
      <c r="CJ11" s="27">
        <v>21470779</v>
      </c>
      <c r="CK11" s="28">
        <v>21252969</v>
      </c>
      <c r="CL11" s="28">
        <v>21512591</v>
      </c>
      <c r="CM11" s="28">
        <v>22055276</v>
      </c>
      <c r="CN11" s="28">
        <v>22261413</v>
      </c>
      <c r="CO11" s="28">
        <v>22701840</v>
      </c>
      <c r="CP11" s="25">
        <v>22587970</v>
      </c>
      <c r="CQ11" s="25">
        <v>23466098</v>
      </c>
      <c r="CR11" s="25">
        <v>25098192</v>
      </c>
      <c r="CS11" s="25">
        <v>27025029</v>
      </c>
      <c r="CT11" s="25">
        <v>27838099</v>
      </c>
      <c r="CU11" s="25">
        <v>27777228</v>
      </c>
      <c r="CV11" s="25">
        <v>27984982</v>
      </c>
      <c r="CW11" s="25">
        <v>28631463</v>
      </c>
      <c r="CX11" s="25">
        <v>29116533</v>
      </c>
      <c r="CY11" s="25">
        <v>29460761</v>
      </c>
      <c r="CZ11" s="25">
        <v>29756884</v>
      </c>
      <c r="DA11" s="25">
        <v>29644687</v>
      </c>
      <c r="DB11" s="25">
        <v>30341348</v>
      </c>
      <c r="DC11" s="25">
        <v>30702701</v>
      </c>
      <c r="DD11" s="25">
        <v>30729767</v>
      </c>
      <c r="DE11" s="25">
        <v>30791070</v>
      </c>
      <c r="DF11" s="25">
        <v>30814381</v>
      </c>
      <c r="DG11" s="25">
        <v>30455813</v>
      </c>
      <c r="DH11" s="25">
        <v>30237187</v>
      </c>
      <c r="DI11" s="25">
        <v>29778601</v>
      </c>
      <c r="DJ11" s="25">
        <v>29647976</v>
      </c>
      <c r="DK11" s="25">
        <v>29611783</v>
      </c>
      <c r="DL11" s="25">
        <v>29613010</v>
      </c>
      <c r="DM11" s="25">
        <v>29913163</v>
      </c>
      <c r="DN11" s="25">
        <v>29742161</v>
      </c>
      <c r="DO11" s="25">
        <v>29835094</v>
      </c>
      <c r="DP11" s="25">
        <v>30374459</v>
      </c>
      <c r="DQ11" s="25">
        <v>31974596</v>
      </c>
      <c r="DR11" s="25">
        <v>34744521</v>
      </c>
      <c r="DS11" s="25">
        <v>35051621</v>
      </c>
      <c r="DT11" s="25">
        <v>35291525</v>
      </c>
      <c r="DU11" s="25">
        <v>35927228</v>
      </c>
      <c r="DV11" s="25">
        <v>36308985</v>
      </c>
      <c r="DW11" s="25">
        <v>36665693</v>
      </c>
      <c r="DX11" s="25">
        <v>37492447</v>
      </c>
      <c r="DY11" s="25">
        <v>37889042</v>
      </c>
      <c r="DZ11" s="25">
        <v>38746571</v>
      </c>
      <c r="EA11" s="25">
        <v>38830862</v>
      </c>
      <c r="EB11" s="25">
        <v>38663274</v>
      </c>
      <c r="EC11" s="25">
        <v>38699114</v>
      </c>
      <c r="ED11" s="25">
        <v>40411925</v>
      </c>
      <c r="EE11" s="25">
        <v>40275401</v>
      </c>
      <c r="EF11" s="25">
        <v>41085800</v>
      </c>
      <c r="EG11" s="25">
        <v>41519784</v>
      </c>
      <c r="EH11" s="25">
        <v>41759472</v>
      </c>
      <c r="EI11" s="25">
        <v>41943241</v>
      </c>
      <c r="EJ11" s="25">
        <v>42086564</v>
      </c>
      <c r="EK11" s="25">
        <f t="shared" si="0"/>
        <v>-53185</v>
      </c>
      <c r="EL11" s="25">
        <v>42033379</v>
      </c>
      <c r="EM11" s="25">
        <f t="shared" si="1"/>
        <v>822227</v>
      </c>
      <c r="EN11" s="25">
        <v>42855606</v>
      </c>
      <c r="EO11" s="25">
        <f t="shared" si="2"/>
        <v>1001863</v>
      </c>
      <c r="EP11" s="25">
        <v>43857469</v>
      </c>
      <c r="EQ11" s="25">
        <f t="shared" si="3"/>
        <v>345683</v>
      </c>
      <c r="ER11" s="25">
        <v>44203152</v>
      </c>
      <c r="ES11" s="25">
        <f t="shared" si="4"/>
        <v>251294</v>
      </c>
      <c r="ET11" s="25">
        <v>44454446</v>
      </c>
      <c r="EU11" s="25">
        <f t="shared" si="5"/>
        <v>5681149</v>
      </c>
      <c r="EV11" s="25">
        <v>50135595</v>
      </c>
      <c r="EW11" s="25">
        <v>50607048</v>
      </c>
      <c r="EX11" s="25">
        <v>51040311</v>
      </c>
      <c r="EY11" s="25">
        <v>51568792</v>
      </c>
      <c r="EZ11" s="25">
        <v>52645976</v>
      </c>
      <c r="FA11" s="25">
        <v>52859675</v>
      </c>
      <c r="FB11" s="25">
        <v>53754854</v>
      </c>
      <c r="FC11" s="25">
        <v>55341238</v>
      </c>
      <c r="FD11" s="25">
        <v>56245164</v>
      </c>
      <c r="FE11" s="25">
        <v>56399904</v>
      </c>
      <c r="FF11" s="25">
        <v>57073466</v>
      </c>
      <c r="FG11" s="25">
        <v>59099541</v>
      </c>
      <c r="FH11" s="25">
        <v>60625431</v>
      </c>
      <c r="FI11" s="25">
        <v>60814469</v>
      </c>
    </row>
    <row r="12" spans="1:165" x14ac:dyDescent="0.4">
      <c r="A12" s="34" t="s">
        <v>11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149664</v>
      </c>
      <c r="BG12" s="16">
        <v>149651</v>
      </c>
      <c r="BH12" s="16">
        <v>325171</v>
      </c>
      <c r="BI12" s="16">
        <v>303962</v>
      </c>
      <c r="BJ12" s="16">
        <v>352372</v>
      </c>
      <c r="BK12" s="16">
        <v>493720</v>
      </c>
      <c r="BL12" s="16">
        <v>700293</v>
      </c>
      <c r="BM12" s="16">
        <v>1128762</v>
      </c>
      <c r="BN12" s="16">
        <v>1041919</v>
      </c>
      <c r="BO12" s="16">
        <v>1205212</v>
      </c>
      <c r="BP12" s="16">
        <v>1111740</v>
      </c>
      <c r="BQ12" s="16">
        <v>1438632</v>
      </c>
      <c r="BR12" s="16">
        <v>1399740</v>
      </c>
      <c r="BS12" s="16">
        <v>1486149</v>
      </c>
      <c r="BT12" s="16">
        <v>1432638</v>
      </c>
      <c r="BU12" s="16">
        <v>1616661</v>
      </c>
      <c r="BV12" s="16">
        <v>1373875</v>
      </c>
      <c r="BW12" s="16">
        <v>1499785</v>
      </c>
      <c r="BX12" s="16">
        <v>1500195</v>
      </c>
      <c r="BY12" s="16">
        <v>1500345</v>
      </c>
      <c r="BZ12" s="16">
        <v>1500085</v>
      </c>
      <c r="CA12" s="16">
        <v>1599639</v>
      </c>
      <c r="CB12" s="16">
        <v>1699439</v>
      </c>
      <c r="CC12" s="16">
        <v>1500081</v>
      </c>
      <c r="CD12" s="16">
        <v>1200159</v>
      </c>
      <c r="CE12" s="16">
        <v>800229</v>
      </c>
      <c r="CF12" s="16">
        <v>1100061</v>
      </c>
      <c r="CG12" s="16">
        <v>1499821</v>
      </c>
      <c r="CH12" s="16">
        <v>1936662</v>
      </c>
      <c r="CI12" s="16">
        <v>2052834</v>
      </c>
      <c r="CJ12" s="16">
        <v>1873626</v>
      </c>
      <c r="CK12" s="14">
        <v>1544074</v>
      </c>
      <c r="CL12" s="14">
        <v>1519300</v>
      </c>
      <c r="CM12" s="14">
        <v>1110073</v>
      </c>
      <c r="CN12" s="14">
        <v>708366</v>
      </c>
      <c r="CO12" s="14">
        <v>707764</v>
      </c>
      <c r="CP12" s="13">
        <v>830037</v>
      </c>
      <c r="CQ12" s="13">
        <v>818549</v>
      </c>
      <c r="CR12" s="13">
        <v>698441</v>
      </c>
      <c r="CS12" s="13">
        <v>606442</v>
      </c>
      <c r="CT12" s="13">
        <v>574281</v>
      </c>
      <c r="CU12" s="13">
        <v>555182</v>
      </c>
      <c r="CV12" s="13">
        <v>545343</v>
      </c>
      <c r="CW12" s="13">
        <v>645148</v>
      </c>
      <c r="CX12" s="13">
        <v>658450</v>
      </c>
      <c r="CY12" s="13">
        <v>677337</v>
      </c>
      <c r="CZ12" s="13">
        <v>626745</v>
      </c>
      <c r="DA12" s="13">
        <v>596490</v>
      </c>
      <c r="DB12" s="13">
        <v>576235</v>
      </c>
      <c r="DC12" s="13">
        <v>603761</v>
      </c>
      <c r="DD12" s="13">
        <v>467496</v>
      </c>
      <c r="DE12" s="13">
        <v>163898</v>
      </c>
      <c r="DF12" s="13">
        <v>0</v>
      </c>
      <c r="DG12" s="13">
        <v>0</v>
      </c>
      <c r="DH12" s="13">
        <v>0</v>
      </c>
      <c r="DI12" s="13">
        <v>0</v>
      </c>
      <c r="DJ12" s="13">
        <v>0</v>
      </c>
      <c r="DK12" s="13">
        <v>0</v>
      </c>
      <c r="DL12" s="13">
        <v>0</v>
      </c>
      <c r="DM12" s="13">
        <v>0</v>
      </c>
      <c r="DN12" s="13">
        <v>0</v>
      </c>
      <c r="DO12" s="13">
        <v>0</v>
      </c>
      <c r="DP12" s="13">
        <v>0</v>
      </c>
      <c r="DQ12" s="13">
        <v>0</v>
      </c>
      <c r="DR12" s="13">
        <v>0</v>
      </c>
      <c r="DS12" s="13">
        <v>0</v>
      </c>
      <c r="DT12" s="13">
        <v>0</v>
      </c>
      <c r="DU12" s="13">
        <v>0</v>
      </c>
      <c r="DV12" s="13">
        <v>0</v>
      </c>
      <c r="DW12" s="13">
        <v>0</v>
      </c>
      <c r="DX12" s="13">
        <v>0</v>
      </c>
      <c r="DY12" s="13">
        <v>0</v>
      </c>
      <c r="DZ12" s="13">
        <v>0</v>
      </c>
      <c r="EA12" s="13">
        <v>0</v>
      </c>
      <c r="EB12" s="13">
        <v>0</v>
      </c>
      <c r="EC12" s="13">
        <v>0</v>
      </c>
      <c r="ED12" s="13">
        <v>0</v>
      </c>
      <c r="EE12" s="13">
        <v>0</v>
      </c>
      <c r="EF12" s="13">
        <v>0</v>
      </c>
      <c r="EG12" s="13">
        <v>0</v>
      </c>
      <c r="EH12" s="13">
        <v>0</v>
      </c>
      <c r="EI12" s="13">
        <v>0</v>
      </c>
      <c r="EJ12" s="13">
        <v>0</v>
      </c>
      <c r="EK12" s="25">
        <f t="shared" si="0"/>
        <v>0</v>
      </c>
      <c r="EL12" s="13">
        <v>0</v>
      </c>
      <c r="EM12" s="25">
        <f t="shared" si="1"/>
        <v>0</v>
      </c>
      <c r="EN12" s="13">
        <v>0</v>
      </c>
      <c r="EO12" s="25">
        <f t="shared" si="2"/>
        <v>0</v>
      </c>
      <c r="EP12" s="13">
        <v>0</v>
      </c>
      <c r="EQ12" s="25">
        <f t="shared" si="3"/>
        <v>0</v>
      </c>
      <c r="ER12" s="13">
        <v>0</v>
      </c>
      <c r="ES12" s="25">
        <f t="shared" si="4"/>
        <v>0</v>
      </c>
      <c r="ET12" s="13">
        <v>0</v>
      </c>
      <c r="EU12" s="25">
        <f t="shared" si="5"/>
        <v>0</v>
      </c>
      <c r="EV12" s="13">
        <v>0</v>
      </c>
      <c r="EW12" s="13">
        <v>0</v>
      </c>
      <c r="EX12" s="13">
        <v>0</v>
      </c>
      <c r="EY12" s="13">
        <v>0</v>
      </c>
      <c r="EZ12" s="13">
        <v>0</v>
      </c>
      <c r="FA12" s="13">
        <v>0</v>
      </c>
      <c r="FB12" s="13">
        <v>0</v>
      </c>
      <c r="FC12" s="13">
        <v>0</v>
      </c>
      <c r="FD12" s="13">
        <v>0</v>
      </c>
      <c r="FE12" s="13">
        <v>0</v>
      </c>
      <c r="FF12" s="13">
        <v>0</v>
      </c>
      <c r="FG12" s="13">
        <v>0</v>
      </c>
      <c r="FH12" s="13">
        <v>0</v>
      </c>
      <c r="FI12" s="13">
        <v>0</v>
      </c>
    </row>
    <row r="13" spans="1:165" x14ac:dyDescent="0.4">
      <c r="A13" s="35" t="s">
        <v>13</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149664</v>
      </c>
      <c r="BG13" s="16">
        <v>149651</v>
      </c>
      <c r="BH13" s="16">
        <v>325171</v>
      </c>
      <c r="BI13" s="16">
        <v>303962</v>
      </c>
      <c r="BJ13" s="16">
        <v>352372</v>
      </c>
      <c r="BK13" s="16">
        <v>493720</v>
      </c>
      <c r="BL13" s="16">
        <v>700293</v>
      </c>
      <c r="BM13" s="16">
        <v>1128762</v>
      </c>
      <c r="BN13" s="16">
        <v>1041919</v>
      </c>
      <c r="BO13" s="16">
        <v>1205212</v>
      </c>
      <c r="BP13" s="16">
        <v>1111740</v>
      </c>
      <c r="BQ13" s="16">
        <v>1438632</v>
      </c>
      <c r="BR13" s="16">
        <v>1399740</v>
      </c>
      <c r="BS13" s="16">
        <v>1486149</v>
      </c>
      <c r="BT13" s="16">
        <v>1432638</v>
      </c>
      <c r="BU13" s="16">
        <v>1616661</v>
      </c>
      <c r="BV13" s="16">
        <v>1373875</v>
      </c>
      <c r="BW13" s="16">
        <v>1499785</v>
      </c>
      <c r="BX13" s="16">
        <v>1500195</v>
      </c>
      <c r="BY13" s="16">
        <v>1500345</v>
      </c>
      <c r="BZ13" s="16">
        <v>1500085</v>
      </c>
      <c r="CA13" s="16">
        <v>1599639</v>
      </c>
      <c r="CB13" s="16">
        <v>1699439</v>
      </c>
      <c r="CC13" s="16">
        <v>1500081</v>
      </c>
      <c r="CD13" s="16">
        <v>1200159</v>
      </c>
      <c r="CE13" s="16">
        <v>800229</v>
      </c>
      <c r="CF13" s="16">
        <v>1100061</v>
      </c>
      <c r="CG13" s="16">
        <v>1499821</v>
      </c>
      <c r="CH13" s="16">
        <v>1936662</v>
      </c>
      <c r="CI13" s="16">
        <v>2052834</v>
      </c>
      <c r="CJ13" s="16">
        <v>1873626</v>
      </c>
      <c r="CK13" s="14">
        <v>1544074</v>
      </c>
      <c r="CL13" s="14">
        <v>1519300</v>
      </c>
      <c r="CM13" s="14">
        <v>1110073</v>
      </c>
      <c r="CN13" s="14">
        <v>708366</v>
      </c>
      <c r="CO13" s="14">
        <v>707764</v>
      </c>
      <c r="CP13" s="13">
        <v>830037</v>
      </c>
      <c r="CQ13" s="13">
        <v>818549</v>
      </c>
      <c r="CR13" s="13">
        <v>698441</v>
      </c>
      <c r="CS13" s="13">
        <v>606442</v>
      </c>
      <c r="CT13" s="13">
        <v>574281</v>
      </c>
      <c r="CU13" s="13">
        <v>555182</v>
      </c>
      <c r="CV13" s="13">
        <v>545343</v>
      </c>
      <c r="CW13" s="13">
        <v>645148</v>
      </c>
      <c r="CX13" s="13">
        <v>658450</v>
      </c>
      <c r="CY13" s="13">
        <v>677337</v>
      </c>
      <c r="CZ13" s="13">
        <v>626745</v>
      </c>
      <c r="DA13" s="13">
        <v>596490</v>
      </c>
      <c r="DB13" s="13">
        <v>576235</v>
      </c>
      <c r="DC13" s="13">
        <v>603761</v>
      </c>
      <c r="DD13" s="13">
        <v>467496</v>
      </c>
      <c r="DE13" s="13">
        <v>163898</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25">
        <f t="shared" si="0"/>
        <v>0</v>
      </c>
      <c r="EL13" s="13">
        <v>0</v>
      </c>
      <c r="EM13" s="25">
        <f t="shared" si="1"/>
        <v>0</v>
      </c>
      <c r="EN13" s="13">
        <v>0</v>
      </c>
      <c r="EO13" s="25">
        <f t="shared" si="2"/>
        <v>0</v>
      </c>
      <c r="EP13" s="13">
        <v>0</v>
      </c>
      <c r="EQ13" s="25">
        <f t="shared" si="3"/>
        <v>0</v>
      </c>
      <c r="ER13" s="13">
        <v>0</v>
      </c>
      <c r="ES13" s="25">
        <f t="shared" si="4"/>
        <v>0</v>
      </c>
      <c r="ET13" s="13">
        <v>0</v>
      </c>
      <c r="EU13" s="25">
        <f t="shared" si="5"/>
        <v>0</v>
      </c>
      <c r="EV13" s="13">
        <v>0</v>
      </c>
      <c r="EW13" s="13">
        <v>0</v>
      </c>
      <c r="EX13" s="13">
        <v>0</v>
      </c>
      <c r="EY13" s="13">
        <v>0</v>
      </c>
      <c r="EZ13" s="13">
        <v>0</v>
      </c>
      <c r="FA13" s="13">
        <v>0</v>
      </c>
      <c r="FB13" s="13">
        <v>0</v>
      </c>
      <c r="FC13" s="13">
        <v>0</v>
      </c>
      <c r="FD13" s="13">
        <v>0</v>
      </c>
      <c r="FE13" s="13">
        <v>0</v>
      </c>
      <c r="FF13" s="13">
        <v>0</v>
      </c>
      <c r="FG13" s="13">
        <v>0</v>
      </c>
      <c r="FH13" s="13">
        <v>0</v>
      </c>
      <c r="FI13" s="13">
        <v>0</v>
      </c>
    </row>
    <row r="14" spans="1:165" x14ac:dyDescent="0.4">
      <c r="A14" s="35" t="s">
        <v>14</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s="16">
        <v>0</v>
      </c>
      <c r="BV14" s="16">
        <v>0</v>
      </c>
      <c r="BW14" s="16">
        <v>0</v>
      </c>
      <c r="BX14" s="16">
        <v>0</v>
      </c>
      <c r="BY14" s="16">
        <v>0</v>
      </c>
      <c r="BZ14" s="16">
        <v>0</v>
      </c>
      <c r="CA14" s="16">
        <v>0</v>
      </c>
      <c r="CB14" s="16">
        <v>0</v>
      </c>
      <c r="CC14" s="16">
        <v>0</v>
      </c>
      <c r="CD14" s="16">
        <v>0</v>
      </c>
      <c r="CE14" s="16">
        <v>0</v>
      </c>
      <c r="CF14" s="16">
        <v>0</v>
      </c>
      <c r="CG14" s="16">
        <v>0</v>
      </c>
      <c r="CH14" s="16">
        <v>0</v>
      </c>
      <c r="CI14" s="16">
        <v>0</v>
      </c>
      <c r="CJ14" s="16">
        <v>0</v>
      </c>
      <c r="CK14" s="16">
        <v>0</v>
      </c>
      <c r="CL14" s="16">
        <v>0</v>
      </c>
      <c r="CM14" s="16">
        <v>0</v>
      </c>
      <c r="CN14" s="16">
        <v>0</v>
      </c>
      <c r="CO14" s="16">
        <v>0</v>
      </c>
      <c r="CP14" s="16">
        <v>0</v>
      </c>
      <c r="CQ14" s="16">
        <v>0</v>
      </c>
      <c r="CR14" s="16">
        <v>0</v>
      </c>
      <c r="CS14" s="16">
        <v>0</v>
      </c>
      <c r="CT14" s="16">
        <v>0</v>
      </c>
      <c r="CU14" s="16">
        <v>0</v>
      </c>
      <c r="CV14" s="16">
        <v>0</v>
      </c>
      <c r="CW14" s="16">
        <v>0</v>
      </c>
      <c r="CX14" s="16">
        <v>0</v>
      </c>
      <c r="CY14" s="16">
        <v>0</v>
      </c>
      <c r="CZ14" s="16">
        <v>0</v>
      </c>
      <c r="DA14" s="16">
        <v>0</v>
      </c>
      <c r="DB14" s="16">
        <v>0</v>
      </c>
      <c r="DC14" s="16">
        <v>0</v>
      </c>
      <c r="DD14" s="16">
        <v>0</v>
      </c>
      <c r="DE14" s="16">
        <v>0</v>
      </c>
      <c r="DF14" s="16">
        <v>0</v>
      </c>
      <c r="DG14" s="16">
        <v>0</v>
      </c>
      <c r="DH14" s="16">
        <v>0</v>
      </c>
      <c r="DI14" s="16">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25">
        <f t="shared" si="0"/>
        <v>0</v>
      </c>
      <c r="EL14" s="13">
        <v>0</v>
      </c>
      <c r="EM14" s="25">
        <f t="shared" si="1"/>
        <v>0</v>
      </c>
      <c r="EN14" s="13">
        <v>0</v>
      </c>
      <c r="EO14" s="25">
        <f t="shared" si="2"/>
        <v>0</v>
      </c>
      <c r="EP14" s="13">
        <v>0</v>
      </c>
      <c r="EQ14" s="25">
        <f t="shared" si="3"/>
        <v>0</v>
      </c>
      <c r="ER14" s="13">
        <v>0</v>
      </c>
      <c r="ES14" s="25">
        <f t="shared" si="4"/>
        <v>0</v>
      </c>
      <c r="ET14" s="13">
        <v>0</v>
      </c>
      <c r="EU14" s="25">
        <f t="shared" si="5"/>
        <v>0</v>
      </c>
      <c r="EV14" s="13">
        <v>0</v>
      </c>
      <c r="EW14" s="13">
        <v>0</v>
      </c>
      <c r="EX14" s="13">
        <v>0</v>
      </c>
      <c r="EY14" s="13">
        <v>0</v>
      </c>
      <c r="EZ14" s="13">
        <v>0</v>
      </c>
      <c r="FA14" s="13">
        <v>0</v>
      </c>
      <c r="FB14" s="13">
        <v>0</v>
      </c>
      <c r="FC14" s="13">
        <v>0</v>
      </c>
      <c r="FD14" s="13">
        <v>0</v>
      </c>
      <c r="FE14" s="13">
        <v>0</v>
      </c>
      <c r="FF14" s="13">
        <v>0</v>
      </c>
      <c r="FG14" s="13">
        <v>0</v>
      </c>
      <c r="FH14" s="13">
        <v>0</v>
      </c>
      <c r="FI14" s="13">
        <v>0</v>
      </c>
    </row>
    <row r="15" spans="1:165" x14ac:dyDescent="0.4">
      <c r="A15" s="35"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v>0</v>
      </c>
      <c r="BW15" s="16">
        <v>0</v>
      </c>
      <c r="BX15" s="16">
        <v>0</v>
      </c>
      <c r="BY15" s="16">
        <v>0</v>
      </c>
      <c r="BZ15" s="16">
        <v>0</v>
      </c>
      <c r="CA15" s="16">
        <v>0</v>
      </c>
      <c r="CB15" s="16">
        <v>0</v>
      </c>
      <c r="CC15" s="16">
        <v>0</v>
      </c>
      <c r="CD15" s="16">
        <v>0</v>
      </c>
      <c r="CE15" s="16">
        <v>0</v>
      </c>
      <c r="CF15" s="16">
        <v>0</v>
      </c>
      <c r="CG15" s="16">
        <v>0</v>
      </c>
      <c r="CH15" s="16">
        <v>0</v>
      </c>
      <c r="CI15" s="16">
        <v>0</v>
      </c>
      <c r="CJ15" s="16">
        <v>0</v>
      </c>
      <c r="CK15" s="16">
        <v>0</v>
      </c>
      <c r="CL15" s="16">
        <v>0</v>
      </c>
      <c r="CM15" s="16">
        <v>0</v>
      </c>
      <c r="CN15" s="16">
        <v>0</v>
      </c>
      <c r="CO15" s="16">
        <v>0</v>
      </c>
      <c r="CP15" s="16">
        <v>0</v>
      </c>
      <c r="CQ15" s="16">
        <v>0</v>
      </c>
      <c r="CR15" s="16">
        <v>0</v>
      </c>
      <c r="CS15" s="16">
        <v>0</v>
      </c>
      <c r="CT15" s="16">
        <v>0</v>
      </c>
      <c r="CU15" s="16">
        <v>0</v>
      </c>
      <c r="CV15" s="16">
        <v>0</v>
      </c>
      <c r="CW15" s="16">
        <v>0</v>
      </c>
      <c r="CX15" s="16">
        <v>0</v>
      </c>
      <c r="CY15" s="16">
        <v>0</v>
      </c>
      <c r="CZ15" s="16">
        <v>0</v>
      </c>
      <c r="DA15" s="16">
        <v>0</v>
      </c>
      <c r="DB15" s="16">
        <v>0</v>
      </c>
      <c r="DC15" s="16">
        <v>0</v>
      </c>
      <c r="DD15" s="16">
        <v>0</v>
      </c>
      <c r="DE15" s="16">
        <v>0</v>
      </c>
      <c r="DF15" s="16">
        <v>0</v>
      </c>
      <c r="DG15" s="16">
        <v>0</v>
      </c>
      <c r="DH15" s="16">
        <v>0</v>
      </c>
      <c r="DI15" s="16">
        <v>0</v>
      </c>
      <c r="DJ15" s="13">
        <v>0</v>
      </c>
      <c r="DK15" s="13">
        <v>0</v>
      </c>
      <c r="DL15" s="13">
        <v>0</v>
      </c>
      <c r="DM15" s="13">
        <v>0</v>
      </c>
      <c r="DN15" s="13">
        <v>0</v>
      </c>
      <c r="DO15" s="13">
        <v>0</v>
      </c>
      <c r="DP15" s="13">
        <v>0</v>
      </c>
      <c r="DQ15" s="13">
        <v>0</v>
      </c>
      <c r="DR15" s="13">
        <v>0</v>
      </c>
      <c r="DS15" s="13">
        <v>0</v>
      </c>
      <c r="DT15" s="13">
        <v>0</v>
      </c>
      <c r="DU15" s="13">
        <v>0</v>
      </c>
      <c r="DV15" s="13">
        <v>0</v>
      </c>
      <c r="DW15" s="13">
        <v>0</v>
      </c>
      <c r="DX15" s="13">
        <v>0</v>
      </c>
      <c r="DY15" s="13">
        <v>0</v>
      </c>
      <c r="DZ15" s="13">
        <v>0</v>
      </c>
      <c r="EA15" s="13">
        <v>0</v>
      </c>
      <c r="EB15" s="13">
        <v>0</v>
      </c>
      <c r="EC15" s="13">
        <v>0</v>
      </c>
      <c r="ED15" s="13">
        <v>0</v>
      </c>
      <c r="EE15" s="13">
        <v>0</v>
      </c>
      <c r="EF15" s="13">
        <v>0</v>
      </c>
      <c r="EG15" s="13">
        <v>0</v>
      </c>
      <c r="EH15" s="13">
        <v>0</v>
      </c>
      <c r="EI15" s="13">
        <v>0</v>
      </c>
      <c r="EJ15" s="13">
        <v>0</v>
      </c>
      <c r="EK15" s="25">
        <f t="shared" si="0"/>
        <v>0</v>
      </c>
      <c r="EL15" s="13">
        <v>0</v>
      </c>
      <c r="EM15" s="25">
        <f t="shared" si="1"/>
        <v>0</v>
      </c>
      <c r="EN15" s="13">
        <v>0</v>
      </c>
      <c r="EO15" s="25">
        <f t="shared" si="2"/>
        <v>0</v>
      </c>
      <c r="EP15" s="13">
        <v>0</v>
      </c>
      <c r="EQ15" s="25">
        <f t="shared" si="3"/>
        <v>0</v>
      </c>
      <c r="ER15" s="13">
        <v>0</v>
      </c>
      <c r="ES15" s="25">
        <f t="shared" si="4"/>
        <v>0</v>
      </c>
      <c r="ET15" s="13">
        <v>0</v>
      </c>
      <c r="EU15" s="25">
        <f t="shared" si="5"/>
        <v>0</v>
      </c>
      <c r="EV15" s="13">
        <v>0</v>
      </c>
      <c r="EW15" s="13">
        <v>0</v>
      </c>
      <c r="EX15" s="13">
        <v>0</v>
      </c>
      <c r="EY15" s="13">
        <v>0</v>
      </c>
      <c r="EZ15" s="13">
        <v>0</v>
      </c>
      <c r="FA15" s="13">
        <v>0</v>
      </c>
      <c r="FB15" s="13">
        <v>0</v>
      </c>
      <c r="FC15" s="13">
        <v>0</v>
      </c>
      <c r="FD15" s="13">
        <v>0</v>
      </c>
      <c r="FE15" s="13">
        <v>0</v>
      </c>
      <c r="FF15" s="13">
        <v>0</v>
      </c>
      <c r="FG15" s="13">
        <v>0</v>
      </c>
      <c r="FH15" s="13">
        <v>0</v>
      </c>
      <c r="FI15" s="13">
        <v>0</v>
      </c>
    </row>
    <row r="16" spans="1:165" x14ac:dyDescent="0.4">
      <c r="A16" s="35" t="s">
        <v>30</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v>0</v>
      </c>
      <c r="BW16" s="16">
        <v>0</v>
      </c>
      <c r="BX16" s="16">
        <v>0</v>
      </c>
      <c r="BY16" s="16">
        <v>0</v>
      </c>
      <c r="BZ16" s="16">
        <v>0</v>
      </c>
      <c r="CA16" s="16">
        <v>0</v>
      </c>
      <c r="CB16" s="16">
        <v>0</v>
      </c>
      <c r="CC16" s="16">
        <v>0</v>
      </c>
      <c r="CD16" s="16">
        <v>0</v>
      </c>
      <c r="CE16" s="16">
        <v>0</v>
      </c>
      <c r="CF16" s="16">
        <v>0</v>
      </c>
      <c r="CG16" s="16">
        <v>0</v>
      </c>
      <c r="CH16" s="16">
        <v>0</v>
      </c>
      <c r="CI16" s="16">
        <v>0</v>
      </c>
      <c r="CJ16" s="16">
        <v>0</v>
      </c>
      <c r="CK16" s="16">
        <v>0</v>
      </c>
      <c r="CL16" s="16">
        <v>0</v>
      </c>
      <c r="CM16" s="16">
        <v>0</v>
      </c>
      <c r="CN16" s="16">
        <v>0</v>
      </c>
      <c r="CO16" s="16">
        <v>0</v>
      </c>
      <c r="CP16" s="16">
        <v>0</v>
      </c>
      <c r="CQ16" s="16">
        <v>0</v>
      </c>
      <c r="CR16" s="16">
        <v>0</v>
      </c>
      <c r="CS16" s="16">
        <v>0</v>
      </c>
      <c r="CT16" s="16">
        <v>0</v>
      </c>
      <c r="CU16" s="16">
        <v>0</v>
      </c>
      <c r="CV16" s="16">
        <v>0</v>
      </c>
      <c r="CW16" s="16">
        <v>0</v>
      </c>
      <c r="CX16" s="16">
        <v>0</v>
      </c>
      <c r="CY16" s="16">
        <v>0</v>
      </c>
      <c r="CZ16" s="16">
        <v>0</v>
      </c>
      <c r="DA16" s="16">
        <v>0</v>
      </c>
      <c r="DB16" s="16">
        <v>0</v>
      </c>
      <c r="DC16" s="16">
        <v>0</v>
      </c>
      <c r="DD16" s="16">
        <v>0</v>
      </c>
      <c r="DE16" s="16">
        <v>0</v>
      </c>
      <c r="DF16" s="16">
        <v>0</v>
      </c>
      <c r="DG16" s="16">
        <v>0</v>
      </c>
      <c r="DH16" s="16">
        <v>0</v>
      </c>
      <c r="DI16" s="16">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25">
        <f t="shared" si="0"/>
        <v>0</v>
      </c>
      <c r="EL16" s="13">
        <v>0</v>
      </c>
      <c r="EM16" s="25">
        <f t="shared" si="1"/>
        <v>0</v>
      </c>
      <c r="EN16" s="13">
        <v>0</v>
      </c>
      <c r="EO16" s="25">
        <f t="shared" si="2"/>
        <v>0</v>
      </c>
      <c r="EP16" s="13">
        <v>0</v>
      </c>
      <c r="EQ16" s="25">
        <f t="shared" si="3"/>
        <v>0</v>
      </c>
      <c r="ER16" s="13">
        <v>0</v>
      </c>
      <c r="ES16" s="25">
        <f t="shared" si="4"/>
        <v>0</v>
      </c>
      <c r="ET16" s="13">
        <v>0</v>
      </c>
      <c r="EU16" s="25">
        <f t="shared" si="5"/>
        <v>0</v>
      </c>
      <c r="EV16" s="13">
        <v>0</v>
      </c>
      <c r="EW16" s="13">
        <v>0</v>
      </c>
      <c r="EX16" s="13">
        <v>0</v>
      </c>
      <c r="EY16" s="13">
        <v>0</v>
      </c>
      <c r="EZ16" s="13">
        <v>0</v>
      </c>
      <c r="FA16" s="13">
        <v>0</v>
      </c>
      <c r="FB16" s="13">
        <v>0</v>
      </c>
      <c r="FC16" s="13">
        <v>0</v>
      </c>
      <c r="FD16" s="13">
        <v>0</v>
      </c>
      <c r="FE16" s="13">
        <v>0</v>
      </c>
      <c r="FF16" s="13">
        <v>0</v>
      </c>
      <c r="FG16" s="13">
        <v>0</v>
      </c>
      <c r="FH16" s="13">
        <v>0</v>
      </c>
      <c r="FI16" s="13">
        <v>0</v>
      </c>
    </row>
    <row r="17" spans="1:165" x14ac:dyDescent="0.4">
      <c r="A17" s="34" t="s">
        <v>3</v>
      </c>
      <c r="B17" s="16">
        <v>1136816</v>
      </c>
      <c r="C17" s="16">
        <v>1119126</v>
      </c>
      <c r="D17" s="16">
        <v>1204558</v>
      </c>
      <c r="E17" s="16">
        <v>1224562</v>
      </c>
      <c r="F17" s="16">
        <v>1249749</v>
      </c>
      <c r="G17" s="16">
        <v>1247960</v>
      </c>
      <c r="H17" s="16">
        <v>1239643</v>
      </c>
      <c r="I17" s="16">
        <v>1260285</v>
      </c>
      <c r="J17" s="16">
        <v>1272718</v>
      </c>
      <c r="K17" s="16">
        <v>1314046</v>
      </c>
      <c r="L17" s="16">
        <v>1378956</v>
      </c>
      <c r="M17" s="16">
        <v>1359715</v>
      </c>
      <c r="N17" s="16">
        <v>1356238</v>
      </c>
      <c r="O17" s="16">
        <v>1362009</v>
      </c>
      <c r="P17" s="16">
        <v>1340263</v>
      </c>
      <c r="Q17" s="16">
        <v>1329098</v>
      </c>
      <c r="R17" s="16">
        <v>1314315</v>
      </c>
      <c r="S17" s="16">
        <v>1333356</v>
      </c>
      <c r="T17" s="16">
        <v>1370954</v>
      </c>
      <c r="U17" s="16">
        <v>1357860</v>
      </c>
      <c r="V17" s="16">
        <v>1366519</v>
      </c>
      <c r="W17" s="16">
        <v>1408501</v>
      </c>
      <c r="X17" s="16">
        <v>1442307</v>
      </c>
      <c r="Y17" s="16">
        <v>1416700</v>
      </c>
      <c r="Z17" s="16">
        <v>1477243</v>
      </c>
      <c r="AA17" s="16">
        <v>1495521</v>
      </c>
      <c r="AB17" s="16">
        <v>1490961</v>
      </c>
      <c r="AC17" s="16">
        <v>1478946</v>
      </c>
      <c r="AD17" s="16">
        <v>1489789</v>
      </c>
      <c r="AE17" s="16">
        <v>1498135</v>
      </c>
      <c r="AF17" s="16">
        <v>1558955</v>
      </c>
      <c r="AG17" s="16">
        <v>1605123</v>
      </c>
      <c r="AH17" s="16">
        <v>1547091</v>
      </c>
      <c r="AI17" s="16">
        <v>1538925</v>
      </c>
      <c r="AJ17" s="16">
        <v>1560499</v>
      </c>
      <c r="AK17" s="16">
        <v>1558349</v>
      </c>
      <c r="AL17" s="16">
        <v>1570872</v>
      </c>
      <c r="AM17" s="16">
        <v>1529690</v>
      </c>
      <c r="AN17" s="16">
        <v>1458398</v>
      </c>
      <c r="AO17" s="16">
        <v>1476591</v>
      </c>
      <c r="AP17" s="16">
        <v>1493528</v>
      </c>
      <c r="AQ17" s="16">
        <v>1522528</v>
      </c>
      <c r="AR17" s="16">
        <v>1528338</v>
      </c>
      <c r="AS17" s="16">
        <v>1512576</v>
      </c>
      <c r="AT17" s="16">
        <v>1506792</v>
      </c>
      <c r="AU17" s="16">
        <v>1473754</v>
      </c>
      <c r="AV17" s="16">
        <v>1438646</v>
      </c>
      <c r="AW17" s="16">
        <v>1451019</v>
      </c>
      <c r="AX17" s="16">
        <v>1442243</v>
      </c>
      <c r="AY17" s="16">
        <v>1487992</v>
      </c>
      <c r="AZ17" s="16">
        <v>1468477</v>
      </c>
      <c r="BA17" s="16">
        <v>1503887</v>
      </c>
      <c r="BB17" s="16">
        <v>1479953</v>
      </c>
      <c r="BC17" s="16">
        <v>1622749</v>
      </c>
      <c r="BD17" s="16">
        <v>1649935</v>
      </c>
      <c r="BE17" s="16">
        <v>1600646</v>
      </c>
      <c r="BF17" s="16">
        <v>1606713</v>
      </c>
      <c r="BG17" s="16">
        <v>1554356</v>
      </c>
      <c r="BH17" s="16">
        <v>1671429</v>
      </c>
      <c r="BI17" s="16">
        <v>1676733</v>
      </c>
      <c r="BJ17" s="16">
        <v>1657590</v>
      </c>
      <c r="BK17" s="16">
        <v>1735155</v>
      </c>
      <c r="BL17" s="16">
        <v>1744803</v>
      </c>
      <c r="BM17" s="16">
        <v>1727186</v>
      </c>
      <c r="BN17" s="16">
        <v>1703474</v>
      </c>
      <c r="BO17" s="16">
        <v>1758390</v>
      </c>
      <c r="BP17" s="16">
        <v>1670705</v>
      </c>
      <c r="BQ17" s="16">
        <v>1755466</v>
      </c>
      <c r="BR17" s="16">
        <v>1785397</v>
      </c>
      <c r="BS17" s="16">
        <v>1750640</v>
      </c>
      <c r="BT17" s="16">
        <v>1757345</v>
      </c>
      <c r="BU17" s="16">
        <v>1756241</v>
      </c>
      <c r="BV17" s="16">
        <v>1801710</v>
      </c>
      <c r="BW17" s="16">
        <v>1839210</v>
      </c>
      <c r="BX17" s="16">
        <v>1853946</v>
      </c>
      <c r="BY17" s="16">
        <v>1882710</v>
      </c>
      <c r="BZ17" s="16">
        <v>1986178</v>
      </c>
      <c r="CA17" s="16">
        <v>2043488</v>
      </c>
      <c r="CB17" s="16">
        <v>2045194</v>
      </c>
      <c r="CC17" s="16">
        <v>2147464</v>
      </c>
      <c r="CD17" s="16">
        <v>2142304</v>
      </c>
      <c r="CE17" s="16">
        <v>2234932</v>
      </c>
      <c r="CF17" s="16">
        <v>2298626</v>
      </c>
      <c r="CG17" s="16">
        <v>2298924</v>
      </c>
      <c r="CH17" s="16">
        <v>2389467</v>
      </c>
      <c r="CI17" s="16">
        <v>2354571</v>
      </c>
      <c r="CJ17" s="16">
        <v>2387519</v>
      </c>
      <c r="CK17" s="14">
        <v>2373473</v>
      </c>
      <c r="CL17" s="14">
        <v>2377496</v>
      </c>
      <c r="CM17" s="14">
        <v>2374881</v>
      </c>
      <c r="CN17" s="14">
        <v>2421438</v>
      </c>
      <c r="CO17" s="14">
        <v>2521227</v>
      </c>
      <c r="CP17" s="13">
        <v>2549562</v>
      </c>
      <c r="CQ17" s="13">
        <v>2518322</v>
      </c>
      <c r="CR17" s="13">
        <v>2563189</v>
      </c>
      <c r="CS17" s="13">
        <v>2671370</v>
      </c>
      <c r="CT17" s="13">
        <v>2738943</v>
      </c>
      <c r="CU17" s="13">
        <v>2721351</v>
      </c>
      <c r="CV17" s="13">
        <v>2799824</v>
      </c>
      <c r="CW17" s="13">
        <v>2799394</v>
      </c>
      <c r="CX17" s="13">
        <v>2780767</v>
      </c>
      <c r="CY17" s="13">
        <v>2811032</v>
      </c>
      <c r="CZ17" s="13">
        <v>2938103</v>
      </c>
      <c r="DA17" s="13">
        <v>2871386</v>
      </c>
      <c r="DB17" s="13">
        <v>2898412</v>
      </c>
      <c r="DC17" s="13">
        <v>2943980</v>
      </c>
      <c r="DD17" s="13">
        <v>2910145</v>
      </c>
      <c r="DE17" s="13">
        <v>2957871</v>
      </c>
      <c r="DF17" s="13">
        <v>3069510</v>
      </c>
      <c r="DG17" s="13">
        <v>3019477</v>
      </c>
      <c r="DH17" s="13">
        <v>2839632</v>
      </c>
      <c r="DI17" s="13">
        <v>2754533</v>
      </c>
      <c r="DJ17" s="13">
        <v>2653965</v>
      </c>
      <c r="DK17" s="13">
        <v>2641188</v>
      </c>
      <c r="DL17" s="13">
        <v>2648891</v>
      </c>
      <c r="DM17" s="13">
        <v>2663176</v>
      </c>
      <c r="DN17" s="13">
        <v>2657214</v>
      </c>
      <c r="DO17" s="13">
        <v>2571409</v>
      </c>
      <c r="DP17" s="13">
        <v>2547937</v>
      </c>
      <c r="DQ17" s="13">
        <v>2629608</v>
      </c>
      <c r="DR17" s="13">
        <v>2536919</v>
      </c>
      <c r="DS17" s="13">
        <v>2496902</v>
      </c>
      <c r="DT17" s="13">
        <v>2630153</v>
      </c>
      <c r="DU17" s="13">
        <v>2670477</v>
      </c>
      <c r="DV17" s="13">
        <v>2662644</v>
      </c>
      <c r="DW17" s="13">
        <v>2679513</v>
      </c>
      <c r="DX17" s="13">
        <v>2776778</v>
      </c>
      <c r="DY17" s="13">
        <v>2846158</v>
      </c>
      <c r="DZ17" s="13">
        <v>2788311</v>
      </c>
      <c r="EA17" s="13">
        <v>2744477</v>
      </c>
      <c r="EB17" s="13">
        <v>2789526</v>
      </c>
      <c r="EC17" s="13">
        <v>2705904</v>
      </c>
      <c r="ED17" s="13">
        <v>2730645</v>
      </c>
      <c r="EE17" s="13">
        <v>2824946</v>
      </c>
      <c r="EF17" s="13">
        <v>2825042</v>
      </c>
      <c r="EG17" s="13">
        <v>2865604</v>
      </c>
      <c r="EH17" s="13">
        <v>2872897</v>
      </c>
      <c r="EI17" s="13">
        <v>2816276</v>
      </c>
      <c r="EJ17" s="13">
        <v>2913724</v>
      </c>
      <c r="EK17" s="25">
        <f t="shared" si="0"/>
        <v>-80853</v>
      </c>
      <c r="EL17" s="13">
        <v>2832871</v>
      </c>
      <c r="EM17" s="25">
        <f t="shared" si="1"/>
        <v>19824</v>
      </c>
      <c r="EN17" s="13">
        <v>2852695</v>
      </c>
      <c r="EO17" s="25">
        <f t="shared" si="2"/>
        <v>27306</v>
      </c>
      <c r="EP17" s="13">
        <v>2880001</v>
      </c>
      <c r="EQ17" s="25">
        <f t="shared" si="3"/>
        <v>-13122</v>
      </c>
      <c r="ER17" s="13">
        <v>2866879</v>
      </c>
      <c r="ES17" s="25">
        <f t="shared" si="4"/>
        <v>-122487</v>
      </c>
      <c r="ET17" s="13">
        <v>2744392</v>
      </c>
      <c r="EU17" s="25">
        <f t="shared" si="5"/>
        <v>98267</v>
      </c>
      <c r="EV17" s="13">
        <v>2842659</v>
      </c>
      <c r="EW17" s="13">
        <v>2850867</v>
      </c>
      <c r="EX17" s="13">
        <v>2793675</v>
      </c>
      <c r="EY17" s="13">
        <v>2838752</v>
      </c>
      <c r="EZ17" s="13">
        <v>2856704</v>
      </c>
      <c r="FA17" s="13">
        <v>2827474</v>
      </c>
      <c r="FB17" s="13">
        <v>2857758</v>
      </c>
      <c r="FC17" s="13">
        <v>2889283</v>
      </c>
      <c r="FD17" s="13">
        <v>2905457</v>
      </c>
      <c r="FE17" s="13">
        <v>2913830</v>
      </c>
      <c r="FF17" s="13">
        <v>2859541</v>
      </c>
      <c r="FG17" s="13">
        <v>2822948</v>
      </c>
      <c r="FH17" s="13">
        <v>2914599</v>
      </c>
      <c r="FI17" s="13">
        <v>2879458</v>
      </c>
    </row>
    <row r="18" spans="1:165" x14ac:dyDescent="0.4">
      <c r="A18" s="35" t="s">
        <v>13</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10</v>
      </c>
      <c r="AS18" s="16">
        <v>10</v>
      </c>
      <c r="AT18" s="16">
        <v>334</v>
      </c>
      <c r="AU18" s="16">
        <v>316</v>
      </c>
      <c r="AV18" s="16">
        <v>5217</v>
      </c>
      <c r="AW18" s="16">
        <v>30739</v>
      </c>
      <c r="AX18" s="16">
        <v>956</v>
      </c>
      <c r="AY18" s="16">
        <v>38032</v>
      </c>
      <c r="AZ18" s="16">
        <v>43276</v>
      </c>
      <c r="BA18" s="16">
        <v>58218</v>
      </c>
      <c r="BB18" s="16">
        <v>6989</v>
      </c>
      <c r="BC18" s="16">
        <v>47223</v>
      </c>
      <c r="BD18" s="16">
        <v>81574</v>
      </c>
      <c r="BE18" s="16">
        <v>51445</v>
      </c>
      <c r="BF18" s="16">
        <v>63713</v>
      </c>
      <c r="BG18" s="16">
        <v>12642</v>
      </c>
      <c r="BH18" s="16">
        <v>55344</v>
      </c>
      <c r="BI18" s="16">
        <v>48600</v>
      </c>
      <c r="BJ18" s="16">
        <v>37813</v>
      </c>
      <c r="BK18" s="16">
        <v>112927</v>
      </c>
      <c r="BL18" s="16">
        <v>112934</v>
      </c>
      <c r="BM18" s="16">
        <v>34880</v>
      </c>
      <c r="BN18" s="16">
        <v>31855</v>
      </c>
      <c r="BO18" s="16">
        <v>70125</v>
      </c>
      <c r="BP18" s="16">
        <v>32852</v>
      </c>
      <c r="BQ18" s="16">
        <v>47447</v>
      </c>
      <c r="BR18" s="16">
        <v>55055</v>
      </c>
      <c r="BS18" s="16">
        <v>28882</v>
      </c>
      <c r="BT18" s="16">
        <v>55399</v>
      </c>
      <c r="BU18" s="16">
        <v>35084</v>
      </c>
      <c r="BV18" s="16">
        <v>10272</v>
      </c>
      <c r="BW18" s="16">
        <v>33474</v>
      </c>
      <c r="BX18" s="16">
        <v>36136</v>
      </c>
      <c r="BY18" s="16">
        <v>13289</v>
      </c>
      <c r="BZ18" s="16">
        <v>55374</v>
      </c>
      <c r="CA18" s="16">
        <v>69348</v>
      </c>
      <c r="CB18" s="16">
        <v>69924</v>
      </c>
      <c r="CC18" s="16">
        <v>114807</v>
      </c>
      <c r="CD18" s="16">
        <v>105255</v>
      </c>
      <c r="CE18" s="16">
        <v>151527</v>
      </c>
      <c r="CF18" s="16">
        <v>166215</v>
      </c>
      <c r="CG18" s="16">
        <v>156101</v>
      </c>
      <c r="CH18" s="16">
        <v>167358</v>
      </c>
      <c r="CI18" s="16">
        <v>195291</v>
      </c>
      <c r="CJ18" s="16">
        <v>175495</v>
      </c>
      <c r="CK18" s="14">
        <v>166358</v>
      </c>
      <c r="CL18" s="14">
        <v>158646</v>
      </c>
      <c r="CM18" s="14">
        <v>137194</v>
      </c>
      <c r="CN18" s="14">
        <v>160653</v>
      </c>
      <c r="CO18" s="14">
        <v>156719</v>
      </c>
      <c r="CP18" s="13">
        <v>145591</v>
      </c>
      <c r="CQ18" s="13">
        <v>133019</v>
      </c>
      <c r="CR18" s="13">
        <v>121510</v>
      </c>
      <c r="CS18" s="13">
        <v>109043</v>
      </c>
      <c r="CT18" s="13">
        <v>124385</v>
      </c>
      <c r="CU18" s="13">
        <v>116987</v>
      </c>
      <c r="CV18" s="13">
        <v>107927</v>
      </c>
      <c r="CW18" s="13">
        <v>96247</v>
      </c>
      <c r="CX18" s="13">
        <v>83037</v>
      </c>
      <c r="CY18" s="13">
        <v>72111</v>
      </c>
      <c r="CZ18" s="13">
        <v>67499</v>
      </c>
      <c r="DA18" s="13">
        <v>61572</v>
      </c>
      <c r="DB18" s="13">
        <v>58730</v>
      </c>
      <c r="DC18" s="13">
        <v>66044</v>
      </c>
      <c r="DD18" s="13">
        <v>72807</v>
      </c>
      <c r="DE18" s="13">
        <v>82410</v>
      </c>
      <c r="DF18" s="13">
        <v>90847</v>
      </c>
      <c r="DG18" s="13">
        <v>88997</v>
      </c>
      <c r="DH18" s="13">
        <v>72446</v>
      </c>
      <c r="DI18" s="13">
        <v>69845</v>
      </c>
      <c r="DJ18" s="13">
        <v>67280</v>
      </c>
      <c r="DK18" s="13">
        <v>74096</v>
      </c>
      <c r="DL18" s="13">
        <v>66406</v>
      </c>
      <c r="DM18" s="13">
        <v>83834</v>
      </c>
      <c r="DN18" s="13">
        <v>70134</v>
      </c>
      <c r="DO18" s="13">
        <v>67289</v>
      </c>
      <c r="DP18" s="13">
        <v>84047</v>
      </c>
      <c r="DQ18" s="13">
        <v>34246</v>
      </c>
      <c r="DR18" s="13">
        <v>28794</v>
      </c>
      <c r="DS18" s="13">
        <v>37313</v>
      </c>
      <c r="DT18" s="13">
        <v>38657</v>
      </c>
      <c r="DU18" s="13">
        <v>67932</v>
      </c>
      <c r="DV18" s="13">
        <v>49566</v>
      </c>
      <c r="DW18" s="13">
        <v>81031</v>
      </c>
      <c r="DX18" s="13">
        <v>74507</v>
      </c>
      <c r="DY18" s="13">
        <v>134009</v>
      </c>
      <c r="DZ18" s="13">
        <v>126988</v>
      </c>
      <c r="EA18" s="13">
        <v>169056</v>
      </c>
      <c r="EB18" s="13">
        <v>215119</v>
      </c>
      <c r="EC18" s="13">
        <v>125701</v>
      </c>
      <c r="ED18" s="13">
        <v>125501</v>
      </c>
      <c r="EE18" s="13">
        <v>213947</v>
      </c>
      <c r="EF18" s="13">
        <v>192079</v>
      </c>
      <c r="EG18" s="13">
        <v>203538</v>
      </c>
      <c r="EH18" s="13">
        <v>167538</v>
      </c>
      <c r="EI18" s="13">
        <v>165884</v>
      </c>
      <c r="EJ18" s="13">
        <v>156843</v>
      </c>
      <c r="EK18" s="25">
        <f t="shared" si="0"/>
        <v>-7390</v>
      </c>
      <c r="EL18" s="13">
        <v>149453</v>
      </c>
      <c r="EM18" s="25">
        <f t="shared" si="1"/>
        <v>-33554</v>
      </c>
      <c r="EN18" s="13">
        <v>115899</v>
      </c>
      <c r="EO18" s="25">
        <f t="shared" si="2"/>
        <v>30624</v>
      </c>
      <c r="EP18" s="13">
        <v>146523</v>
      </c>
      <c r="EQ18" s="25">
        <f t="shared" si="3"/>
        <v>-24469</v>
      </c>
      <c r="ER18" s="13">
        <v>122054</v>
      </c>
      <c r="ES18" s="25">
        <f t="shared" si="4"/>
        <v>-21722</v>
      </c>
      <c r="ET18" s="13">
        <v>100332</v>
      </c>
      <c r="EU18" s="25">
        <f t="shared" si="5"/>
        <v>12674</v>
      </c>
      <c r="EV18" s="13">
        <v>113006</v>
      </c>
      <c r="EW18" s="13">
        <v>94423</v>
      </c>
      <c r="EX18" s="13">
        <v>104979</v>
      </c>
      <c r="EY18" s="13">
        <v>101735</v>
      </c>
      <c r="EZ18" s="13">
        <v>100686</v>
      </c>
      <c r="FA18" s="13">
        <v>90254</v>
      </c>
      <c r="FB18" s="13">
        <v>80842</v>
      </c>
      <c r="FC18" s="13">
        <v>83183</v>
      </c>
      <c r="FD18" s="13">
        <v>82379</v>
      </c>
      <c r="FE18" s="13">
        <v>96268</v>
      </c>
      <c r="FF18" s="13">
        <v>93732</v>
      </c>
      <c r="FG18" s="13">
        <v>106629</v>
      </c>
      <c r="FH18" s="13">
        <v>124140</v>
      </c>
      <c r="FI18" s="13">
        <v>123365</v>
      </c>
    </row>
    <row r="19" spans="1:165" x14ac:dyDescent="0.4">
      <c r="A19" s="35" t="s">
        <v>14</v>
      </c>
      <c r="B19" s="16">
        <v>1136816</v>
      </c>
      <c r="C19" s="16">
        <v>1119126</v>
      </c>
      <c r="D19" s="16">
        <v>1204558</v>
      </c>
      <c r="E19" s="16">
        <v>1224562</v>
      </c>
      <c r="F19" s="16">
        <v>1249749</v>
      </c>
      <c r="G19" s="16">
        <v>1247960</v>
      </c>
      <c r="H19" s="16">
        <v>1239643</v>
      </c>
      <c r="I19" s="16">
        <v>1260285</v>
      </c>
      <c r="J19" s="16">
        <v>1272718</v>
      </c>
      <c r="K19" s="16">
        <v>1314046</v>
      </c>
      <c r="L19" s="16">
        <v>1378956</v>
      </c>
      <c r="M19" s="16">
        <v>1359715</v>
      </c>
      <c r="N19" s="16">
        <v>1356238</v>
      </c>
      <c r="O19" s="16">
        <v>1362009</v>
      </c>
      <c r="P19" s="16">
        <v>1340263</v>
      </c>
      <c r="Q19" s="16">
        <v>1329098</v>
      </c>
      <c r="R19" s="16">
        <v>1314315</v>
      </c>
      <c r="S19" s="16">
        <v>1333356</v>
      </c>
      <c r="T19" s="16">
        <v>1370954</v>
      </c>
      <c r="U19" s="16">
        <v>1357860</v>
      </c>
      <c r="V19" s="16">
        <v>1366519</v>
      </c>
      <c r="W19" s="16">
        <v>1408501</v>
      </c>
      <c r="X19" s="16">
        <v>1442307</v>
      </c>
      <c r="Y19" s="16">
        <v>1416700</v>
      </c>
      <c r="Z19" s="16">
        <v>1477243</v>
      </c>
      <c r="AA19" s="16">
        <v>1495521</v>
      </c>
      <c r="AB19" s="16">
        <v>1490961</v>
      </c>
      <c r="AC19" s="16">
        <v>1478946</v>
      </c>
      <c r="AD19" s="16">
        <v>1489789</v>
      </c>
      <c r="AE19" s="16">
        <v>1498135</v>
      </c>
      <c r="AF19" s="16">
        <v>1558955</v>
      </c>
      <c r="AG19" s="16">
        <v>1605123</v>
      </c>
      <c r="AH19" s="16">
        <v>1547091</v>
      </c>
      <c r="AI19" s="16">
        <v>1538925</v>
      </c>
      <c r="AJ19" s="16">
        <v>1560499</v>
      </c>
      <c r="AK19" s="16">
        <v>1558349</v>
      </c>
      <c r="AL19" s="16">
        <v>1570872</v>
      </c>
      <c r="AM19" s="16">
        <v>1529690</v>
      </c>
      <c r="AN19" s="16">
        <v>1458398</v>
      </c>
      <c r="AO19" s="16">
        <v>1476591</v>
      </c>
      <c r="AP19" s="16">
        <v>1493528</v>
      </c>
      <c r="AQ19" s="16">
        <v>1522528</v>
      </c>
      <c r="AR19" s="16">
        <v>1528328</v>
      </c>
      <c r="AS19" s="16">
        <v>1512566</v>
      </c>
      <c r="AT19" s="16">
        <v>1506458</v>
      </c>
      <c r="AU19" s="16">
        <v>1473438</v>
      </c>
      <c r="AV19" s="16">
        <v>1433428</v>
      </c>
      <c r="AW19" s="16">
        <v>1420280</v>
      </c>
      <c r="AX19" s="16">
        <v>1441286</v>
      </c>
      <c r="AY19" s="16">
        <v>1449960</v>
      </c>
      <c r="AZ19" s="16">
        <v>1425200</v>
      </c>
      <c r="BA19" s="16">
        <v>1445669</v>
      </c>
      <c r="BB19" s="16">
        <v>1472964</v>
      </c>
      <c r="BC19" s="16">
        <v>1575527</v>
      </c>
      <c r="BD19" s="16">
        <v>1568361</v>
      </c>
      <c r="BE19" s="16">
        <v>1549201</v>
      </c>
      <c r="BF19" s="16">
        <v>1543000</v>
      </c>
      <c r="BG19" s="16">
        <v>1541714</v>
      </c>
      <c r="BH19" s="16">
        <v>1616085</v>
      </c>
      <c r="BI19" s="16">
        <v>1628133</v>
      </c>
      <c r="BJ19" s="16">
        <v>1619777</v>
      </c>
      <c r="BK19" s="16">
        <v>1622228</v>
      </c>
      <c r="BL19" s="16">
        <v>1631869</v>
      </c>
      <c r="BM19" s="16">
        <v>1692305</v>
      </c>
      <c r="BN19" s="16">
        <v>1671620</v>
      </c>
      <c r="BO19" s="16">
        <v>1688265</v>
      </c>
      <c r="BP19" s="16">
        <v>1637854</v>
      </c>
      <c r="BQ19" s="16">
        <v>1708019</v>
      </c>
      <c r="BR19" s="16">
        <v>1730342</v>
      </c>
      <c r="BS19" s="16">
        <v>1721758</v>
      </c>
      <c r="BT19" s="16">
        <v>1701945</v>
      </c>
      <c r="BU19" s="16">
        <v>1721157</v>
      </c>
      <c r="BV19" s="16">
        <v>1791439</v>
      </c>
      <c r="BW19" s="16">
        <v>1805736</v>
      </c>
      <c r="BX19" s="16">
        <v>1817810</v>
      </c>
      <c r="BY19" s="16">
        <v>1869421</v>
      </c>
      <c r="BZ19" s="16">
        <v>1930804</v>
      </c>
      <c r="CA19" s="16">
        <v>1974140</v>
      </c>
      <c r="CB19" s="16">
        <v>1975270</v>
      </c>
      <c r="CC19" s="16">
        <v>2032657</v>
      </c>
      <c r="CD19" s="16">
        <v>2037050</v>
      </c>
      <c r="CE19" s="16">
        <v>2083405</v>
      </c>
      <c r="CF19" s="16">
        <v>2132411</v>
      </c>
      <c r="CG19" s="16">
        <v>2142823</v>
      </c>
      <c r="CH19" s="16">
        <v>2222110</v>
      </c>
      <c r="CI19" s="16">
        <v>2159280</v>
      </c>
      <c r="CJ19" s="16">
        <v>2212024</v>
      </c>
      <c r="CK19" s="14">
        <v>2207115</v>
      </c>
      <c r="CL19" s="14">
        <v>2218850</v>
      </c>
      <c r="CM19" s="14">
        <v>2237687</v>
      </c>
      <c r="CN19" s="14">
        <v>2260784</v>
      </c>
      <c r="CO19" s="14">
        <v>2364508</v>
      </c>
      <c r="CP19" s="13">
        <v>2403971</v>
      </c>
      <c r="CQ19" s="13">
        <v>2385303</v>
      </c>
      <c r="CR19" s="13">
        <v>2441679</v>
      </c>
      <c r="CS19" s="13">
        <v>2562327</v>
      </c>
      <c r="CT19" s="13">
        <v>2614558</v>
      </c>
      <c r="CU19" s="13">
        <v>2604365</v>
      </c>
      <c r="CV19" s="13">
        <v>2691898</v>
      </c>
      <c r="CW19" s="13">
        <v>2703147</v>
      </c>
      <c r="CX19" s="13">
        <v>2697730</v>
      </c>
      <c r="CY19" s="13">
        <v>2738921</v>
      </c>
      <c r="CZ19" s="13">
        <v>2870604</v>
      </c>
      <c r="DA19" s="13">
        <v>2809814</v>
      </c>
      <c r="DB19" s="13">
        <v>2839682</v>
      </c>
      <c r="DC19" s="13">
        <v>2877936</v>
      </c>
      <c r="DD19" s="13">
        <v>2837338</v>
      </c>
      <c r="DE19" s="13">
        <v>2875461</v>
      </c>
      <c r="DF19" s="13">
        <v>2978664</v>
      </c>
      <c r="DG19" s="13">
        <v>2930480</v>
      </c>
      <c r="DH19" s="13">
        <v>2767186</v>
      </c>
      <c r="DI19" s="13">
        <v>2684689</v>
      </c>
      <c r="DJ19" s="13">
        <v>2586685</v>
      </c>
      <c r="DK19" s="13">
        <v>2567092</v>
      </c>
      <c r="DL19" s="13">
        <v>2582485</v>
      </c>
      <c r="DM19" s="13">
        <v>2579342</v>
      </c>
      <c r="DN19" s="13">
        <v>2587081</v>
      </c>
      <c r="DO19" s="13">
        <v>2504120</v>
      </c>
      <c r="DP19" s="13">
        <v>2463890</v>
      </c>
      <c r="DQ19" s="13">
        <v>2595361</v>
      </c>
      <c r="DR19" s="13">
        <v>2508124</v>
      </c>
      <c r="DS19" s="13">
        <v>2459590</v>
      </c>
      <c r="DT19" s="13">
        <v>2591496</v>
      </c>
      <c r="DU19" s="13">
        <v>2602545</v>
      </c>
      <c r="DV19" s="13">
        <v>2613078</v>
      </c>
      <c r="DW19" s="13">
        <v>2598482</v>
      </c>
      <c r="DX19" s="13">
        <v>2702271</v>
      </c>
      <c r="DY19" s="13">
        <v>2712149</v>
      </c>
      <c r="DZ19" s="13">
        <v>2661323</v>
      </c>
      <c r="EA19" s="13">
        <v>2575422</v>
      </c>
      <c r="EB19" s="13">
        <v>2574407</v>
      </c>
      <c r="EC19" s="13">
        <v>2580202</v>
      </c>
      <c r="ED19" s="13">
        <v>2605144</v>
      </c>
      <c r="EE19" s="13">
        <v>2611000</v>
      </c>
      <c r="EF19" s="13">
        <v>2632962</v>
      </c>
      <c r="EG19" s="13">
        <v>2662066</v>
      </c>
      <c r="EH19" s="13">
        <v>2705359</v>
      </c>
      <c r="EI19" s="13">
        <v>2650393</v>
      </c>
      <c r="EJ19" s="13">
        <v>2756881</v>
      </c>
      <c r="EK19" s="25">
        <f t="shared" si="0"/>
        <v>-73463</v>
      </c>
      <c r="EL19" s="13">
        <v>2683418</v>
      </c>
      <c r="EM19" s="25">
        <f t="shared" si="1"/>
        <v>53378</v>
      </c>
      <c r="EN19" s="13">
        <v>2736796</v>
      </c>
      <c r="EO19" s="25">
        <f t="shared" si="2"/>
        <v>-3318</v>
      </c>
      <c r="EP19" s="13">
        <v>2733478</v>
      </c>
      <c r="EQ19" s="25">
        <f t="shared" si="3"/>
        <v>11347</v>
      </c>
      <c r="ER19" s="13">
        <v>2744825</v>
      </c>
      <c r="ES19" s="25">
        <f t="shared" si="4"/>
        <v>-100765</v>
      </c>
      <c r="ET19" s="13">
        <v>2644060</v>
      </c>
      <c r="EU19" s="25">
        <f t="shared" si="5"/>
        <v>85593</v>
      </c>
      <c r="EV19" s="13">
        <v>2729653</v>
      </c>
      <c r="EW19" s="13">
        <v>2756444</v>
      </c>
      <c r="EX19" s="13">
        <v>2688696</v>
      </c>
      <c r="EY19" s="13">
        <v>2737017</v>
      </c>
      <c r="EZ19" s="13">
        <v>2756017</v>
      </c>
      <c r="FA19" s="13">
        <v>2737220</v>
      </c>
      <c r="FB19" s="13">
        <v>2776916</v>
      </c>
      <c r="FC19" s="13">
        <v>2806100</v>
      </c>
      <c r="FD19" s="13">
        <v>2823078</v>
      </c>
      <c r="FE19" s="13">
        <v>2817562</v>
      </c>
      <c r="FF19" s="13">
        <v>2765809</v>
      </c>
      <c r="FG19" s="13">
        <v>2716318</v>
      </c>
      <c r="FH19" s="13">
        <v>2790459</v>
      </c>
      <c r="FI19" s="13">
        <v>2756093</v>
      </c>
    </row>
    <row r="20" spans="1:165" x14ac:dyDescent="0.4">
      <c r="A20" s="35" t="s">
        <v>27</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v>151698</v>
      </c>
      <c r="BW20" s="16">
        <v>168659</v>
      </c>
      <c r="BX20" s="16">
        <v>184282</v>
      </c>
      <c r="BY20" s="16">
        <v>181265</v>
      </c>
      <c r="BZ20" s="16">
        <v>186031</v>
      </c>
      <c r="CA20" s="16">
        <v>185908</v>
      </c>
      <c r="CB20" s="16">
        <v>247307</v>
      </c>
      <c r="CC20" s="16">
        <v>226353</v>
      </c>
      <c r="CD20" s="16">
        <v>213686</v>
      </c>
      <c r="CE20" s="16">
        <v>236626</v>
      </c>
      <c r="CF20" s="16">
        <v>228742</v>
      </c>
      <c r="CG20" s="16">
        <v>203076</v>
      </c>
      <c r="CH20" s="16">
        <v>276791</v>
      </c>
      <c r="CI20" s="16">
        <v>272847</v>
      </c>
      <c r="CJ20" s="16">
        <v>262098</v>
      </c>
      <c r="CK20" s="14">
        <v>329181</v>
      </c>
      <c r="CL20" s="14">
        <v>352098</v>
      </c>
      <c r="CM20" s="14">
        <v>346919</v>
      </c>
      <c r="CN20" s="14">
        <v>341098</v>
      </c>
      <c r="CO20" s="14">
        <v>383330</v>
      </c>
      <c r="CP20" s="13">
        <v>446702</v>
      </c>
      <c r="CQ20" s="13">
        <v>457179</v>
      </c>
      <c r="CR20" s="13">
        <v>470115</v>
      </c>
      <c r="CS20" s="13">
        <v>515618</v>
      </c>
      <c r="CT20" s="13">
        <v>455631</v>
      </c>
      <c r="CU20" s="13">
        <v>467230</v>
      </c>
      <c r="CV20" s="13">
        <v>539975</v>
      </c>
      <c r="CW20" s="13">
        <v>500530</v>
      </c>
      <c r="CX20" s="13">
        <v>512581</v>
      </c>
      <c r="CY20" s="13">
        <v>514001</v>
      </c>
      <c r="CZ20" s="13">
        <v>506534</v>
      </c>
      <c r="DA20" s="13">
        <v>506957</v>
      </c>
      <c r="DB20" s="13">
        <v>462458</v>
      </c>
      <c r="DC20" s="13">
        <v>438336</v>
      </c>
      <c r="DD20" s="13">
        <v>470116</v>
      </c>
      <c r="DE20" s="13">
        <v>444802</v>
      </c>
      <c r="DF20" s="13">
        <v>457073</v>
      </c>
      <c r="DG20" s="13">
        <v>489759</v>
      </c>
      <c r="DH20" s="13">
        <v>424195</v>
      </c>
      <c r="DI20" s="13">
        <v>410399</v>
      </c>
      <c r="DJ20" s="13">
        <v>383020</v>
      </c>
      <c r="DK20" s="13">
        <v>440834</v>
      </c>
      <c r="DL20" s="13">
        <v>442031</v>
      </c>
      <c r="DM20" s="13">
        <v>441051</v>
      </c>
      <c r="DN20" s="13">
        <v>459814</v>
      </c>
      <c r="DO20" s="13">
        <v>491685</v>
      </c>
      <c r="DP20" s="13">
        <v>584435</v>
      </c>
      <c r="DQ20" s="13">
        <v>635997</v>
      </c>
      <c r="DR20" s="13">
        <v>608930</v>
      </c>
      <c r="DS20" s="13">
        <v>585745</v>
      </c>
      <c r="DT20" s="13">
        <v>590021</v>
      </c>
      <c r="DU20" s="13">
        <v>587980</v>
      </c>
      <c r="DV20" s="13">
        <v>590758</v>
      </c>
      <c r="DW20" s="13">
        <v>563564</v>
      </c>
      <c r="DX20" s="13">
        <v>592539</v>
      </c>
      <c r="DY20" s="13">
        <v>573152</v>
      </c>
      <c r="DZ20" s="13">
        <v>548037</v>
      </c>
      <c r="EA20" s="13">
        <v>570299</v>
      </c>
      <c r="EB20" s="13">
        <v>446440</v>
      </c>
      <c r="EC20" s="13">
        <v>498936</v>
      </c>
      <c r="ED20" s="13">
        <v>552742</v>
      </c>
      <c r="EE20" s="13">
        <v>548792</v>
      </c>
      <c r="EF20" s="13">
        <v>591812</v>
      </c>
      <c r="EG20" s="13">
        <v>647502</v>
      </c>
      <c r="EH20" s="13">
        <v>631356</v>
      </c>
      <c r="EI20" s="13">
        <v>603604</v>
      </c>
      <c r="EJ20" s="13">
        <v>554626</v>
      </c>
      <c r="EK20" s="25">
        <f t="shared" si="0"/>
        <v>32576</v>
      </c>
      <c r="EL20" s="13">
        <v>587202</v>
      </c>
      <c r="EM20" s="25">
        <f t="shared" si="1"/>
        <v>22966</v>
      </c>
      <c r="EN20" s="13">
        <v>610168</v>
      </c>
      <c r="EO20" s="25">
        <f t="shared" si="2"/>
        <v>-43000</v>
      </c>
      <c r="EP20" s="13">
        <v>567168</v>
      </c>
      <c r="EQ20" s="25">
        <f t="shared" si="3"/>
        <v>44694</v>
      </c>
      <c r="ER20" s="13">
        <v>611862</v>
      </c>
      <c r="ES20" s="25">
        <f t="shared" si="4"/>
        <v>-73454</v>
      </c>
      <c r="ET20" s="13">
        <v>538408</v>
      </c>
      <c r="EU20" s="25">
        <f t="shared" si="5"/>
        <v>-31769</v>
      </c>
      <c r="EV20" s="13">
        <v>506639</v>
      </c>
      <c r="EW20" s="13">
        <v>518137</v>
      </c>
      <c r="EX20" s="13">
        <v>454683</v>
      </c>
      <c r="EY20" s="13">
        <v>379062</v>
      </c>
      <c r="EZ20" s="13">
        <v>411759</v>
      </c>
      <c r="FA20" s="13">
        <v>513810</v>
      </c>
      <c r="FB20" s="13">
        <v>563464</v>
      </c>
      <c r="FC20" s="13">
        <v>550942</v>
      </c>
      <c r="FD20" s="13">
        <v>551110</v>
      </c>
      <c r="FE20" s="13">
        <v>552730</v>
      </c>
      <c r="FF20" s="13">
        <v>505422</v>
      </c>
      <c r="FG20" s="13">
        <v>461062</v>
      </c>
      <c r="FH20" s="13">
        <v>582089</v>
      </c>
      <c r="FI20" s="13">
        <v>588981</v>
      </c>
    </row>
    <row r="21" spans="1:165" x14ac:dyDescent="0.4">
      <c r="A21" s="35" t="s">
        <v>30</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v>1639740</v>
      </c>
      <c r="BW21" s="16">
        <v>1637077</v>
      </c>
      <c r="BX21" s="16">
        <v>1633529</v>
      </c>
      <c r="BY21" s="16">
        <v>1688156</v>
      </c>
      <c r="BZ21" s="16">
        <v>1744773</v>
      </c>
      <c r="CA21" s="16">
        <v>1788232</v>
      </c>
      <c r="CB21" s="16">
        <v>1727963</v>
      </c>
      <c r="CC21" s="16">
        <v>1806304</v>
      </c>
      <c r="CD21" s="16">
        <v>1823363</v>
      </c>
      <c r="CE21" s="16">
        <v>1846779</v>
      </c>
      <c r="CF21" s="16">
        <v>1903669</v>
      </c>
      <c r="CG21" s="16">
        <v>1939747</v>
      </c>
      <c r="CH21" s="16">
        <v>1945319</v>
      </c>
      <c r="CI21" s="16">
        <v>1886433</v>
      </c>
      <c r="CJ21" s="16">
        <v>1949926</v>
      </c>
      <c r="CK21" s="14">
        <v>1877934</v>
      </c>
      <c r="CL21" s="14">
        <v>1866752</v>
      </c>
      <c r="CM21" s="14">
        <v>1890768</v>
      </c>
      <c r="CN21" s="14">
        <v>1919686</v>
      </c>
      <c r="CO21" s="14">
        <v>1981177</v>
      </c>
      <c r="CP21" s="13">
        <v>1957269</v>
      </c>
      <c r="CQ21" s="13">
        <v>1928124</v>
      </c>
      <c r="CR21" s="13">
        <v>1971565</v>
      </c>
      <c r="CS21" s="13">
        <v>2046709</v>
      </c>
      <c r="CT21" s="13">
        <v>2158927</v>
      </c>
      <c r="CU21" s="13">
        <v>2137134</v>
      </c>
      <c r="CV21" s="13">
        <v>2151923</v>
      </c>
      <c r="CW21" s="13">
        <v>2202618</v>
      </c>
      <c r="CX21" s="13">
        <v>2185149</v>
      </c>
      <c r="CY21" s="13">
        <v>2224920</v>
      </c>
      <c r="CZ21" s="13">
        <v>2364070</v>
      </c>
      <c r="DA21" s="13">
        <v>2302857</v>
      </c>
      <c r="DB21" s="13">
        <v>2377224</v>
      </c>
      <c r="DC21" s="13">
        <v>2439600</v>
      </c>
      <c r="DD21" s="13">
        <v>2367222</v>
      </c>
      <c r="DE21" s="13">
        <v>2430658</v>
      </c>
      <c r="DF21" s="13">
        <v>2521590</v>
      </c>
      <c r="DG21" s="13">
        <v>2440721</v>
      </c>
      <c r="DH21" s="13">
        <v>2342990</v>
      </c>
      <c r="DI21" s="13">
        <v>2274289</v>
      </c>
      <c r="DJ21" s="13">
        <v>2203664</v>
      </c>
      <c r="DK21" s="13">
        <v>2126258</v>
      </c>
      <c r="DL21" s="13">
        <v>2140454</v>
      </c>
      <c r="DM21" s="13">
        <v>2138291</v>
      </c>
      <c r="DN21" s="13">
        <v>2127267</v>
      </c>
      <c r="DO21" s="13">
        <v>2012435</v>
      </c>
      <c r="DP21" s="13">
        <v>1879455</v>
      </c>
      <c r="DQ21" s="13">
        <v>1959364</v>
      </c>
      <c r="DR21" s="13">
        <v>1899194</v>
      </c>
      <c r="DS21" s="13">
        <v>1873845</v>
      </c>
      <c r="DT21" s="13">
        <v>2001475</v>
      </c>
      <c r="DU21" s="13">
        <v>2014565</v>
      </c>
      <c r="DV21" s="13">
        <v>2022320</v>
      </c>
      <c r="DW21" s="13">
        <v>2034918</v>
      </c>
      <c r="DX21" s="13">
        <v>2109732</v>
      </c>
      <c r="DY21" s="13">
        <v>2138997</v>
      </c>
      <c r="DZ21" s="13">
        <v>2113286</v>
      </c>
      <c r="EA21" s="13">
        <v>2005122</v>
      </c>
      <c r="EB21" s="13">
        <v>2127967</v>
      </c>
      <c r="EC21" s="13">
        <v>2081266</v>
      </c>
      <c r="ED21" s="13">
        <v>2052402</v>
      </c>
      <c r="EE21" s="13">
        <v>2062208</v>
      </c>
      <c r="EF21" s="13">
        <v>2041150</v>
      </c>
      <c r="EG21" s="13">
        <v>2014564</v>
      </c>
      <c r="EH21" s="13">
        <v>2074003</v>
      </c>
      <c r="EI21" s="13">
        <v>2046789</v>
      </c>
      <c r="EJ21" s="13">
        <v>2202254</v>
      </c>
      <c r="EK21" s="25">
        <f t="shared" si="0"/>
        <v>-106038</v>
      </c>
      <c r="EL21" s="13">
        <v>2096216</v>
      </c>
      <c r="EM21" s="25">
        <f t="shared" si="1"/>
        <v>30412</v>
      </c>
      <c r="EN21" s="13">
        <v>2126628</v>
      </c>
      <c r="EO21" s="25">
        <f t="shared" si="2"/>
        <v>39682</v>
      </c>
      <c r="EP21" s="13">
        <v>2166310</v>
      </c>
      <c r="EQ21" s="25">
        <f t="shared" si="3"/>
        <v>-33347</v>
      </c>
      <c r="ER21" s="13">
        <v>2132963</v>
      </c>
      <c r="ES21" s="25">
        <f t="shared" si="4"/>
        <v>-27311</v>
      </c>
      <c r="ET21" s="13">
        <v>2105652</v>
      </c>
      <c r="EU21" s="25">
        <f t="shared" si="5"/>
        <v>117361</v>
      </c>
      <c r="EV21" s="13">
        <v>2223013</v>
      </c>
      <c r="EW21" s="13">
        <v>2238307</v>
      </c>
      <c r="EX21" s="13">
        <v>2234013</v>
      </c>
      <c r="EY21" s="13">
        <v>2357955</v>
      </c>
      <c r="EZ21" s="13">
        <v>2344259</v>
      </c>
      <c r="FA21" s="13">
        <v>2223410</v>
      </c>
      <c r="FB21" s="13">
        <v>2213453</v>
      </c>
      <c r="FC21" s="13">
        <v>2255157</v>
      </c>
      <c r="FD21" s="13">
        <v>2271968</v>
      </c>
      <c r="FE21" s="13">
        <v>2264832</v>
      </c>
      <c r="FF21" s="13">
        <v>2260387</v>
      </c>
      <c r="FG21" s="13">
        <v>2255257</v>
      </c>
      <c r="FH21" s="13">
        <v>2208370</v>
      </c>
      <c r="FI21" s="13">
        <v>2167112</v>
      </c>
    </row>
    <row r="22" spans="1:165" x14ac:dyDescent="0.4">
      <c r="A22" s="34" t="s">
        <v>4</v>
      </c>
      <c r="B22" s="16">
        <v>15035</v>
      </c>
      <c r="C22" s="16">
        <v>15065</v>
      </c>
      <c r="D22" s="16">
        <v>15077</v>
      </c>
      <c r="E22" s="16">
        <v>15099</v>
      </c>
      <c r="F22" s="16">
        <v>18127</v>
      </c>
      <c r="G22" s="16">
        <v>18160</v>
      </c>
      <c r="H22" s="16">
        <v>18137</v>
      </c>
      <c r="I22" s="16">
        <v>18128</v>
      </c>
      <c r="J22" s="16">
        <v>18126</v>
      </c>
      <c r="K22" s="16">
        <v>18118</v>
      </c>
      <c r="L22" s="16">
        <v>18117</v>
      </c>
      <c r="M22" s="16">
        <v>18061</v>
      </c>
      <c r="N22" s="16">
        <v>18099</v>
      </c>
      <c r="O22" s="16">
        <v>18039</v>
      </c>
      <c r="P22" s="16">
        <v>18045</v>
      </c>
      <c r="Q22" s="16">
        <v>17988</v>
      </c>
      <c r="R22" s="16">
        <v>17919</v>
      </c>
      <c r="S22" s="16">
        <v>17914</v>
      </c>
      <c r="T22" s="16">
        <v>17889</v>
      </c>
      <c r="U22" s="16">
        <v>17893</v>
      </c>
      <c r="V22" s="16">
        <v>17754</v>
      </c>
      <c r="W22" s="16">
        <v>17859</v>
      </c>
      <c r="X22" s="16">
        <v>17786</v>
      </c>
      <c r="Y22" s="16">
        <v>12785</v>
      </c>
      <c r="Z22" s="16">
        <v>12610</v>
      </c>
      <c r="AA22" s="16">
        <v>12512</v>
      </c>
      <c r="AB22" s="16">
        <v>12605</v>
      </c>
      <c r="AC22" s="16">
        <v>12801</v>
      </c>
      <c r="AD22" s="16">
        <v>12833</v>
      </c>
      <c r="AE22" s="16">
        <v>12903</v>
      </c>
      <c r="AF22" s="16">
        <v>12931</v>
      </c>
      <c r="AG22" s="16">
        <v>12963</v>
      </c>
      <c r="AH22" s="16">
        <v>12962</v>
      </c>
      <c r="AI22" s="16">
        <v>12793</v>
      </c>
      <c r="AJ22" s="16">
        <v>12679</v>
      </c>
      <c r="AK22" s="16">
        <v>12687</v>
      </c>
      <c r="AL22" s="16">
        <v>12774</v>
      </c>
      <c r="AM22" s="16">
        <v>12793</v>
      </c>
      <c r="AN22" s="16">
        <v>12849</v>
      </c>
      <c r="AO22" s="16">
        <v>12890</v>
      </c>
      <c r="AP22" s="16">
        <v>12915</v>
      </c>
      <c r="AQ22" s="16">
        <v>12916</v>
      </c>
      <c r="AR22" s="16">
        <v>12924</v>
      </c>
      <c r="AS22" s="16">
        <v>12972</v>
      </c>
      <c r="AT22" s="16">
        <v>12967</v>
      </c>
      <c r="AU22" s="16">
        <v>13000</v>
      </c>
      <c r="AV22" s="16">
        <v>12948</v>
      </c>
      <c r="AW22" s="16">
        <v>12949</v>
      </c>
      <c r="AX22" s="16">
        <v>12953</v>
      </c>
      <c r="AY22" s="16">
        <v>12940</v>
      </c>
      <c r="AZ22" s="16">
        <v>12937</v>
      </c>
      <c r="BA22" s="16">
        <v>12919</v>
      </c>
      <c r="BB22" s="16">
        <v>17074</v>
      </c>
      <c r="BC22" s="16">
        <v>17137</v>
      </c>
      <c r="BD22" s="16">
        <v>17173</v>
      </c>
      <c r="BE22" s="16">
        <v>17141</v>
      </c>
      <c r="BF22" s="16">
        <v>17144</v>
      </c>
      <c r="BG22" s="16">
        <v>12149</v>
      </c>
      <c r="BH22" s="16">
        <v>12132</v>
      </c>
      <c r="BI22" s="16">
        <v>7188</v>
      </c>
      <c r="BJ22" s="16">
        <v>7164</v>
      </c>
      <c r="BK22" s="16">
        <v>7149</v>
      </c>
      <c r="BL22" s="16">
        <v>7154</v>
      </c>
      <c r="BM22" s="16">
        <v>7193</v>
      </c>
      <c r="BN22" s="16">
        <v>7190</v>
      </c>
      <c r="BO22" s="16">
        <v>7152</v>
      </c>
      <c r="BP22" s="16">
        <v>7103</v>
      </c>
      <c r="BQ22" s="16">
        <v>7084</v>
      </c>
      <c r="BR22" s="16">
        <v>7094</v>
      </c>
      <c r="BS22" s="16">
        <v>7087</v>
      </c>
      <c r="BT22" s="16">
        <v>7114</v>
      </c>
      <c r="BU22" s="16">
        <v>7063</v>
      </c>
      <c r="BV22" s="16">
        <v>7056</v>
      </c>
      <c r="BW22" s="16">
        <v>7076</v>
      </c>
      <c r="BX22" s="16">
        <v>7097</v>
      </c>
      <c r="BY22" s="16">
        <v>7004</v>
      </c>
      <c r="BZ22" s="16">
        <v>7045</v>
      </c>
      <c r="CA22" s="16">
        <v>7041</v>
      </c>
      <c r="CB22" s="16">
        <v>7037</v>
      </c>
      <c r="CC22" s="16">
        <v>7055</v>
      </c>
      <c r="CD22" s="16">
        <v>7109</v>
      </c>
      <c r="CE22" s="16">
        <v>4097</v>
      </c>
      <c r="CF22" s="16">
        <v>7113</v>
      </c>
      <c r="CG22" s="16">
        <v>7081</v>
      </c>
      <c r="CH22" s="16">
        <v>7092</v>
      </c>
      <c r="CI22" s="16">
        <v>7099</v>
      </c>
      <c r="CJ22" s="16">
        <v>7352</v>
      </c>
      <c r="CK22" s="14">
        <v>7269</v>
      </c>
      <c r="CL22" s="14">
        <v>7089</v>
      </c>
      <c r="CM22" s="14">
        <v>7119</v>
      </c>
      <c r="CN22" s="14">
        <v>7302</v>
      </c>
      <c r="CO22" s="14">
        <v>7336</v>
      </c>
      <c r="CP22" s="13">
        <v>7390</v>
      </c>
      <c r="CQ22" s="13">
        <v>7457</v>
      </c>
      <c r="CR22" s="13">
        <v>7163</v>
      </c>
      <c r="CS22" s="13">
        <v>7208</v>
      </c>
      <c r="CT22" s="13">
        <v>7263</v>
      </c>
      <c r="CU22" s="13">
        <v>7306</v>
      </c>
      <c r="CV22" s="13">
        <v>7303</v>
      </c>
      <c r="CW22" s="13">
        <v>7327</v>
      </c>
      <c r="CX22" s="13">
        <v>7048</v>
      </c>
      <c r="CY22" s="13">
        <v>7070</v>
      </c>
      <c r="CZ22" s="13">
        <v>7125</v>
      </c>
      <c r="DA22" s="13">
        <v>7144</v>
      </c>
      <c r="DB22" s="13">
        <v>7200</v>
      </c>
      <c r="DC22" s="13">
        <v>7232</v>
      </c>
      <c r="DD22" s="13">
        <v>4003</v>
      </c>
      <c r="DE22" s="13">
        <v>4001</v>
      </c>
      <c r="DF22" s="13">
        <v>4043</v>
      </c>
      <c r="DG22" s="13">
        <v>4030</v>
      </c>
      <c r="DH22" s="13">
        <v>4058</v>
      </c>
      <c r="DI22" s="13">
        <v>4091</v>
      </c>
      <c r="DJ22" s="13">
        <v>0</v>
      </c>
      <c r="DK22" s="13">
        <v>0</v>
      </c>
      <c r="DL22" s="13">
        <v>0</v>
      </c>
      <c r="DM22" s="13">
        <v>0</v>
      </c>
      <c r="DN22" s="13">
        <v>0</v>
      </c>
      <c r="DO22" s="13">
        <v>0</v>
      </c>
      <c r="DP22" s="13">
        <v>0</v>
      </c>
      <c r="DQ22" s="13">
        <v>0</v>
      </c>
      <c r="DR22" s="13">
        <v>0</v>
      </c>
      <c r="DS22" s="13">
        <v>0</v>
      </c>
      <c r="DT22" s="13">
        <v>0</v>
      </c>
      <c r="DU22" s="13">
        <v>0</v>
      </c>
      <c r="DV22" s="13">
        <v>0</v>
      </c>
      <c r="DW22" s="13">
        <v>0</v>
      </c>
      <c r="DX22" s="13">
        <v>0</v>
      </c>
      <c r="DY22" s="13">
        <v>0</v>
      </c>
      <c r="DZ22" s="13">
        <v>0</v>
      </c>
      <c r="EA22" s="13">
        <v>0</v>
      </c>
      <c r="EB22" s="13">
        <v>0</v>
      </c>
      <c r="EC22" s="13">
        <v>0</v>
      </c>
      <c r="ED22" s="13">
        <v>0</v>
      </c>
      <c r="EE22" s="13">
        <v>0</v>
      </c>
      <c r="EF22" s="13">
        <v>0</v>
      </c>
      <c r="EG22" s="13">
        <v>0</v>
      </c>
      <c r="EH22" s="13">
        <v>0</v>
      </c>
      <c r="EI22" s="13">
        <v>0</v>
      </c>
      <c r="EJ22" s="13">
        <v>0</v>
      </c>
      <c r="EK22" s="25">
        <f t="shared" si="0"/>
        <v>0</v>
      </c>
      <c r="EL22" s="13">
        <v>0</v>
      </c>
      <c r="EM22" s="25">
        <f t="shared" si="1"/>
        <v>0</v>
      </c>
      <c r="EN22" s="13">
        <v>0</v>
      </c>
      <c r="EO22" s="25">
        <f t="shared" si="2"/>
        <v>0</v>
      </c>
      <c r="EP22" s="13">
        <v>0</v>
      </c>
      <c r="EQ22" s="25">
        <f t="shared" si="3"/>
        <v>0</v>
      </c>
      <c r="ER22" s="13">
        <v>0</v>
      </c>
      <c r="ES22" s="25">
        <f t="shared" si="4"/>
        <v>0</v>
      </c>
      <c r="ET22" s="13">
        <v>0</v>
      </c>
      <c r="EU22" s="25">
        <f t="shared" si="5"/>
        <v>0</v>
      </c>
      <c r="EV22" s="13">
        <v>0</v>
      </c>
      <c r="EW22" s="13">
        <v>0</v>
      </c>
      <c r="EX22" s="13">
        <v>0</v>
      </c>
      <c r="EY22" s="13">
        <v>0</v>
      </c>
      <c r="EZ22" s="13">
        <v>0</v>
      </c>
      <c r="FA22" s="13">
        <v>0</v>
      </c>
      <c r="FB22" s="13">
        <v>0</v>
      </c>
      <c r="FC22" s="13">
        <v>0</v>
      </c>
      <c r="FD22" s="13">
        <v>0</v>
      </c>
      <c r="FE22" s="13">
        <v>0</v>
      </c>
      <c r="FF22" s="13">
        <v>0</v>
      </c>
      <c r="FG22" s="13">
        <v>0</v>
      </c>
      <c r="FH22" s="13">
        <v>0</v>
      </c>
      <c r="FI22" s="13">
        <v>0</v>
      </c>
    </row>
    <row r="23" spans="1:165" x14ac:dyDescent="0.4">
      <c r="A23" s="35" t="s">
        <v>13</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s="16">
        <v>0</v>
      </c>
      <c r="BV23" s="16">
        <v>0</v>
      </c>
      <c r="BW23" s="16">
        <v>0</v>
      </c>
      <c r="BX23" s="16">
        <v>0</v>
      </c>
      <c r="BY23" s="16">
        <v>0</v>
      </c>
      <c r="BZ23" s="16">
        <v>0</v>
      </c>
      <c r="CA23" s="16">
        <v>0</v>
      </c>
      <c r="CB23" s="16">
        <v>0</v>
      </c>
      <c r="CC23" s="16">
        <v>0</v>
      </c>
      <c r="CD23" s="16">
        <v>0</v>
      </c>
      <c r="CE23" s="16">
        <v>0</v>
      </c>
      <c r="CF23" s="16">
        <v>0</v>
      </c>
      <c r="CG23" s="16">
        <v>0</v>
      </c>
      <c r="CH23" s="16">
        <v>0</v>
      </c>
      <c r="CI23" s="16">
        <v>0</v>
      </c>
      <c r="CJ23" s="16">
        <v>0</v>
      </c>
      <c r="CK23" s="16">
        <v>0</v>
      </c>
      <c r="CL23" s="16">
        <v>0</v>
      </c>
      <c r="CM23" s="16">
        <v>0</v>
      </c>
      <c r="CN23" s="16">
        <v>0</v>
      </c>
      <c r="CO23" s="16">
        <v>0</v>
      </c>
      <c r="CP23" s="16">
        <v>0</v>
      </c>
      <c r="CQ23" s="16">
        <v>0</v>
      </c>
      <c r="CR23" s="16">
        <v>0</v>
      </c>
      <c r="CS23" s="16">
        <v>0</v>
      </c>
      <c r="CT23" s="16">
        <v>0</v>
      </c>
      <c r="CU23" s="16">
        <v>0</v>
      </c>
      <c r="CV23" s="16">
        <v>0</v>
      </c>
      <c r="CW23" s="16">
        <v>0</v>
      </c>
      <c r="CX23" s="16">
        <v>0</v>
      </c>
      <c r="CY23" s="16">
        <v>0</v>
      </c>
      <c r="CZ23" s="16">
        <v>0</v>
      </c>
      <c r="DA23" s="16">
        <v>0</v>
      </c>
      <c r="DB23" s="16">
        <v>0</v>
      </c>
      <c r="DC23" s="16">
        <v>0</v>
      </c>
      <c r="DD23" s="16">
        <v>0</v>
      </c>
      <c r="DE23" s="16">
        <v>0</v>
      </c>
      <c r="DF23" s="16">
        <v>0</v>
      </c>
      <c r="DG23" s="16">
        <v>0</v>
      </c>
      <c r="DH23" s="16">
        <v>0</v>
      </c>
      <c r="DI23" s="16">
        <v>0</v>
      </c>
      <c r="DJ23" s="13">
        <v>0</v>
      </c>
      <c r="DK23" s="13">
        <v>0</v>
      </c>
      <c r="DL23" s="13">
        <v>0</v>
      </c>
      <c r="DM23" s="13">
        <v>0</v>
      </c>
      <c r="DN23" s="13">
        <v>0</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0</v>
      </c>
      <c r="EI23" s="13">
        <v>0</v>
      </c>
      <c r="EJ23" s="13">
        <v>0</v>
      </c>
      <c r="EK23" s="25">
        <f t="shared" si="0"/>
        <v>0</v>
      </c>
      <c r="EL23" s="13">
        <v>0</v>
      </c>
      <c r="EM23" s="25">
        <f t="shared" si="1"/>
        <v>0</v>
      </c>
      <c r="EN23" s="13">
        <v>0</v>
      </c>
      <c r="EO23" s="25">
        <f t="shared" si="2"/>
        <v>0</v>
      </c>
      <c r="EP23" s="13">
        <v>0</v>
      </c>
      <c r="EQ23" s="25">
        <f t="shared" si="3"/>
        <v>0</v>
      </c>
      <c r="ER23" s="13">
        <v>0</v>
      </c>
      <c r="ES23" s="25">
        <f t="shared" si="4"/>
        <v>0</v>
      </c>
      <c r="ET23" s="13">
        <v>0</v>
      </c>
      <c r="EU23" s="25">
        <f t="shared" si="5"/>
        <v>0</v>
      </c>
      <c r="EV23" s="13">
        <v>0</v>
      </c>
      <c r="EW23" s="13">
        <v>0</v>
      </c>
      <c r="EX23" s="13">
        <v>0</v>
      </c>
      <c r="EY23" s="13">
        <v>0</v>
      </c>
      <c r="EZ23" s="13">
        <v>0</v>
      </c>
      <c r="FA23" s="13">
        <v>0</v>
      </c>
      <c r="FB23" s="13">
        <v>0</v>
      </c>
      <c r="FC23" s="13">
        <v>0</v>
      </c>
      <c r="FD23" s="13">
        <v>0</v>
      </c>
      <c r="FE23" s="13">
        <v>0</v>
      </c>
      <c r="FF23" s="13">
        <v>0</v>
      </c>
      <c r="FG23" s="13">
        <v>0</v>
      </c>
      <c r="FH23" s="13">
        <v>0</v>
      </c>
      <c r="FI23" s="13">
        <v>0</v>
      </c>
    </row>
    <row r="24" spans="1:165" x14ac:dyDescent="0.4">
      <c r="A24" s="35" t="s">
        <v>14</v>
      </c>
      <c r="B24" s="16">
        <v>15035</v>
      </c>
      <c r="C24" s="16">
        <v>15065</v>
      </c>
      <c r="D24" s="16">
        <v>15077</v>
      </c>
      <c r="E24" s="16">
        <v>15099</v>
      </c>
      <c r="F24" s="16">
        <v>18127</v>
      </c>
      <c r="G24" s="16">
        <v>18160</v>
      </c>
      <c r="H24" s="16">
        <v>18137</v>
      </c>
      <c r="I24" s="16">
        <v>18128</v>
      </c>
      <c r="J24" s="16">
        <v>18126</v>
      </c>
      <c r="K24" s="16">
        <v>18118</v>
      </c>
      <c r="L24" s="16">
        <v>18117</v>
      </c>
      <c r="M24" s="16">
        <v>18061</v>
      </c>
      <c r="N24" s="16">
        <v>18099</v>
      </c>
      <c r="O24" s="16">
        <v>18039</v>
      </c>
      <c r="P24" s="16">
        <v>18045</v>
      </c>
      <c r="Q24" s="16">
        <v>17988</v>
      </c>
      <c r="R24" s="16">
        <v>17919</v>
      </c>
      <c r="S24" s="16">
        <v>17914</v>
      </c>
      <c r="T24" s="16">
        <v>17889</v>
      </c>
      <c r="U24" s="16">
        <v>17893</v>
      </c>
      <c r="V24" s="16">
        <v>17754</v>
      </c>
      <c r="W24" s="16">
        <v>17859</v>
      </c>
      <c r="X24" s="16">
        <v>17786</v>
      </c>
      <c r="Y24" s="16">
        <v>12785</v>
      </c>
      <c r="Z24" s="16">
        <v>12610</v>
      </c>
      <c r="AA24" s="16">
        <v>12512</v>
      </c>
      <c r="AB24" s="16">
        <v>12605</v>
      </c>
      <c r="AC24" s="16">
        <v>12801</v>
      </c>
      <c r="AD24" s="16">
        <v>12833</v>
      </c>
      <c r="AE24" s="16">
        <v>12903</v>
      </c>
      <c r="AF24" s="16">
        <v>12931</v>
      </c>
      <c r="AG24" s="16">
        <v>12963</v>
      </c>
      <c r="AH24" s="16">
        <v>12962</v>
      </c>
      <c r="AI24" s="16">
        <v>12793</v>
      </c>
      <c r="AJ24" s="16">
        <v>12679</v>
      </c>
      <c r="AK24" s="16">
        <v>12687</v>
      </c>
      <c r="AL24" s="16">
        <v>12774</v>
      </c>
      <c r="AM24" s="16">
        <v>12793</v>
      </c>
      <c r="AN24" s="16">
        <v>12849</v>
      </c>
      <c r="AO24" s="16">
        <v>12890</v>
      </c>
      <c r="AP24" s="16">
        <v>12915</v>
      </c>
      <c r="AQ24" s="16">
        <v>12916</v>
      </c>
      <c r="AR24" s="16">
        <v>12924</v>
      </c>
      <c r="AS24" s="16">
        <v>12972</v>
      </c>
      <c r="AT24" s="16">
        <v>12967</v>
      </c>
      <c r="AU24" s="16">
        <v>13000</v>
      </c>
      <c r="AV24" s="16">
        <v>12948</v>
      </c>
      <c r="AW24" s="16">
        <v>12949</v>
      </c>
      <c r="AX24" s="16">
        <v>12953</v>
      </c>
      <c r="AY24" s="16">
        <v>12940</v>
      </c>
      <c r="AZ24" s="16">
        <v>12937</v>
      </c>
      <c r="BA24" s="16">
        <v>12919</v>
      </c>
      <c r="BB24" s="16">
        <v>17074</v>
      </c>
      <c r="BC24" s="16">
        <v>17137</v>
      </c>
      <c r="BD24" s="16">
        <v>17173</v>
      </c>
      <c r="BE24" s="16">
        <v>17141</v>
      </c>
      <c r="BF24" s="16">
        <v>17144</v>
      </c>
      <c r="BG24" s="16">
        <v>12149</v>
      </c>
      <c r="BH24" s="16">
        <v>12132</v>
      </c>
      <c r="BI24" s="16">
        <v>7188</v>
      </c>
      <c r="BJ24" s="16">
        <v>7164</v>
      </c>
      <c r="BK24" s="16">
        <v>7149</v>
      </c>
      <c r="BL24" s="16">
        <v>7154</v>
      </c>
      <c r="BM24" s="16">
        <v>7193</v>
      </c>
      <c r="BN24" s="16">
        <v>7190</v>
      </c>
      <c r="BO24" s="16">
        <v>7152</v>
      </c>
      <c r="BP24" s="16">
        <v>7103</v>
      </c>
      <c r="BQ24" s="16">
        <v>7084</v>
      </c>
      <c r="BR24" s="16">
        <v>7094</v>
      </c>
      <c r="BS24" s="16">
        <v>7087</v>
      </c>
      <c r="BT24" s="16">
        <v>7114</v>
      </c>
      <c r="BU24" s="16">
        <v>7063</v>
      </c>
      <c r="BV24" s="16">
        <v>7056</v>
      </c>
      <c r="BW24" s="16">
        <v>7076</v>
      </c>
      <c r="BX24" s="16">
        <v>7097</v>
      </c>
      <c r="BY24" s="16">
        <v>7004</v>
      </c>
      <c r="BZ24" s="16">
        <v>7045</v>
      </c>
      <c r="CA24" s="16">
        <v>7041</v>
      </c>
      <c r="CB24" s="16">
        <v>7037</v>
      </c>
      <c r="CC24" s="16">
        <v>7055</v>
      </c>
      <c r="CD24" s="16">
        <v>7109</v>
      </c>
      <c r="CE24" s="16">
        <v>4097</v>
      </c>
      <c r="CF24" s="16">
        <v>7113</v>
      </c>
      <c r="CG24" s="16">
        <v>7081</v>
      </c>
      <c r="CH24" s="16">
        <v>7092</v>
      </c>
      <c r="CI24" s="16">
        <v>7099</v>
      </c>
      <c r="CJ24" s="16">
        <v>7352</v>
      </c>
      <c r="CK24" s="14">
        <v>7269</v>
      </c>
      <c r="CL24" s="14">
        <v>7089</v>
      </c>
      <c r="CM24" s="14">
        <v>7119</v>
      </c>
      <c r="CN24" s="14">
        <v>7302</v>
      </c>
      <c r="CO24" s="14">
        <v>7336</v>
      </c>
      <c r="CP24" s="13">
        <v>7390</v>
      </c>
      <c r="CQ24" s="13">
        <v>7457</v>
      </c>
      <c r="CR24" s="13">
        <v>7163</v>
      </c>
      <c r="CS24" s="13">
        <v>7208</v>
      </c>
      <c r="CT24" s="13">
        <v>7263</v>
      </c>
      <c r="CU24" s="13">
        <v>7306</v>
      </c>
      <c r="CV24" s="13">
        <v>7303</v>
      </c>
      <c r="CW24" s="13">
        <v>7327</v>
      </c>
      <c r="CX24" s="13">
        <v>7048</v>
      </c>
      <c r="CY24" s="13">
        <v>7070</v>
      </c>
      <c r="CZ24" s="13">
        <v>7125</v>
      </c>
      <c r="DA24" s="13">
        <v>7144</v>
      </c>
      <c r="DB24" s="13">
        <v>7200</v>
      </c>
      <c r="DC24" s="13">
        <v>7232</v>
      </c>
      <c r="DD24" s="13">
        <v>4003</v>
      </c>
      <c r="DE24" s="13">
        <v>4001</v>
      </c>
      <c r="DF24" s="13">
        <v>4043</v>
      </c>
      <c r="DG24" s="13">
        <v>4030</v>
      </c>
      <c r="DH24" s="13">
        <v>4058</v>
      </c>
      <c r="DI24" s="13">
        <v>4091</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25">
        <f t="shared" si="0"/>
        <v>0</v>
      </c>
      <c r="EL24" s="13">
        <v>0</v>
      </c>
      <c r="EM24" s="25">
        <f t="shared" si="1"/>
        <v>0</v>
      </c>
      <c r="EN24" s="13">
        <v>0</v>
      </c>
      <c r="EO24" s="25">
        <f t="shared" si="2"/>
        <v>0</v>
      </c>
      <c r="EP24" s="13">
        <v>0</v>
      </c>
      <c r="EQ24" s="25">
        <f t="shared" si="3"/>
        <v>0</v>
      </c>
      <c r="ER24" s="13">
        <v>0</v>
      </c>
      <c r="ES24" s="25">
        <f t="shared" si="4"/>
        <v>0</v>
      </c>
      <c r="ET24" s="13">
        <v>0</v>
      </c>
      <c r="EU24" s="25">
        <f t="shared" si="5"/>
        <v>0</v>
      </c>
      <c r="EV24" s="13">
        <v>0</v>
      </c>
      <c r="EW24" s="13">
        <v>0</v>
      </c>
      <c r="EX24" s="13">
        <v>0</v>
      </c>
      <c r="EY24" s="13">
        <v>0</v>
      </c>
      <c r="EZ24" s="13">
        <v>0</v>
      </c>
      <c r="FA24" s="13">
        <v>0</v>
      </c>
      <c r="FB24" s="13">
        <v>0</v>
      </c>
      <c r="FC24" s="13">
        <v>0</v>
      </c>
      <c r="FD24" s="13">
        <v>0</v>
      </c>
      <c r="FE24" s="13">
        <v>0</v>
      </c>
      <c r="FF24" s="13">
        <v>0</v>
      </c>
      <c r="FG24" s="13">
        <v>0</v>
      </c>
      <c r="FH24" s="13">
        <v>0</v>
      </c>
      <c r="FI24" s="13">
        <v>0</v>
      </c>
    </row>
    <row r="25" spans="1:165" x14ac:dyDescent="0.4">
      <c r="A25" s="35" t="s">
        <v>27</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v>0</v>
      </c>
      <c r="BW25" s="16">
        <v>0</v>
      </c>
      <c r="BX25" s="16">
        <v>0</v>
      </c>
      <c r="BY25" s="16">
        <v>0</v>
      </c>
      <c r="BZ25" s="16">
        <v>0</v>
      </c>
      <c r="CA25" s="16">
        <v>0</v>
      </c>
      <c r="CB25" s="16">
        <v>0</v>
      </c>
      <c r="CC25" s="16">
        <v>0</v>
      </c>
      <c r="CD25" s="16">
        <v>0</v>
      </c>
      <c r="CE25" s="16">
        <v>0</v>
      </c>
      <c r="CF25" s="16">
        <v>0</v>
      </c>
      <c r="CG25" s="16">
        <v>0</v>
      </c>
      <c r="CH25" s="16">
        <v>0</v>
      </c>
      <c r="CI25" s="16">
        <v>0</v>
      </c>
      <c r="CJ25" s="16">
        <v>0</v>
      </c>
      <c r="CK25" s="14">
        <v>0</v>
      </c>
      <c r="CL25" s="14">
        <v>0</v>
      </c>
      <c r="CM25" s="14">
        <v>0</v>
      </c>
      <c r="CN25" s="14">
        <v>0</v>
      </c>
      <c r="CO25" s="14">
        <v>0</v>
      </c>
      <c r="CP25" s="13">
        <v>0</v>
      </c>
      <c r="CQ25" s="13">
        <v>0</v>
      </c>
      <c r="CR25" s="13">
        <v>0</v>
      </c>
      <c r="CS25" s="13">
        <v>0</v>
      </c>
      <c r="CT25" s="13">
        <v>0</v>
      </c>
      <c r="CU25" s="13">
        <v>0</v>
      </c>
      <c r="CV25" s="13">
        <v>0</v>
      </c>
      <c r="CW25" s="13">
        <v>0</v>
      </c>
      <c r="CX25" s="13">
        <v>4018</v>
      </c>
      <c r="CY25" s="13">
        <v>4023</v>
      </c>
      <c r="CZ25" s="13">
        <v>4054</v>
      </c>
      <c r="DA25" s="13">
        <v>4060</v>
      </c>
      <c r="DB25" s="13">
        <v>4094</v>
      </c>
      <c r="DC25" s="13">
        <v>4109</v>
      </c>
      <c r="DD25" s="13">
        <v>4003</v>
      </c>
      <c r="DE25" s="13">
        <v>4001</v>
      </c>
      <c r="DF25" s="13">
        <v>4043</v>
      </c>
      <c r="DG25" s="13">
        <v>4030</v>
      </c>
      <c r="DH25" s="13">
        <v>4058</v>
      </c>
      <c r="DI25" s="13">
        <v>4091</v>
      </c>
      <c r="DJ25" s="13">
        <v>0</v>
      </c>
      <c r="DK25" s="13">
        <v>0</v>
      </c>
      <c r="DL25" s="13">
        <v>0</v>
      </c>
      <c r="DM25" s="13">
        <v>0</v>
      </c>
      <c r="DN25" s="13">
        <v>0</v>
      </c>
      <c r="DO25" s="13">
        <v>0</v>
      </c>
      <c r="DP25" s="13">
        <v>0</v>
      </c>
      <c r="DQ25" s="13">
        <v>0</v>
      </c>
      <c r="DR25" s="13">
        <v>0</v>
      </c>
      <c r="DS25" s="13">
        <v>0</v>
      </c>
      <c r="DT25" s="13">
        <v>0</v>
      </c>
      <c r="DU25" s="13">
        <v>0</v>
      </c>
      <c r="DV25" s="13">
        <v>0</v>
      </c>
      <c r="DW25" s="13">
        <v>0</v>
      </c>
      <c r="DX25" s="13">
        <v>0</v>
      </c>
      <c r="DY25" s="13">
        <v>0</v>
      </c>
      <c r="DZ25" s="13">
        <v>0</v>
      </c>
      <c r="EA25" s="13">
        <v>0</v>
      </c>
      <c r="EB25" s="13">
        <v>0</v>
      </c>
      <c r="EC25" s="13">
        <v>0</v>
      </c>
      <c r="ED25" s="13">
        <v>0</v>
      </c>
      <c r="EE25" s="13">
        <v>0</v>
      </c>
      <c r="EF25" s="13">
        <v>0</v>
      </c>
      <c r="EG25" s="13">
        <v>0</v>
      </c>
      <c r="EH25" s="13">
        <v>0</v>
      </c>
      <c r="EI25" s="13">
        <v>0</v>
      </c>
      <c r="EJ25" s="13">
        <v>0</v>
      </c>
      <c r="EK25" s="25">
        <f t="shared" si="0"/>
        <v>0</v>
      </c>
      <c r="EL25" s="13">
        <v>0</v>
      </c>
      <c r="EM25" s="25">
        <f t="shared" si="1"/>
        <v>0</v>
      </c>
      <c r="EN25" s="13">
        <v>0</v>
      </c>
      <c r="EO25" s="25">
        <f t="shared" si="2"/>
        <v>0</v>
      </c>
      <c r="EP25" s="13">
        <v>0</v>
      </c>
      <c r="EQ25" s="25">
        <f t="shared" si="3"/>
        <v>0</v>
      </c>
      <c r="ER25" s="13">
        <v>0</v>
      </c>
      <c r="ES25" s="25">
        <f t="shared" si="4"/>
        <v>0</v>
      </c>
      <c r="ET25" s="13">
        <v>0</v>
      </c>
      <c r="EU25" s="25">
        <f t="shared" si="5"/>
        <v>0</v>
      </c>
      <c r="EV25" s="13">
        <v>0</v>
      </c>
      <c r="EW25" s="13">
        <v>0</v>
      </c>
      <c r="EX25" s="13">
        <v>0</v>
      </c>
      <c r="EY25" s="13">
        <v>0</v>
      </c>
      <c r="EZ25" s="13">
        <v>0</v>
      </c>
      <c r="FA25" s="13">
        <v>0</v>
      </c>
      <c r="FB25" s="13">
        <v>0</v>
      </c>
      <c r="FC25" s="13">
        <v>0</v>
      </c>
      <c r="FD25" s="13">
        <v>0</v>
      </c>
      <c r="FE25" s="13">
        <v>0</v>
      </c>
      <c r="FF25" s="13">
        <v>0</v>
      </c>
      <c r="FG25" s="13">
        <v>0</v>
      </c>
      <c r="FH25" s="13">
        <v>0</v>
      </c>
      <c r="FI25" s="13">
        <v>0</v>
      </c>
    </row>
    <row r="26" spans="1:165" x14ac:dyDescent="0.4">
      <c r="A26" s="35" t="s">
        <v>30</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v>7056</v>
      </c>
      <c r="BW26" s="16">
        <v>7076</v>
      </c>
      <c r="BX26" s="16">
        <v>7097</v>
      </c>
      <c r="BY26" s="16">
        <v>7004</v>
      </c>
      <c r="BZ26" s="16">
        <v>7045</v>
      </c>
      <c r="CA26" s="16">
        <v>7041</v>
      </c>
      <c r="CB26" s="16">
        <v>7037</v>
      </c>
      <c r="CC26" s="16">
        <v>7055</v>
      </c>
      <c r="CD26" s="16">
        <v>7109</v>
      </c>
      <c r="CE26" s="16">
        <v>4097</v>
      </c>
      <c r="CF26" s="16">
        <v>7113</v>
      </c>
      <c r="CG26" s="16">
        <v>7081</v>
      </c>
      <c r="CH26" s="16">
        <v>7092</v>
      </c>
      <c r="CI26" s="16">
        <v>7099</v>
      </c>
      <c r="CJ26" s="16">
        <v>7352</v>
      </c>
      <c r="CK26" s="14">
        <v>7269</v>
      </c>
      <c r="CL26" s="14">
        <v>7089</v>
      </c>
      <c r="CM26" s="14">
        <v>7119</v>
      </c>
      <c r="CN26" s="14">
        <v>7302</v>
      </c>
      <c r="CO26" s="14">
        <v>7336</v>
      </c>
      <c r="CP26" s="13">
        <v>7390</v>
      </c>
      <c r="CQ26" s="13">
        <v>7457</v>
      </c>
      <c r="CR26" s="13">
        <v>7163</v>
      </c>
      <c r="CS26" s="13">
        <v>7208</v>
      </c>
      <c r="CT26" s="13">
        <v>7263</v>
      </c>
      <c r="CU26" s="13">
        <v>7306</v>
      </c>
      <c r="CV26" s="13">
        <v>7303</v>
      </c>
      <c r="CW26" s="13">
        <v>7327</v>
      </c>
      <c r="CX26" s="13">
        <v>3029</v>
      </c>
      <c r="CY26" s="13">
        <v>3048</v>
      </c>
      <c r="CZ26" s="13">
        <v>3070</v>
      </c>
      <c r="DA26" s="13">
        <v>3084</v>
      </c>
      <c r="DB26" s="13">
        <v>3105</v>
      </c>
      <c r="DC26" s="13">
        <v>3123</v>
      </c>
      <c r="DD26" s="13">
        <v>0</v>
      </c>
      <c r="DE26" s="13">
        <v>0</v>
      </c>
      <c r="DF26" s="13">
        <v>0</v>
      </c>
      <c r="DG26" s="13">
        <v>0</v>
      </c>
      <c r="DH26" s="13">
        <v>0</v>
      </c>
      <c r="DI26" s="13">
        <v>0</v>
      </c>
      <c r="DJ26" s="13">
        <v>0</v>
      </c>
      <c r="DK26" s="13">
        <v>0</v>
      </c>
      <c r="DL26" s="13">
        <v>0</v>
      </c>
      <c r="DM26" s="13">
        <v>0</v>
      </c>
      <c r="DN26" s="13">
        <v>0</v>
      </c>
      <c r="DO26" s="13">
        <v>0</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25">
        <f t="shared" si="0"/>
        <v>0</v>
      </c>
      <c r="EL26" s="13">
        <v>0</v>
      </c>
      <c r="EM26" s="25">
        <f t="shared" si="1"/>
        <v>0</v>
      </c>
      <c r="EN26" s="13">
        <v>0</v>
      </c>
      <c r="EO26" s="25">
        <f t="shared" si="2"/>
        <v>0</v>
      </c>
      <c r="EP26" s="13">
        <v>0</v>
      </c>
      <c r="EQ26" s="25">
        <f t="shared" si="3"/>
        <v>0</v>
      </c>
      <c r="ER26" s="13">
        <v>0</v>
      </c>
      <c r="ES26" s="25">
        <f t="shared" si="4"/>
        <v>0</v>
      </c>
      <c r="ET26" s="13">
        <v>0</v>
      </c>
      <c r="EU26" s="25">
        <f t="shared" si="5"/>
        <v>0</v>
      </c>
      <c r="EV26" s="13">
        <v>0</v>
      </c>
      <c r="EW26" s="13">
        <v>0</v>
      </c>
      <c r="EX26" s="13">
        <v>0</v>
      </c>
      <c r="EY26" s="13">
        <v>0</v>
      </c>
      <c r="EZ26" s="13">
        <v>0</v>
      </c>
      <c r="FA26" s="13">
        <v>0</v>
      </c>
      <c r="FB26" s="13">
        <v>0</v>
      </c>
      <c r="FC26" s="13">
        <v>0</v>
      </c>
      <c r="FD26" s="13">
        <v>0</v>
      </c>
      <c r="FE26" s="13">
        <v>0</v>
      </c>
      <c r="FF26" s="13">
        <v>0</v>
      </c>
      <c r="FG26" s="13">
        <v>0</v>
      </c>
      <c r="FH26" s="13">
        <v>0</v>
      </c>
      <c r="FI26" s="13">
        <v>0</v>
      </c>
    </row>
    <row r="27" spans="1:165" x14ac:dyDescent="0.4">
      <c r="A27" s="34" t="s">
        <v>5</v>
      </c>
      <c r="B27" s="16">
        <v>1046484</v>
      </c>
      <c r="C27" s="16">
        <v>1051198</v>
      </c>
      <c r="D27" s="16">
        <v>1086529</v>
      </c>
      <c r="E27" s="16">
        <v>1138663</v>
      </c>
      <c r="F27" s="16">
        <v>1153049</v>
      </c>
      <c r="G27" s="16">
        <v>1157645</v>
      </c>
      <c r="H27" s="16">
        <v>1173658</v>
      </c>
      <c r="I27" s="16">
        <v>1191245</v>
      </c>
      <c r="J27" s="16">
        <v>1226163</v>
      </c>
      <c r="K27" s="16">
        <v>1266500</v>
      </c>
      <c r="L27" s="16">
        <v>1305852</v>
      </c>
      <c r="M27" s="16">
        <v>1312740</v>
      </c>
      <c r="N27" s="16">
        <v>1318917</v>
      </c>
      <c r="O27" s="16">
        <v>1437428</v>
      </c>
      <c r="P27" s="16">
        <v>1493004</v>
      </c>
      <c r="Q27" s="16">
        <v>1466375</v>
      </c>
      <c r="R27" s="16">
        <v>1505080</v>
      </c>
      <c r="S27" s="16">
        <v>1506878</v>
      </c>
      <c r="T27" s="16">
        <v>1492451</v>
      </c>
      <c r="U27" s="16">
        <v>1696587</v>
      </c>
      <c r="V27" s="16">
        <v>1677629</v>
      </c>
      <c r="W27" s="16">
        <v>1675078</v>
      </c>
      <c r="X27" s="16">
        <v>1673099</v>
      </c>
      <c r="Y27" s="16">
        <v>1684502</v>
      </c>
      <c r="Z27" s="16">
        <v>1789995</v>
      </c>
      <c r="AA27" s="16">
        <v>1836517</v>
      </c>
      <c r="AB27" s="16">
        <v>1800905</v>
      </c>
      <c r="AC27" s="16">
        <v>1810838</v>
      </c>
      <c r="AD27" s="16">
        <v>1824333</v>
      </c>
      <c r="AE27" s="16">
        <v>1861451</v>
      </c>
      <c r="AF27" s="16">
        <v>1875222</v>
      </c>
      <c r="AG27" s="16">
        <v>1937224</v>
      </c>
      <c r="AH27" s="16">
        <v>1989333</v>
      </c>
      <c r="AI27" s="16">
        <v>2007058</v>
      </c>
      <c r="AJ27" s="16">
        <v>2040389</v>
      </c>
      <c r="AK27" s="16">
        <v>2078814</v>
      </c>
      <c r="AL27" s="16">
        <v>2114834</v>
      </c>
      <c r="AM27" s="16">
        <v>2142105</v>
      </c>
      <c r="AN27" s="16">
        <v>2142570</v>
      </c>
      <c r="AO27" s="16">
        <v>2145970</v>
      </c>
      <c r="AP27" s="16">
        <v>2259142</v>
      </c>
      <c r="AQ27" s="16">
        <v>2286524</v>
      </c>
      <c r="AR27" s="16">
        <v>2279398</v>
      </c>
      <c r="AS27" s="16">
        <v>2328124</v>
      </c>
      <c r="AT27" s="16">
        <v>2323168</v>
      </c>
      <c r="AU27" s="16">
        <v>2327518</v>
      </c>
      <c r="AV27" s="16">
        <v>2379162</v>
      </c>
      <c r="AW27" s="16">
        <v>2380896</v>
      </c>
      <c r="AX27" s="16">
        <v>2396325</v>
      </c>
      <c r="AY27" s="16">
        <v>2406718</v>
      </c>
      <c r="AZ27" s="16">
        <v>2445351</v>
      </c>
      <c r="BA27" s="16">
        <v>2453713</v>
      </c>
      <c r="BB27" s="16">
        <v>2478419</v>
      </c>
      <c r="BC27" s="16">
        <v>2469616</v>
      </c>
      <c r="BD27" s="16">
        <v>2622582</v>
      </c>
      <c r="BE27" s="16">
        <v>2611222</v>
      </c>
      <c r="BF27" s="16">
        <v>2686201</v>
      </c>
      <c r="BG27" s="16">
        <v>2654541</v>
      </c>
      <c r="BH27" s="16">
        <v>2626252</v>
      </c>
      <c r="BI27" s="16">
        <v>2622926</v>
      </c>
      <c r="BJ27" s="16">
        <v>2597115</v>
      </c>
      <c r="BK27" s="16">
        <v>2592303</v>
      </c>
      <c r="BL27" s="16">
        <v>2597244</v>
      </c>
      <c r="BM27" s="16">
        <v>2686548</v>
      </c>
      <c r="BN27" s="16">
        <v>2655744</v>
      </c>
      <c r="BO27" s="16">
        <v>2720054</v>
      </c>
      <c r="BP27" s="16">
        <v>2658167</v>
      </c>
      <c r="BQ27" s="16">
        <v>2591212</v>
      </c>
      <c r="BR27" s="16">
        <v>2553279</v>
      </c>
      <c r="BS27" s="16">
        <v>2466929</v>
      </c>
      <c r="BT27" s="16">
        <v>2495806</v>
      </c>
      <c r="BU27" s="16">
        <v>2446806</v>
      </c>
      <c r="BV27" s="16">
        <v>2504596</v>
      </c>
      <c r="BW27" s="16">
        <v>2585206</v>
      </c>
      <c r="BX27" s="16">
        <v>2630291</v>
      </c>
      <c r="BY27" s="16">
        <v>2701065</v>
      </c>
      <c r="BZ27" s="16">
        <v>2656882</v>
      </c>
      <c r="CA27" s="16">
        <v>2732422</v>
      </c>
      <c r="CB27" s="16">
        <v>2769962</v>
      </c>
      <c r="CC27" s="16">
        <v>2752576</v>
      </c>
      <c r="CD27" s="16">
        <v>2653850</v>
      </c>
      <c r="CE27" s="16">
        <v>2688383</v>
      </c>
      <c r="CF27" s="16">
        <v>2742172</v>
      </c>
      <c r="CG27" s="16">
        <v>2687243</v>
      </c>
      <c r="CH27" s="16">
        <v>2849612</v>
      </c>
      <c r="CI27" s="16">
        <v>2823200</v>
      </c>
      <c r="CJ27" s="16">
        <v>3083329</v>
      </c>
      <c r="CK27" s="14">
        <v>2910523</v>
      </c>
      <c r="CL27" s="14">
        <v>2921300</v>
      </c>
      <c r="CM27" s="14">
        <v>2870555</v>
      </c>
      <c r="CN27" s="14">
        <v>2900592</v>
      </c>
      <c r="CO27" s="14">
        <v>2956986</v>
      </c>
      <c r="CP27" s="13">
        <v>2936347</v>
      </c>
      <c r="CQ27" s="13">
        <v>2964760</v>
      </c>
      <c r="CR27" s="13">
        <v>2905479</v>
      </c>
      <c r="CS27" s="13">
        <v>3032757</v>
      </c>
      <c r="CT27" s="13">
        <v>3402416</v>
      </c>
      <c r="CU27" s="13">
        <v>3378899</v>
      </c>
      <c r="CV27" s="13">
        <v>3358056</v>
      </c>
      <c r="CW27" s="13">
        <v>3317787</v>
      </c>
      <c r="CX27" s="13">
        <v>3380368</v>
      </c>
      <c r="CY27" s="13">
        <v>3486843</v>
      </c>
      <c r="CZ27" s="13">
        <v>3251343</v>
      </c>
      <c r="DA27" s="13">
        <v>3260959</v>
      </c>
      <c r="DB27" s="13">
        <v>3296731</v>
      </c>
      <c r="DC27" s="13">
        <v>3379282</v>
      </c>
      <c r="DD27" s="13">
        <v>3413060</v>
      </c>
      <c r="DE27" s="13">
        <v>3552219</v>
      </c>
      <c r="DF27" s="13">
        <v>3806054</v>
      </c>
      <c r="DG27" s="13">
        <v>3770209</v>
      </c>
      <c r="DH27" s="13">
        <v>3671845</v>
      </c>
      <c r="DI27" s="13">
        <v>3548994</v>
      </c>
      <c r="DJ27" s="13">
        <v>3515565</v>
      </c>
      <c r="DK27" s="13">
        <v>3662245</v>
      </c>
      <c r="DL27" s="13">
        <v>3650938</v>
      </c>
      <c r="DM27" s="13">
        <v>3806116</v>
      </c>
      <c r="DN27" s="13">
        <v>4052046</v>
      </c>
      <c r="DO27" s="13">
        <v>4104319</v>
      </c>
      <c r="DP27" s="13">
        <v>4556542</v>
      </c>
      <c r="DQ27" s="13">
        <v>4956724</v>
      </c>
      <c r="DR27" s="13">
        <v>5668393</v>
      </c>
      <c r="DS27" s="13">
        <v>5829455</v>
      </c>
      <c r="DT27" s="13">
        <v>6005919</v>
      </c>
      <c r="DU27" s="13">
        <v>6247352</v>
      </c>
      <c r="DV27" s="13">
        <v>6565554</v>
      </c>
      <c r="DW27" s="13">
        <v>6573516</v>
      </c>
      <c r="DX27" s="13">
        <v>6826575</v>
      </c>
      <c r="DY27" s="13">
        <v>7288538</v>
      </c>
      <c r="DZ27" s="13">
        <v>7871733</v>
      </c>
      <c r="EA27" s="13">
        <v>8083853</v>
      </c>
      <c r="EB27" s="13">
        <v>8015942</v>
      </c>
      <c r="EC27" s="13">
        <v>8039358</v>
      </c>
      <c r="ED27" s="13">
        <v>9380908</v>
      </c>
      <c r="EE27" s="13">
        <v>9376300</v>
      </c>
      <c r="EF27" s="13">
        <v>9467714</v>
      </c>
      <c r="EG27" s="13">
        <v>9682724</v>
      </c>
      <c r="EH27" s="13">
        <v>9767348</v>
      </c>
      <c r="EI27" s="13">
        <v>9926070</v>
      </c>
      <c r="EJ27" s="13">
        <v>9792236</v>
      </c>
      <c r="EK27" s="25">
        <f t="shared" si="0"/>
        <v>228896</v>
      </c>
      <c r="EL27" s="13">
        <v>10021132</v>
      </c>
      <c r="EM27" s="25">
        <f t="shared" si="1"/>
        <v>153731</v>
      </c>
      <c r="EN27" s="13">
        <v>10174863</v>
      </c>
      <c r="EO27" s="25">
        <f t="shared" si="2"/>
        <v>478944</v>
      </c>
      <c r="EP27" s="13">
        <v>10653807</v>
      </c>
      <c r="EQ27" s="25">
        <f t="shared" si="3"/>
        <v>148190</v>
      </c>
      <c r="ER27" s="13">
        <v>10801997</v>
      </c>
      <c r="ES27" s="25">
        <f t="shared" si="4"/>
        <v>77787</v>
      </c>
      <c r="ET27" s="13">
        <v>10879784</v>
      </c>
      <c r="EU27" s="25">
        <f t="shared" si="5"/>
        <v>1364355</v>
      </c>
      <c r="EV27" s="13">
        <v>12244139</v>
      </c>
      <c r="EW27" s="13">
        <v>12352140</v>
      </c>
      <c r="EX27" s="13">
        <v>12254556</v>
      </c>
      <c r="EY27" s="13">
        <v>12241853</v>
      </c>
      <c r="EZ27" s="13">
        <v>12571474</v>
      </c>
      <c r="FA27" s="13">
        <v>12647380</v>
      </c>
      <c r="FB27" s="13">
        <v>12577805</v>
      </c>
      <c r="FC27" s="13">
        <v>13205553</v>
      </c>
      <c r="FD27" s="13">
        <v>13467111</v>
      </c>
      <c r="FE27" s="13">
        <v>13610403</v>
      </c>
      <c r="FF27" s="13">
        <v>13722206</v>
      </c>
      <c r="FG27" s="13">
        <v>13807477</v>
      </c>
      <c r="FH27" s="13">
        <v>14482271</v>
      </c>
      <c r="FI27" s="13">
        <v>14394246</v>
      </c>
    </row>
    <row r="28" spans="1:165" x14ac:dyDescent="0.4">
      <c r="A28" s="35" t="s">
        <v>13</v>
      </c>
      <c r="B28" s="16">
        <v>0</v>
      </c>
      <c r="C28" s="16">
        <v>0</v>
      </c>
      <c r="D28" s="16">
        <v>0</v>
      </c>
      <c r="E28" s="16">
        <v>0</v>
      </c>
      <c r="F28" s="16">
        <v>0</v>
      </c>
      <c r="G28" s="16">
        <v>0</v>
      </c>
      <c r="H28" s="16">
        <v>0</v>
      </c>
      <c r="I28" s="16">
        <v>0</v>
      </c>
      <c r="J28" s="16">
        <v>0</v>
      </c>
      <c r="K28" s="16">
        <v>0</v>
      </c>
      <c r="L28" s="16">
        <v>0</v>
      </c>
      <c r="M28" s="16">
        <v>0</v>
      </c>
      <c r="N28" s="16">
        <v>0</v>
      </c>
      <c r="O28" s="16">
        <v>0</v>
      </c>
      <c r="P28" s="16">
        <v>0</v>
      </c>
      <c r="Q28" s="16">
        <v>873</v>
      </c>
      <c r="R28" s="16">
        <v>873</v>
      </c>
      <c r="S28" s="16">
        <v>873</v>
      </c>
      <c r="T28" s="16">
        <v>873</v>
      </c>
      <c r="U28" s="16">
        <v>873</v>
      </c>
      <c r="V28" s="16">
        <v>873</v>
      </c>
      <c r="W28" s="16">
        <v>873</v>
      </c>
      <c r="X28" s="16">
        <v>873</v>
      </c>
      <c r="Y28" s="16">
        <v>873</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30</v>
      </c>
      <c r="AX28" s="16">
        <v>30</v>
      </c>
      <c r="AY28" s="16">
        <v>30</v>
      </c>
      <c r="AZ28" s="16">
        <v>30</v>
      </c>
      <c r="BA28" s="16">
        <v>80</v>
      </c>
      <c r="BB28" s="16">
        <v>80</v>
      </c>
      <c r="BC28" s="16">
        <v>80</v>
      </c>
      <c r="BD28" s="16">
        <v>108</v>
      </c>
      <c r="BE28" s="16">
        <v>108</v>
      </c>
      <c r="BF28" s="16">
        <v>138</v>
      </c>
      <c r="BG28" s="16">
        <v>138</v>
      </c>
      <c r="BH28" s="16">
        <v>138</v>
      </c>
      <c r="BI28" s="16">
        <v>108</v>
      </c>
      <c r="BJ28" s="16">
        <v>148</v>
      </c>
      <c r="BK28" s="16">
        <v>28148</v>
      </c>
      <c r="BL28" s="16">
        <v>47018</v>
      </c>
      <c r="BM28" s="16">
        <v>50759</v>
      </c>
      <c r="BN28" s="16">
        <v>56009</v>
      </c>
      <c r="BO28" s="16">
        <v>91438</v>
      </c>
      <c r="BP28" s="16">
        <v>40431</v>
      </c>
      <c r="BQ28" s="16">
        <v>51680</v>
      </c>
      <c r="BR28" s="16">
        <v>47715</v>
      </c>
      <c r="BS28" s="16">
        <v>14063</v>
      </c>
      <c r="BT28" s="16">
        <v>40465</v>
      </c>
      <c r="BU28" s="16">
        <v>20351</v>
      </c>
      <c r="BV28" s="16">
        <v>8492</v>
      </c>
      <c r="BW28" s="16">
        <v>15846</v>
      </c>
      <c r="BX28" s="16">
        <v>41851</v>
      </c>
      <c r="BY28" s="16">
        <v>20928</v>
      </c>
      <c r="BZ28" s="16">
        <v>19813</v>
      </c>
      <c r="CA28" s="16">
        <v>24244</v>
      </c>
      <c r="CB28" s="16">
        <v>41841</v>
      </c>
      <c r="CC28" s="16">
        <v>24535</v>
      </c>
      <c r="CD28" s="16">
        <v>22116</v>
      </c>
      <c r="CE28" s="16">
        <v>25274</v>
      </c>
      <c r="CF28" s="16">
        <v>4787</v>
      </c>
      <c r="CG28" s="16">
        <v>3128</v>
      </c>
      <c r="CH28" s="16">
        <v>8144</v>
      </c>
      <c r="CI28" s="16">
        <v>3358</v>
      </c>
      <c r="CJ28" s="16">
        <v>42218</v>
      </c>
      <c r="CK28" s="14">
        <v>1632</v>
      </c>
      <c r="CL28" s="14">
        <v>167</v>
      </c>
      <c r="CM28" s="14">
        <v>1832</v>
      </c>
      <c r="CN28" s="14">
        <v>2454</v>
      </c>
      <c r="CO28" s="14">
        <v>5231</v>
      </c>
      <c r="CP28" s="13">
        <v>2929</v>
      </c>
      <c r="CQ28" s="13">
        <v>6399</v>
      </c>
      <c r="CR28" s="13">
        <v>7253</v>
      </c>
      <c r="CS28" s="13">
        <v>8156</v>
      </c>
      <c r="CT28" s="13">
        <v>8332</v>
      </c>
      <c r="CU28" s="13">
        <v>8998</v>
      </c>
      <c r="CV28" s="13">
        <v>15990</v>
      </c>
      <c r="CW28" s="13">
        <v>14784</v>
      </c>
      <c r="CX28" s="13">
        <v>19243</v>
      </c>
      <c r="CY28" s="13">
        <v>22528</v>
      </c>
      <c r="CZ28" s="13">
        <v>29394</v>
      </c>
      <c r="DA28" s="13">
        <v>26265</v>
      </c>
      <c r="DB28" s="13">
        <v>31406</v>
      </c>
      <c r="DC28" s="13">
        <v>21063</v>
      </c>
      <c r="DD28" s="13">
        <v>28964</v>
      </c>
      <c r="DE28" s="13">
        <v>57846</v>
      </c>
      <c r="DF28" s="13">
        <v>56961</v>
      </c>
      <c r="DG28" s="13">
        <v>61972</v>
      </c>
      <c r="DH28" s="13">
        <v>68301</v>
      </c>
      <c r="DI28" s="13">
        <v>59789</v>
      </c>
      <c r="DJ28" s="13">
        <v>61449</v>
      </c>
      <c r="DK28" s="13">
        <v>61796</v>
      </c>
      <c r="DL28" s="13">
        <v>62873</v>
      </c>
      <c r="DM28" s="13">
        <v>82600</v>
      </c>
      <c r="DN28" s="13">
        <v>83335</v>
      </c>
      <c r="DO28" s="13">
        <v>113177</v>
      </c>
      <c r="DP28" s="13">
        <v>67157</v>
      </c>
      <c r="DQ28" s="13">
        <v>57680</v>
      </c>
      <c r="DR28" s="13">
        <v>89932</v>
      </c>
      <c r="DS28" s="13">
        <v>98911</v>
      </c>
      <c r="DT28" s="13">
        <v>82480</v>
      </c>
      <c r="DU28" s="13">
        <v>84016</v>
      </c>
      <c r="DV28" s="13">
        <v>56159</v>
      </c>
      <c r="DW28" s="13">
        <v>59155</v>
      </c>
      <c r="DX28" s="13">
        <v>78364</v>
      </c>
      <c r="DY28" s="13">
        <v>64500</v>
      </c>
      <c r="DZ28" s="13">
        <v>78855</v>
      </c>
      <c r="EA28" s="13">
        <v>109815</v>
      </c>
      <c r="EB28" s="13">
        <v>93788</v>
      </c>
      <c r="EC28" s="13">
        <v>124310</v>
      </c>
      <c r="ED28" s="13">
        <v>126682</v>
      </c>
      <c r="EE28" s="13">
        <v>127950</v>
      </c>
      <c r="EF28" s="13">
        <v>53476</v>
      </c>
      <c r="EG28" s="13">
        <v>139643</v>
      </c>
      <c r="EH28" s="13">
        <v>194610</v>
      </c>
      <c r="EI28" s="13">
        <v>234506</v>
      </c>
      <c r="EJ28" s="13">
        <v>217461</v>
      </c>
      <c r="EK28" s="25">
        <f t="shared" si="0"/>
        <v>-46740</v>
      </c>
      <c r="EL28" s="13">
        <v>170721</v>
      </c>
      <c r="EM28" s="25">
        <f t="shared" si="1"/>
        <v>-52763</v>
      </c>
      <c r="EN28" s="13">
        <v>117958</v>
      </c>
      <c r="EO28" s="25">
        <f t="shared" si="2"/>
        <v>45688</v>
      </c>
      <c r="EP28" s="13">
        <v>163646</v>
      </c>
      <c r="EQ28" s="25">
        <f t="shared" si="3"/>
        <v>-54506</v>
      </c>
      <c r="ER28" s="13">
        <v>109140</v>
      </c>
      <c r="ES28" s="25">
        <f t="shared" si="4"/>
        <v>-15242</v>
      </c>
      <c r="ET28" s="13">
        <v>93898</v>
      </c>
      <c r="EU28" s="25">
        <f t="shared" si="5"/>
        <v>183840</v>
      </c>
      <c r="EV28" s="13">
        <v>277738</v>
      </c>
      <c r="EW28" s="13">
        <v>277552</v>
      </c>
      <c r="EX28" s="13">
        <v>306328</v>
      </c>
      <c r="EY28" s="13">
        <v>331976</v>
      </c>
      <c r="EZ28" s="13">
        <v>324840</v>
      </c>
      <c r="FA28" s="13">
        <v>368074</v>
      </c>
      <c r="FB28" s="13">
        <v>352472</v>
      </c>
      <c r="FC28" s="13">
        <v>419677</v>
      </c>
      <c r="FD28" s="13">
        <v>465281</v>
      </c>
      <c r="FE28" s="13">
        <v>402173</v>
      </c>
      <c r="FF28" s="13">
        <v>422844</v>
      </c>
      <c r="FG28" s="13">
        <v>347187</v>
      </c>
      <c r="FH28" s="13">
        <v>331788</v>
      </c>
      <c r="FI28" s="13">
        <v>343688</v>
      </c>
    </row>
    <row r="29" spans="1:165" x14ac:dyDescent="0.4">
      <c r="A29" s="35" t="s">
        <v>14</v>
      </c>
      <c r="B29" s="16">
        <v>1046484</v>
      </c>
      <c r="C29" s="16">
        <v>1051198</v>
      </c>
      <c r="D29" s="16">
        <v>1086529</v>
      </c>
      <c r="E29" s="16">
        <v>1138663</v>
      </c>
      <c r="F29" s="16">
        <v>1153049</v>
      </c>
      <c r="G29" s="16">
        <v>1157645</v>
      </c>
      <c r="H29" s="16">
        <v>1173658</v>
      </c>
      <c r="I29" s="16">
        <v>1191245</v>
      </c>
      <c r="J29" s="16">
        <v>1226163</v>
      </c>
      <c r="K29" s="16">
        <v>1266500</v>
      </c>
      <c r="L29" s="16">
        <v>1305852</v>
      </c>
      <c r="M29" s="16">
        <v>1312740</v>
      </c>
      <c r="N29" s="16">
        <v>1318917</v>
      </c>
      <c r="O29" s="16">
        <v>1437428</v>
      </c>
      <c r="P29" s="16">
        <v>1493004</v>
      </c>
      <c r="Q29" s="16">
        <v>1465502</v>
      </c>
      <c r="R29" s="16">
        <v>1504207</v>
      </c>
      <c r="S29" s="16">
        <v>1506005</v>
      </c>
      <c r="T29" s="16">
        <v>1491578</v>
      </c>
      <c r="U29" s="16">
        <v>1695714</v>
      </c>
      <c r="V29" s="16">
        <v>1676756</v>
      </c>
      <c r="W29" s="16">
        <v>1674205</v>
      </c>
      <c r="X29" s="16">
        <v>1672226</v>
      </c>
      <c r="Y29" s="16">
        <v>1683629</v>
      </c>
      <c r="Z29" s="16">
        <v>1789995</v>
      </c>
      <c r="AA29" s="16">
        <v>1836517</v>
      </c>
      <c r="AB29" s="16">
        <v>1800905</v>
      </c>
      <c r="AC29" s="16">
        <v>1810838</v>
      </c>
      <c r="AD29" s="16">
        <v>1824333</v>
      </c>
      <c r="AE29" s="16">
        <v>1861451</v>
      </c>
      <c r="AF29" s="16">
        <v>1875222</v>
      </c>
      <c r="AG29" s="16">
        <v>1937224</v>
      </c>
      <c r="AH29" s="16">
        <v>1989333</v>
      </c>
      <c r="AI29" s="16">
        <v>2007058</v>
      </c>
      <c r="AJ29" s="16">
        <v>2040389</v>
      </c>
      <c r="AK29" s="16">
        <v>2078814</v>
      </c>
      <c r="AL29" s="16">
        <v>2114834</v>
      </c>
      <c r="AM29" s="16">
        <v>2142105</v>
      </c>
      <c r="AN29" s="16">
        <v>2142570</v>
      </c>
      <c r="AO29" s="16">
        <v>2145970</v>
      </c>
      <c r="AP29" s="16">
        <v>2259142</v>
      </c>
      <c r="AQ29" s="16">
        <v>2286524</v>
      </c>
      <c r="AR29" s="16">
        <v>2279398</v>
      </c>
      <c r="AS29" s="16">
        <v>2328124</v>
      </c>
      <c r="AT29" s="16">
        <v>2323168</v>
      </c>
      <c r="AU29" s="16">
        <v>2327518</v>
      </c>
      <c r="AV29" s="16">
        <v>2379162</v>
      </c>
      <c r="AW29" s="16">
        <v>2380866</v>
      </c>
      <c r="AX29" s="16">
        <v>2396295</v>
      </c>
      <c r="AY29" s="16">
        <v>2406688</v>
      </c>
      <c r="AZ29" s="16">
        <v>2445321</v>
      </c>
      <c r="BA29" s="16">
        <v>2453633</v>
      </c>
      <c r="BB29" s="16">
        <v>2478339</v>
      </c>
      <c r="BC29" s="16">
        <v>2469536</v>
      </c>
      <c r="BD29" s="16">
        <v>2622474</v>
      </c>
      <c r="BE29" s="16">
        <v>2611113</v>
      </c>
      <c r="BF29" s="16">
        <v>2686062</v>
      </c>
      <c r="BG29" s="16">
        <v>2654403</v>
      </c>
      <c r="BH29" s="16">
        <v>2626114</v>
      </c>
      <c r="BI29" s="16">
        <v>2622817</v>
      </c>
      <c r="BJ29" s="16">
        <v>2596967</v>
      </c>
      <c r="BK29" s="16">
        <v>2564155</v>
      </c>
      <c r="BL29" s="16">
        <v>2550226</v>
      </c>
      <c r="BM29" s="16">
        <v>2635789</v>
      </c>
      <c r="BN29" s="16">
        <v>2599735</v>
      </c>
      <c r="BO29" s="16">
        <v>2628616</v>
      </c>
      <c r="BP29" s="16">
        <v>2617736</v>
      </c>
      <c r="BQ29" s="16">
        <v>2539531</v>
      </c>
      <c r="BR29" s="16">
        <v>2505564</v>
      </c>
      <c r="BS29" s="16">
        <v>2452866</v>
      </c>
      <c r="BT29" s="16">
        <v>2455341</v>
      </c>
      <c r="BU29" s="16">
        <v>2426455</v>
      </c>
      <c r="BV29" s="16">
        <v>2496104</v>
      </c>
      <c r="BW29" s="16">
        <v>2569360</v>
      </c>
      <c r="BX29" s="16">
        <v>2588440</v>
      </c>
      <c r="BY29" s="16">
        <v>2680137</v>
      </c>
      <c r="BZ29" s="16">
        <v>2637069</v>
      </c>
      <c r="CA29" s="16">
        <v>2708178</v>
      </c>
      <c r="CB29" s="16">
        <v>2728121</v>
      </c>
      <c r="CC29" s="16">
        <v>2728041</v>
      </c>
      <c r="CD29" s="16">
        <v>2631734</v>
      </c>
      <c r="CE29" s="16">
        <v>2663109</v>
      </c>
      <c r="CF29" s="16">
        <v>2737385</v>
      </c>
      <c r="CG29" s="16">
        <v>2684115</v>
      </c>
      <c r="CH29" s="16">
        <v>2841468</v>
      </c>
      <c r="CI29" s="16">
        <v>2819842</v>
      </c>
      <c r="CJ29" s="16">
        <v>3041111</v>
      </c>
      <c r="CK29" s="14">
        <v>2908891</v>
      </c>
      <c r="CL29" s="14">
        <v>2921133</v>
      </c>
      <c r="CM29" s="14">
        <v>2868723</v>
      </c>
      <c r="CN29" s="14">
        <v>2898137</v>
      </c>
      <c r="CO29" s="14">
        <v>2951755</v>
      </c>
      <c r="CP29" s="13">
        <v>2933418</v>
      </c>
      <c r="CQ29" s="13">
        <v>2958360</v>
      </c>
      <c r="CR29" s="13">
        <v>2898226</v>
      </c>
      <c r="CS29" s="13">
        <v>3024601</v>
      </c>
      <c r="CT29" s="13">
        <v>3394084</v>
      </c>
      <c r="CU29" s="13">
        <v>3369901</v>
      </c>
      <c r="CV29" s="13">
        <v>3342066</v>
      </c>
      <c r="CW29" s="13">
        <v>3303003</v>
      </c>
      <c r="CX29" s="13">
        <v>3361125</v>
      </c>
      <c r="CY29" s="13">
        <v>3464315</v>
      </c>
      <c r="CZ29" s="13">
        <v>3221950</v>
      </c>
      <c r="DA29" s="13">
        <v>3234694</v>
      </c>
      <c r="DB29" s="13">
        <v>3265325</v>
      </c>
      <c r="DC29" s="13">
        <v>3358219</v>
      </c>
      <c r="DD29" s="13">
        <v>3384096</v>
      </c>
      <c r="DE29" s="13">
        <v>3494373</v>
      </c>
      <c r="DF29" s="13">
        <v>3749094</v>
      </c>
      <c r="DG29" s="13">
        <v>3708237</v>
      </c>
      <c r="DH29" s="13">
        <v>3603544</v>
      </c>
      <c r="DI29" s="13">
        <v>3489205</v>
      </c>
      <c r="DJ29" s="13">
        <v>3454116</v>
      </c>
      <c r="DK29" s="13">
        <v>3600450</v>
      </c>
      <c r="DL29" s="13">
        <v>3588065</v>
      </c>
      <c r="DM29" s="13">
        <v>3723515</v>
      </c>
      <c r="DN29" s="13">
        <v>3968711</v>
      </c>
      <c r="DO29" s="13">
        <v>3991142</v>
      </c>
      <c r="DP29" s="13">
        <v>4489384</v>
      </c>
      <c r="DQ29" s="13">
        <v>4899045</v>
      </c>
      <c r="DR29" s="13">
        <v>5578461</v>
      </c>
      <c r="DS29" s="13">
        <v>5730544</v>
      </c>
      <c r="DT29" s="13">
        <v>5923439</v>
      </c>
      <c r="DU29" s="13">
        <v>6163335</v>
      </c>
      <c r="DV29" s="13">
        <v>6509395</v>
      </c>
      <c r="DW29" s="13">
        <v>6514361</v>
      </c>
      <c r="DX29" s="13">
        <v>6748211</v>
      </c>
      <c r="DY29" s="13">
        <v>7224038</v>
      </c>
      <c r="DZ29" s="13">
        <v>7792878</v>
      </c>
      <c r="EA29" s="13">
        <v>7974037</v>
      </c>
      <c r="EB29" s="13">
        <v>7922154</v>
      </c>
      <c r="EC29" s="13">
        <v>7915048</v>
      </c>
      <c r="ED29" s="13">
        <v>9254227</v>
      </c>
      <c r="EE29" s="13">
        <v>9248351</v>
      </c>
      <c r="EF29" s="13">
        <v>9414238</v>
      </c>
      <c r="EG29" s="13">
        <v>9543081</v>
      </c>
      <c r="EH29" s="13">
        <v>9572738</v>
      </c>
      <c r="EI29" s="13">
        <v>9691564</v>
      </c>
      <c r="EJ29" s="13">
        <v>9574776</v>
      </c>
      <c r="EK29" s="25">
        <f t="shared" si="0"/>
        <v>275635</v>
      </c>
      <c r="EL29" s="13">
        <v>9850411</v>
      </c>
      <c r="EM29" s="25">
        <f t="shared" si="1"/>
        <v>206494</v>
      </c>
      <c r="EN29" s="13">
        <v>10056905</v>
      </c>
      <c r="EO29" s="25">
        <f t="shared" si="2"/>
        <v>433256</v>
      </c>
      <c r="EP29" s="13">
        <v>10490161</v>
      </c>
      <c r="EQ29" s="25">
        <f t="shared" si="3"/>
        <v>202697</v>
      </c>
      <c r="ER29" s="13">
        <v>10692858</v>
      </c>
      <c r="ES29" s="25">
        <f t="shared" si="4"/>
        <v>93028</v>
      </c>
      <c r="ET29" s="13">
        <v>10785886</v>
      </c>
      <c r="EU29" s="25">
        <f t="shared" si="5"/>
        <v>1180515</v>
      </c>
      <c r="EV29" s="13">
        <v>11966401</v>
      </c>
      <c r="EW29" s="13">
        <v>12074588</v>
      </c>
      <c r="EX29" s="13">
        <v>11948228</v>
      </c>
      <c r="EY29" s="13">
        <v>11909877</v>
      </c>
      <c r="EZ29" s="13">
        <v>12246634</v>
      </c>
      <c r="FA29" s="13">
        <v>12279306</v>
      </c>
      <c r="FB29" s="13">
        <v>12225334</v>
      </c>
      <c r="FC29" s="13">
        <v>12785876</v>
      </c>
      <c r="FD29" s="13">
        <v>13001830</v>
      </c>
      <c r="FE29" s="13">
        <v>13208230</v>
      </c>
      <c r="FF29" s="13">
        <v>13299362</v>
      </c>
      <c r="FG29" s="13">
        <v>13460290</v>
      </c>
      <c r="FH29" s="13">
        <v>14150483</v>
      </c>
      <c r="FI29" s="13">
        <v>14050558</v>
      </c>
    </row>
    <row r="30" spans="1:165" x14ac:dyDescent="0.4">
      <c r="A30" s="35" t="s">
        <v>27</v>
      </c>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v>114285</v>
      </c>
      <c r="BW30" s="16">
        <v>108097</v>
      </c>
      <c r="BX30" s="16">
        <v>111684</v>
      </c>
      <c r="BY30" s="16">
        <v>110159</v>
      </c>
      <c r="BZ30" s="16">
        <v>108400</v>
      </c>
      <c r="CA30" s="16">
        <v>126812</v>
      </c>
      <c r="CB30" s="16">
        <v>153729</v>
      </c>
      <c r="CC30" s="16">
        <v>144133</v>
      </c>
      <c r="CD30" s="16">
        <v>132875</v>
      </c>
      <c r="CE30" s="16">
        <v>136004</v>
      </c>
      <c r="CF30" s="16">
        <v>170563</v>
      </c>
      <c r="CG30" s="16">
        <v>144537</v>
      </c>
      <c r="CH30" s="16">
        <v>144072</v>
      </c>
      <c r="CI30" s="16">
        <v>144387</v>
      </c>
      <c r="CJ30" s="16">
        <v>154096</v>
      </c>
      <c r="CK30" s="14">
        <v>190102</v>
      </c>
      <c r="CL30" s="14">
        <v>211445</v>
      </c>
      <c r="CM30" s="14">
        <v>174806</v>
      </c>
      <c r="CN30" s="14">
        <v>407531</v>
      </c>
      <c r="CO30" s="14">
        <v>448661</v>
      </c>
      <c r="CP30" s="13">
        <v>466146</v>
      </c>
      <c r="CQ30" s="13">
        <v>469354</v>
      </c>
      <c r="CR30" s="13">
        <v>438706</v>
      </c>
      <c r="CS30" s="13">
        <v>432484</v>
      </c>
      <c r="CT30" s="13">
        <v>448783</v>
      </c>
      <c r="CU30" s="13">
        <v>449972</v>
      </c>
      <c r="CV30" s="13">
        <v>446389</v>
      </c>
      <c r="CW30" s="13">
        <v>441515</v>
      </c>
      <c r="CX30" s="13">
        <v>446589</v>
      </c>
      <c r="CY30" s="13">
        <v>446343</v>
      </c>
      <c r="CZ30" s="13">
        <v>218249</v>
      </c>
      <c r="DA30" s="13">
        <v>176136</v>
      </c>
      <c r="DB30" s="13">
        <v>157476</v>
      </c>
      <c r="DC30" s="13">
        <v>146428</v>
      </c>
      <c r="DD30" s="13">
        <v>141063</v>
      </c>
      <c r="DE30" s="13">
        <v>137974</v>
      </c>
      <c r="DF30" s="13">
        <v>188785</v>
      </c>
      <c r="DG30" s="13">
        <v>202383</v>
      </c>
      <c r="DH30" s="13">
        <v>199839</v>
      </c>
      <c r="DI30" s="13">
        <v>188106</v>
      </c>
      <c r="DJ30" s="13">
        <v>156267</v>
      </c>
      <c r="DK30" s="13">
        <v>160276</v>
      </c>
      <c r="DL30" s="13">
        <v>163647</v>
      </c>
      <c r="DM30" s="13">
        <v>203434</v>
      </c>
      <c r="DN30" s="13">
        <v>203346</v>
      </c>
      <c r="DO30" s="13">
        <v>195105</v>
      </c>
      <c r="DP30" s="13">
        <v>191288</v>
      </c>
      <c r="DQ30" s="13">
        <v>238309</v>
      </c>
      <c r="DR30" s="13">
        <v>196917</v>
      </c>
      <c r="DS30" s="13">
        <v>226141</v>
      </c>
      <c r="DT30" s="13">
        <v>238596</v>
      </c>
      <c r="DU30" s="13">
        <v>251130</v>
      </c>
      <c r="DV30" s="13">
        <v>309254</v>
      </c>
      <c r="DW30" s="13">
        <v>320852</v>
      </c>
      <c r="DX30" s="13">
        <v>291878</v>
      </c>
      <c r="DY30" s="13">
        <v>339337</v>
      </c>
      <c r="DZ30" s="13">
        <v>390182</v>
      </c>
      <c r="EA30" s="13">
        <v>402701</v>
      </c>
      <c r="EB30" s="13">
        <v>410728</v>
      </c>
      <c r="EC30" s="13">
        <v>382669</v>
      </c>
      <c r="ED30" s="13">
        <v>417801</v>
      </c>
      <c r="EE30" s="13">
        <v>341465</v>
      </c>
      <c r="EF30" s="13">
        <v>366554</v>
      </c>
      <c r="EG30" s="13">
        <v>511008</v>
      </c>
      <c r="EH30" s="13">
        <v>630418</v>
      </c>
      <c r="EI30" s="13">
        <v>652885</v>
      </c>
      <c r="EJ30" s="13">
        <v>656807</v>
      </c>
      <c r="EK30" s="25">
        <f t="shared" si="0"/>
        <v>-26127</v>
      </c>
      <c r="EL30" s="13">
        <v>630680</v>
      </c>
      <c r="EM30" s="25">
        <f t="shared" si="1"/>
        <v>100857</v>
      </c>
      <c r="EN30" s="13">
        <v>731537</v>
      </c>
      <c r="EO30" s="25">
        <f t="shared" si="2"/>
        <v>47770</v>
      </c>
      <c r="EP30" s="13">
        <v>779307</v>
      </c>
      <c r="EQ30" s="25">
        <f t="shared" si="3"/>
        <v>33720</v>
      </c>
      <c r="ER30" s="13">
        <v>813027</v>
      </c>
      <c r="ES30" s="25">
        <f t="shared" si="4"/>
        <v>515550</v>
      </c>
      <c r="ET30" s="13">
        <v>1328577</v>
      </c>
      <c r="EU30" s="25">
        <f t="shared" si="5"/>
        <v>42915</v>
      </c>
      <c r="EV30" s="13">
        <v>1371492</v>
      </c>
      <c r="EW30" s="13">
        <v>1378258</v>
      </c>
      <c r="EX30" s="13">
        <v>1388459</v>
      </c>
      <c r="EY30" s="13">
        <v>1285510</v>
      </c>
      <c r="EZ30" s="13">
        <v>1213403</v>
      </c>
      <c r="FA30" s="13">
        <v>1165682</v>
      </c>
      <c r="FB30" s="13">
        <v>1172911</v>
      </c>
      <c r="FC30" s="13">
        <v>1390597</v>
      </c>
      <c r="FD30" s="13">
        <v>1524929</v>
      </c>
      <c r="FE30" s="13">
        <v>1585798</v>
      </c>
      <c r="FF30" s="13">
        <v>1689865</v>
      </c>
      <c r="FG30" s="13">
        <v>1282606</v>
      </c>
      <c r="FH30" s="13">
        <v>1130329</v>
      </c>
      <c r="FI30" s="13">
        <v>1075923</v>
      </c>
    </row>
    <row r="31" spans="1:165" x14ac:dyDescent="0.4">
      <c r="A31" s="35" t="s">
        <v>30</v>
      </c>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v>2381819</v>
      </c>
      <c r="BW31" s="16">
        <v>2461263</v>
      </c>
      <c r="BX31" s="16">
        <v>2476756</v>
      </c>
      <c r="BY31" s="16">
        <v>2569978</v>
      </c>
      <c r="BZ31" s="16">
        <v>2528668</v>
      </c>
      <c r="CA31" s="16">
        <v>2581366</v>
      </c>
      <c r="CB31" s="16">
        <v>2574391</v>
      </c>
      <c r="CC31" s="16">
        <v>2583908</v>
      </c>
      <c r="CD31" s="16">
        <v>2498859</v>
      </c>
      <c r="CE31" s="16">
        <v>2527105</v>
      </c>
      <c r="CF31" s="16">
        <v>2566821</v>
      </c>
      <c r="CG31" s="16">
        <v>2539578</v>
      </c>
      <c r="CH31" s="16">
        <v>2697396</v>
      </c>
      <c r="CI31" s="16">
        <v>2675456</v>
      </c>
      <c r="CJ31" s="16">
        <v>2887014</v>
      </c>
      <c r="CK31" s="14">
        <v>2718789</v>
      </c>
      <c r="CL31" s="14">
        <v>2709689</v>
      </c>
      <c r="CM31" s="14">
        <v>2693918</v>
      </c>
      <c r="CN31" s="14">
        <v>2490606</v>
      </c>
      <c r="CO31" s="14">
        <v>2503093</v>
      </c>
      <c r="CP31" s="13">
        <v>2467272</v>
      </c>
      <c r="CQ31" s="13">
        <v>2489006</v>
      </c>
      <c r="CR31" s="13">
        <v>2459520</v>
      </c>
      <c r="CS31" s="13">
        <v>2592117</v>
      </c>
      <c r="CT31" s="13">
        <v>2945301</v>
      </c>
      <c r="CU31" s="13">
        <v>2919928</v>
      </c>
      <c r="CV31" s="13">
        <v>2895677</v>
      </c>
      <c r="CW31" s="13">
        <v>2861488</v>
      </c>
      <c r="CX31" s="13">
        <v>2914536</v>
      </c>
      <c r="CY31" s="13">
        <v>3017972</v>
      </c>
      <c r="CZ31" s="13">
        <v>3003700</v>
      </c>
      <c r="DA31" s="13">
        <v>3058557</v>
      </c>
      <c r="DB31" s="13">
        <v>3107849</v>
      </c>
      <c r="DC31" s="13">
        <v>3211792</v>
      </c>
      <c r="DD31" s="13">
        <v>3243033</v>
      </c>
      <c r="DE31" s="13">
        <v>3356399</v>
      </c>
      <c r="DF31" s="13">
        <v>3560308</v>
      </c>
      <c r="DG31" s="13">
        <v>3505854</v>
      </c>
      <c r="DH31" s="13">
        <v>3403705</v>
      </c>
      <c r="DI31" s="13">
        <v>3301100</v>
      </c>
      <c r="DJ31" s="13">
        <v>3297849</v>
      </c>
      <c r="DK31" s="13">
        <v>3440174</v>
      </c>
      <c r="DL31" s="13">
        <v>3424418</v>
      </c>
      <c r="DM31" s="13">
        <v>3520081</v>
      </c>
      <c r="DN31" s="13">
        <v>3765365</v>
      </c>
      <c r="DO31" s="13">
        <v>3796037</v>
      </c>
      <c r="DP31" s="13">
        <v>4298096</v>
      </c>
      <c r="DQ31" s="13">
        <v>4660736</v>
      </c>
      <c r="DR31" s="13">
        <v>5381544</v>
      </c>
      <c r="DS31" s="13">
        <v>5504402</v>
      </c>
      <c r="DT31" s="13">
        <v>5684843</v>
      </c>
      <c r="DU31" s="13">
        <v>5912205</v>
      </c>
      <c r="DV31" s="13">
        <v>6200141</v>
      </c>
      <c r="DW31" s="13">
        <v>6193509</v>
      </c>
      <c r="DX31" s="13">
        <v>6456333</v>
      </c>
      <c r="DY31" s="13">
        <v>6884701</v>
      </c>
      <c r="DZ31" s="13">
        <v>7402697</v>
      </c>
      <c r="EA31" s="13">
        <v>7571336</v>
      </c>
      <c r="EB31" s="13">
        <v>7511426</v>
      </c>
      <c r="EC31" s="13">
        <v>7532379</v>
      </c>
      <c r="ED31" s="13">
        <v>8836426</v>
      </c>
      <c r="EE31" s="13">
        <v>8906885</v>
      </c>
      <c r="EF31" s="13">
        <v>9047685</v>
      </c>
      <c r="EG31" s="13">
        <v>9032073</v>
      </c>
      <c r="EH31" s="13">
        <v>8942320</v>
      </c>
      <c r="EI31" s="13">
        <v>9038679</v>
      </c>
      <c r="EJ31" s="13">
        <v>8917969</v>
      </c>
      <c r="EK31" s="25">
        <f t="shared" si="0"/>
        <v>301762</v>
      </c>
      <c r="EL31" s="13">
        <v>9219731</v>
      </c>
      <c r="EM31" s="25">
        <f t="shared" si="1"/>
        <v>105637</v>
      </c>
      <c r="EN31" s="13">
        <v>9325368</v>
      </c>
      <c r="EO31" s="25">
        <f t="shared" si="2"/>
        <v>385486</v>
      </c>
      <c r="EP31" s="13">
        <v>9710854</v>
      </c>
      <c r="EQ31" s="25">
        <f t="shared" si="3"/>
        <v>168977</v>
      </c>
      <c r="ER31" s="13">
        <v>9879831</v>
      </c>
      <c r="ES31" s="25">
        <f t="shared" si="4"/>
        <v>-422522</v>
      </c>
      <c r="ET31" s="13">
        <v>9457309</v>
      </c>
      <c r="EU31" s="25">
        <f t="shared" si="5"/>
        <v>1137600</v>
      </c>
      <c r="EV31" s="13">
        <v>10594909</v>
      </c>
      <c r="EW31" s="13">
        <v>10696329</v>
      </c>
      <c r="EX31" s="13">
        <v>10559769</v>
      </c>
      <c r="EY31" s="13">
        <v>10624367</v>
      </c>
      <c r="EZ31" s="13">
        <v>11033231</v>
      </c>
      <c r="FA31" s="13">
        <v>11113624</v>
      </c>
      <c r="FB31" s="13">
        <v>11052423</v>
      </c>
      <c r="FC31" s="13">
        <v>11395279</v>
      </c>
      <c r="FD31" s="13">
        <v>11476901</v>
      </c>
      <c r="FE31" s="13">
        <v>11622432</v>
      </c>
      <c r="FF31" s="13">
        <v>11609497</v>
      </c>
      <c r="FG31" s="13">
        <v>12177685</v>
      </c>
      <c r="FH31" s="13">
        <v>13020154</v>
      </c>
      <c r="FI31" s="13">
        <v>12974635</v>
      </c>
    </row>
    <row r="32" spans="1:165" x14ac:dyDescent="0.4">
      <c r="A32" s="34" t="s">
        <v>6</v>
      </c>
      <c r="B32" s="16">
        <v>4414257</v>
      </c>
      <c r="C32" s="16">
        <v>4335634</v>
      </c>
      <c r="D32" s="16">
        <v>4282403</v>
      </c>
      <c r="E32" s="16">
        <v>4233274</v>
      </c>
      <c r="F32" s="16">
        <v>4369000</v>
      </c>
      <c r="G32" s="16">
        <v>4407631</v>
      </c>
      <c r="H32" s="16">
        <v>4415712</v>
      </c>
      <c r="I32" s="16">
        <v>4450124</v>
      </c>
      <c r="J32" s="16">
        <v>4510771</v>
      </c>
      <c r="K32" s="16">
        <v>4569162</v>
      </c>
      <c r="L32" s="16">
        <v>4695398</v>
      </c>
      <c r="M32" s="16">
        <v>4794914</v>
      </c>
      <c r="N32" s="16">
        <v>4859751</v>
      </c>
      <c r="O32" s="16">
        <v>4871518</v>
      </c>
      <c r="P32" s="16">
        <v>4897365</v>
      </c>
      <c r="Q32" s="16">
        <v>4857140</v>
      </c>
      <c r="R32" s="16">
        <v>4845399</v>
      </c>
      <c r="S32" s="16">
        <v>4872632</v>
      </c>
      <c r="T32" s="16">
        <v>4896539</v>
      </c>
      <c r="U32" s="16">
        <v>4940402</v>
      </c>
      <c r="V32" s="16">
        <v>4891647</v>
      </c>
      <c r="W32" s="16">
        <v>4892619</v>
      </c>
      <c r="X32" s="16">
        <v>4941666</v>
      </c>
      <c r="Y32" s="16">
        <v>4850684</v>
      </c>
      <c r="Z32" s="16">
        <v>5892743</v>
      </c>
      <c r="AA32" s="16">
        <v>5896090</v>
      </c>
      <c r="AB32" s="16">
        <v>5945218</v>
      </c>
      <c r="AC32" s="16">
        <v>5791168</v>
      </c>
      <c r="AD32" s="16">
        <v>5922546</v>
      </c>
      <c r="AE32" s="16">
        <v>6002123</v>
      </c>
      <c r="AF32" s="16">
        <v>5864372</v>
      </c>
      <c r="AG32" s="16">
        <v>6001942</v>
      </c>
      <c r="AH32" s="16">
        <v>5797610</v>
      </c>
      <c r="AI32" s="16">
        <v>5829353</v>
      </c>
      <c r="AJ32" s="16">
        <v>5928899</v>
      </c>
      <c r="AK32" s="16">
        <v>5962523</v>
      </c>
      <c r="AL32" s="16">
        <v>6012760</v>
      </c>
      <c r="AM32" s="16">
        <v>5987965</v>
      </c>
      <c r="AN32" s="16">
        <v>6014974</v>
      </c>
      <c r="AO32" s="16">
        <v>6117163</v>
      </c>
      <c r="AP32" s="16">
        <v>6213669</v>
      </c>
      <c r="AQ32" s="16">
        <v>6185050</v>
      </c>
      <c r="AR32" s="16">
        <v>6258021</v>
      </c>
      <c r="AS32" s="16">
        <v>6327842</v>
      </c>
      <c r="AT32" s="16">
        <v>6234177</v>
      </c>
      <c r="AU32" s="16">
        <v>6272802</v>
      </c>
      <c r="AV32" s="16">
        <v>6304948</v>
      </c>
      <c r="AW32" s="16">
        <v>6452684</v>
      </c>
      <c r="AX32" s="16">
        <v>6586035</v>
      </c>
      <c r="AY32" s="16">
        <v>6705803</v>
      </c>
      <c r="AZ32" s="16">
        <v>6798908</v>
      </c>
      <c r="BA32" s="16">
        <v>6947083</v>
      </c>
      <c r="BB32" s="16">
        <v>6955356</v>
      </c>
      <c r="BC32" s="16">
        <v>7120151</v>
      </c>
      <c r="BD32" s="16">
        <v>7116831</v>
      </c>
      <c r="BE32" s="16">
        <v>7247298</v>
      </c>
      <c r="BF32" s="16">
        <v>7400303</v>
      </c>
      <c r="BG32" s="16">
        <v>7572861</v>
      </c>
      <c r="BH32" s="16">
        <v>7703990</v>
      </c>
      <c r="BI32" s="16">
        <v>7841254</v>
      </c>
      <c r="BJ32" s="16">
        <v>7820146</v>
      </c>
      <c r="BK32" s="16">
        <v>7803508</v>
      </c>
      <c r="BL32" s="16">
        <v>7931789</v>
      </c>
      <c r="BM32" s="16">
        <v>7879971</v>
      </c>
      <c r="BN32" s="16">
        <v>7940867</v>
      </c>
      <c r="BO32" s="16">
        <v>8029824</v>
      </c>
      <c r="BP32" s="16">
        <v>8135309</v>
      </c>
      <c r="BQ32" s="16">
        <v>8263828</v>
      </c>
      <c r="BR32" s="16">
        <v>8261190</v>
      </c>
      <c r="BS32" s="16">
        <v>8261275</v>
      </c>
      <c r="BT32" s="16">
        <v>8332030</v>
      </c>
      <c r="BU32" s="16">
        <v>8386079</v>
      </c>
      <c r="BV32" s="16">
        <v>8462574</v>
      </c>
      <c r="BW32" s="16">
        <v>8526295</v>
      </c>
      <c r="BX32" s="16">
        <v>8535611</v>
      </c>
      <c r="BY32" s="16">
        <v>8804502</v>
      </c>
      <c r="BZ32" s="16">
        <v>9216443</v>
      </c>
      <c r="CA32" s="16">
        <v>9347918</v>
      </c>
      <c r="CB32" s="16">
        <v>9456789</v>
      </c>
      <c r="CC32" s="16">
        <v>9761157</v>
      </c>
      <c r="CD32" s="16">
        <v>9838512</v>
      </c>
      <c r="CE32" s="16">
        <v>9945470</v>
      </c>
      <c r="CF32" s="16">
        <v>10055393</v>
      </c>
      <c r="CG32" s="16">
        <v>10172539</v>
      </c>
      <c r="CH32" s="16">
        <v>10146562</v>
      </c>
      <c r="CI32" s="16">
        <v>10080651</v>
      </c>
      <c r="CJ32" s="16">
        <v>10546866</v>
      </c>
      <c r="CK32" s="14">
        <v>10571931</v>
      </c>
      <c r="CL32" s="14">
        <v>10890323</v>
      </c>
      <c r="CM32" s="14">
        <v>11057824</v>
      </c>
      <c r="CN32" s="14">
        <v>11480294</v>
      </c>
      <c r="CO32" s="14">
        <v>11761318</v>
      </c>
      <c r="CP32" s="13">
        <v>11943343</v>
      </c>
      <c r="CQ32" s="13">
        <v>12796005</v>
      </c>
      <c r="CR32" s="13">
        <v>14292454</v>
      </c>
      <c r="CS32" s="13">
        <v>15161436</v>
      </c>
      <c r="CT32" s="13">
        <v>15325835</v>
      </c>
      <c r="CU32" s="13">
        <v>15362638</v>
      </c>
      <c r="CV32" s="13">
        <v>15450620</v>
      </c>
      <c r="CW32" s="13">
        <v>16012522</v>
      </c>
      <c r="CX32" s="13">
        <v>16398078</v>
      </c>
      <c r="CY32" s="13">
        <v>16634732</v>
      </c>
      <c r="CZ32" s="13">
        <v>16847854</v>
      </c>
      <c r="DA32" s="13">
        <v>17016983</v>
      </c>
      <c r="DB32" s="13">
        <v>17161723</v>
      </c>
      <c r="DC32" s="13">
        <v>17352866</v>
      </c>
      <c r="DD32" s="13">
        <v>17355733</v>
      </c>
      <c r="DE32" s="13">
        <v>17391259</v>
      </c>
      <c r="DF32" s="13">
        <v>17081503</v>
      </c>
      <c r="DG32" s="13">
        <v>17094014</v>
      </c>
      <c r="DH32" s="13">
        <v>17207907</v>
      </c>
      <c r="DI32" s="13">
        <v>17205947</v>
      </c>
      <c r="DJ32" s="13">
        <v>17188490</v>
      </c>
      <c r="DK32" s="13">
        <v>17239628</v>
      </c>
      <c r="DL32" s="13">
        <v>17255435</v>
      </c>
      <c r="DM32" s="13">
        <v>16846975</v>
      </c>
      <c r="DN32" s="13">
        <v>16837031</v>
      </c>
      <c r="DO32" s="13">
        <v>16828191</v>
      </c>
      <c r="DP32" s="13">
        <v>16981939</v>
      </c>
      <c r="DQ32" s="13">
        <v>18001707</v>
      </c>
      <c r="DR32" s="13">
        <v>19559128</v>
      </c>
      <c r="DS32" s="13">
        <v>19643066</v>
      </c>
      <c r="DT32" s="13">
        <v>19920345</v>
      </c>
      <c r="DU32" s="13">
        <v>20118883</v>
      </c>
      <c r="DV32" s="13">
        <v>20356187</v>
      </c>
      <c r="DW32" s="13">
        <v>20568001</v>
      </c>
      <c r="DX32" s="13">
        <v>21002129</v>
      </c>
      <c r="DY32" s="13">
        <v>21156861</v>
      </c>
      <c r="DZ32" s="13">
        <v>21205518</v>
      </c>
      <c r="EA32" s="13">
        <v>21322717</v>
      </c>
      <c r="EB32" s="13">
        <v>21352758</v>
      </c>
      <c r="EC32" s="13">
        <v>21712808</v>
      </c>
      <c r="ED32" s="13">
        <v>21852925</v>
      </c>
      <c r="EE32" s="13">
        <v>22037778</v>
      </c>
      <c r="EF32" s="13">
        <v>22175359</v>
      </c>
      <c r="EG32" s="13">
        <v>22333044</v>
      </c>
      <c r="EH32" s="13">
        <v>22236397</v>
      </c>
      <c r="EI32" s="13">
        <v>22401262</v>
      </c>
      <c r="EJ32" s="13">
        <v>22436962</v>
      </c>
      <c r="EK32" s="25">
        <f t="shared" si="0"/>
        <v>-255543</v>
      </c>
      <c r="EL32" s="13">
        <v>22181419</v>
      </c>
      <c r="EM32" s="25">
        <f t="shared" si="1"/>
        <v>410443</v>
      </c>
      <c r="EN32" s="13">
        <v>22591862</v>
      </c>
      <c r="EO32" s="25">
        <f t="shared" si="2"/>
        <v>166860</v>
      </c>
      <c r="EP32" s="13">
        <v>22758722</v>
      </c>
      <c r="EQ32" s="25">
        <f t="shared" si="3"/>
        <v>-237343</v>
      </c>
      <c r="ER32" s="13">
        <v>22521379</v>
      </c>
      <c r="ES32" s="25">
        <f t="shared" si="4"/>
        <v>161828</v>
      </c>
      <c r="ET32" s="13">
        <v>22683207</v>
      </c>
      <c r="EU32" s="25">
        <f t="shared" si="5"/>
        <v>4263311</v>
      </c>
      <c r="EV32" s="13">
        <v>26946518</v>
      </c>
      <c r="EW32" s="13">
        <v>26616425</v>
      </c>
      <c r="EX32" s="13">
        <v>27258442</v>
      </c>
      <c r="EY32" s="13">
        <v>27605549</v>
      </c>
      <c r="EZ32" s="13">
        <v>27883787</v>
      </c>
      <c r="FA32" s="13">
        <v>28419785</v>
      </c>
      <c r="FB32" s="13">
        <v>28982557</v>
      </c>
      <c r="FC32" s="13">
        <v>29436010</v>
      </c>
      <c r="FD32" s="13">
        <v>29956636</v>
      </c>
      <c r="FE32" s="13">
        <v>30200873</v>
      </c>
      <c r="FF32" s="13">
        <v>31084169</v>
      </c>
      <c r="FG32" s="13">
        <v>32838131</v>
      </c>
      <c r="FH32" s="13">
        <v>33429770</v>
      </c>
      <c r="FI32" s="13">
        <v>33604918</v>
      </c>
    </row>
    <row r="33" spans="1:165" x14ac:dyDescent="0.4">
      <c r="A33" s="35" t="s">
        <v>13</v>
      </c>
      <c r="B33" s="16">
        <v>0</v>
      </c>
      <c r="C33" s="16">
        <v>0</v>
      </c>
      <c r="D33" s="16">
        <v>0</v>
      </c>
      <c r="E33" s="16">
        <v>0</v>
      </c>
      <c r="F33" s="16">
        <v>0</v>
      </c>
      <c r="G33" s="16">
        <v>0</v>
      </c>
      <c r="H33" s="16">
        <v>0</v>
      </c>
      <c r="I33" s="16">
        <v>0</v>
      </c>
      <c r="J33" s="16">
        <v>0</v>
      </c>
      <c r="K33" s="16">
        <v>0</v>
      </c>
      <c r="L33" s="16">
        <v>0</v>
      </c>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3000</v>
      </c>
      <c r="BU33" s="16">
        <v>3000</v>
      </c>
      <c r="BV33" s="16">
        <v>3000</v>
      </c>
      <c r="BW33" s="16">
        <v>3000</v>
      </c>
      <c r="BX33" s="16">
        <v>3000</v>
      </c>
      <c r="BY33" s="16">
        <v>3000</v>
      </c>
      <c r="BZ33" s="16">
        <v>3000</v>
      </c>
      <c r="CA33" s="16">
        <v>3000</v>
      </c>
      <c r="CB33" s="16">
        <v>3000</v>
      </c>
      <c r="CC33" s="16">
        <v>3000</v>
      </c>
      <c r="CD33" s="16">
        <v>3000</v>
      </c>
      <c r="CE33" s="16">
        <v>3000</v>
      </c>
      <c r="CF33" s="16">
        <v>0</v>
      </c>
      <c r="CG33" s="16">
        <v>0</v>
      </c>
      <c r="CH33" s="16">
        <v>0</v>
      </c>
      <c r="CI33" s="16">
        <v>0</v>
      </c>
      <c r="CJ33" s="16">
        <v>0</v>
      </c>
      <c r="CK33" s="16">
        <v>0</v>
      </c>
      <c r="CL33" s="16">
        <v>0</v>
      </c>
      <c r="CM33" s="16">
        <v>0</v>
      </c>
      <c r="CN33" s="16">
        <v>0</v>
      </c>
      <c r="CO33" s="16">
        <v>0</v>
      </c>
      <c r="CP33" s="16">
        <v>0</v>
      </c>
      <c r="CQ33" s="16">
        <v>0</v>
      </c>
      <c r="CR33" s="16">
        <v>0</v>
      </c>
      <c r="CS33" s="16">
        <v>0</v>
      </c>
      <c r="CT33" s="16">
        <v>0</v>
      </c>
      <c r="CU33" s="16">
        <v>0</v>
      </c>
      <c r="CV33" s="16">
        <v>0</v>
      </c>
      <c r="CW33" s="16">
        <v>0</v>
      </c>
      <c r="CX33" s="16">
        <v>0</v>
      </c>
      <c r="CY33" s="16">
        <v>0</v>
      </c>
      <c r="CZ33" s="16">
        <v>0</v>
      </c>
      <c r="DA33" s="16">
        <v>0</v>
      </c>
      <c r="DB33" s="16">
        <v>0</v>
      </c>
      <c r="DC33" s="16">
        <v>0</v>
      </c>
      <c r="DD33" s="16">
        <v>0</v>
      </c>
      <c r="DE33" s="16">
        <v>0</v>
      </c>
      <c r="DF33" s="16">
        <v>0</v>
      </c>
      <c r="DG33" s="16">
        <v>0</v>
      </c>
      <c r="DH33" s="16">
        <v>5363</v>
      </c>
      <c r="DI33" s="13">
        <v>5416</v>
      </c>
      <c r="DJ33" s="13">
        <v>5467</v>
      </c>
      <c r="DK33" s="13">
        <v>5519</v>
      </c>
      <c r="DL33" s="13">
        <v>5570</v>
      </c>
      <c r="DM33" s="13">
        <v>5623</v>
      </c>
      <c r="DN33" s="13">
        <v>5366</v>
      </c>
      <c r="DO33" s="13">
        <v>5417</v>
      </c>
      <c r="DP33" s="13">
        <v>5470</v>
      </c>
      <c r="DQ33" s="13">
        <v>5521</v>
      </c>
      <c r="DR33" s="13">
        <v>5574</v>
      </c>
      <c r="DS33" s="13">
        <v>5626</v>
      </c>
      <c r="DT33" s="13">
        <v>0</v>
      </c>
      <c r="DU33" s="13">
        <v>0</v>
      </c>
      <c r="DV33" s="13">
        <v>0</v>
      </c>
      <c r="DW33" s="13">
        <v>0</v>
      </c>
      <c r="DX33" s="13">
        <v>0</v>
      </c>
      <c r="DY33" s="13">
        <v>0</v>
      </c>
      <c r="DZ33" s="13">
        <v>0</v>
      </c>
      <c r="EA33" s="13">
        <v>15052</v>
      </c>
      <c r="EB33" s="13">
        <v>32994</v>
      </c>
      <c r="EC33" s="13">
        <v>59478</v>
      </c>
      <c r="ED33" s="13">
        <v>60200</v>
      </c>
      <c r="EE33" s="13">
        <v>59454</v>
      </c>
      <c r="EF33" s="13">
        <v>59206</v>
      </c>
      <c r="EG33" s="13">
        <v>59928</v>
      </c>
      <c r="EH33" s="13">
        <v>5413</v>
      </c>
      <c r="EI33" s="13">
        <v>9388</v>
      </c>
      <c r="EJ33" s="13">
        <v>6363</v>
      </c>
      <c r="EK33" s="25">
        <f t="shared" si="0"/>
        <v>-2969</v>
      </c>
      <c r="EL33" s="13">
        <v>3394</v>
      </c>
      <c r="EM33" s="25">
        <f t="shared" si="1"/>
        <v>-80</v>
      </c>
      <c r="EN33" s="13">
        <v>3314</v>
      </c>
      <c r="EO33" s="25">
        <f t="shared" si="2"/>
        <v>1049</v>
      </c>
      <c r="EP33" s="13">
        <v>4363</v>
      </c>
      <c r="EQ33" s="25">
        <f t="shared" si="3"/>
        <v>-970</v>
      </c>
      <c r="ER33" s="13">
        <v>3393</v>
      </c>
      <c r="ES33" s="25">
        <f t="shared" si="4"/>
        <v>-3393</v>
      </c>
      <c r="ET33" s="13">
        <v>0</v>
      </c>
      <c r="EU33" s="25">
        <f t="shared" si="5"/>
        <v>0</v>
      </c>
      <c r="EV33" s="13">
        <v>0</v>
      </c>
      <c r="EW33" s="13">
        <v>0</v>
      </c>
      <c r="EX33" s="13">
        <v>2532</v>
      </c>
      <c r="EY33" s="13">
        <v>0</v>
      </c>
      <c r="EZ33" s="13">
        <v>0</v>
      </c>
      <c r="FA33" s="13">
        <v>2013</v>
      </c>
      <c r="FB33" s="13">
        <v>0</v>
      </c>
      <c r="FC33" s="13">
        <v>0</v>
      </c>
      <c r="FD33" s="13">
        <v>0</v>
      </c>
      <c r="FE33" s="13">
        <v>0</v>
      </c>
      <c r="FF33" s="13">
        <v>0</v>
      </c>
      <c r="FG33" s="13">
        <v>0</v>
      </c>
      <c r="FH33" s="13">
        <v>0</v>
      </c>
      <c r="FI33" s="13">
        <v>0</v>
      </c>
    </row>
    <row r="34" spans="1:165" x14ac:dyDescent="0.4">
      <c r="A34" s="35" t="s">
        <v>14</v>
      </c>
      <c r="B34" s="16">
        <v>4414257</v>
      </c>
      <c r="C34" s="16">
        <v>4335634</v>
      </c>
      <c r="D34" s="16">
        <v>4282403</v>
      </c>
      <c r="E34" s="16">
        <v>4233274</v>
      </c>
      <c r="F34" s="16">
        <v>4369000</v>
      </c>
      <c r="G34" s="16">
        <v>4407631</v>
      </c>
      <c r="H34" s="16">
        <v>4415712</v>
      </c>
      <c r="I34" s="16">
        <v>4450124</v>
      </c>
      <c r="J34" s="16">
        <v>4510771</v>
      </c>
      <c r="K34" s="16">
        <v>4569162</v>
      </c>
      <c r="L34" s="16">
        <v>4695398</v>
      </c>
      <c r="M34" s="16">
        <v>4794914</v>
      </c>
      <c r="N34" s="16">
        <v>4859751</v>
      </c>
      <c r="O34" s="16">
        <v>4871518</v>
      </c>
      <c r="P34" s="16">
        <v>4897365</v>
      </c>
      <c r="Q34" s="16">
        <v>4857140</v>
      </c>
      <c r="R34" s="16">
        <v>4845399</v>
      </c>
      <c r="S34" s="16">
        <v>4872632</v>
      </c>
      <c r="T34" s="16">
        <v>4896539</v>
      </c>
      <c r="U34" s="16">
        <v>4940402</v>
      </c>
      <c r="V34" s="16">
        <v>4891647</v>
      </c>
      <c r="W34" s="16">
        <v>4892619</v>
      </c>
      <c r="X34" s="16">
        <v>4941666</v>
      </c>
      <c r="Y34" s="16">
        <v>4850684</v>
      </c>
      <c r="Z34" s="16">
        <v>5892743</v>
      </c>
      <c r="AA34" s="16">
        <v>5896090</v>
      </c>
      <c r="AB34" s="16">
        <v>5945218</v>
      </c>
      <c r="AC34" s="16">
        <v>5791168</v>
      </c>
      <c r="AD34" s="16">
        <v>5922546</v>
      </c>
      <c r="AE34" s="16">
        <v>6002123</v>
      </c>
      <c r="AF34" s="16">
        <v>5864372</v>
      </c>
      <c r="AG34" s="16">
        <v>6001942</v>
      </c>
      <c r="AH34" s="16">
        <v>5797610</v>
      </c>
      <c r="AI34" s="16">
        <v>5829353</v>
      </c>
      <c r="AJ34" s="16">
        <v>5928899</v>
      </c>
      <c r="AK34" s="16">
        <v>5962523</v>
      </c>
      <c r="AL34" s="16">
        <v>6012760</v>
      </c>
      <c r="AM34" s="16">
        <v>5987965</v>
      </c>
      <c r="AN34" s="16">
        <v>6014974</v>
      </c>
      <c r="AO34" s="16">
        <v>6117163</v>
      </c>
      <c r="AP34" s="16">
        <v>6213669</v>
      </c>
      <c r="AQ34" s="16">
        <v>6185050</v>
      </c>
      <c r="AR34" s="16">
        <v>6258021</v>
      </c>
      <c r="AS34" s="16">
        <v>6327842</v>
      </c>
      <c r="AT34" s="16">
        <v>6234177</v>
      </c>
      <c r="AU34" s="16">
        <v>6272802</v>
      </c>
      <c r="AV34" s="16">
        <v>6304948</v>
      </c>
      <c r="AW34" s="16">
        <v>6452684</v>
      </c>
      <c r="AX34" s="16">
        <v>6586035</v>
      </c>
      <c r="AY34" s="16">
        <v>6705803</v>
      </c>
      <c r="AZ34" s="16">
        <v>6798908</v>
      </c>
      <c r="BA34" s="16">
        <v>6947083</v>
      </c>
      <c r="BB34" s="16">
        <v>6955356</v>
      </c>
      <c r="BC34" s="16">
        <v>7120151</v>
      </c>
      <c r="BD34" s="16">
        <v>7116831</v>
      </c>
      <c r="BE34" s="16">
        <v>7247298</v>
      </c>
      <c r="BF34" s="16">
        <v>7400303</v>
      </c>
      <c r="BG34" s="16">
        <v>7572861</v>
      </c>
      <c r="BH34" s="16">
        <v>7703990</v>
      </c>
      <c r="BI34" s="16">
        <v>7841254</v>
      </c>
      <c r="BJ34" s="16">
        <v>7820146</v>
      </c>
      <c r="BK34" s="16">
        <v>7803508</v>
      </c>
      <c r="BL34" s="16">
        <v>7931789</v>
      </c>
      <c r="BM34" s="16">
        <v>7879971</v>
      </c>
      <c r="BN34" s="16">
        <v>7940867</v>
      </c>
      <c r="BO34" s="16">
        <v>8029824</v>
      </c>
      <c r="BP34" s="16">
        <v>8135309</v>
      </c>
      <c r="BQ34" s="16">
        <v>8263828</v>
      </c>
      <c r="BR34" s="16">
        <v>8261190</v>
      </c>
      <c r="BS34" s="16">
        <v>8261275</v>
      </c>
      <c r="BT34" s="16">
        <v>8329030</v>
      </c>
      <c r="BU34" s="16">
        <v>8383079</v>
      </c>
      <c r="BV34" s="16">
        <v>8459574</v>
      </c>
      <c r="BW34" s="16">
        <v>8523295</v>
      </c>
      <c r="BX34" s="16">
        <v>8532611</v>
      </c>
      <c r="BY34" s="16">
        <v>8801502</v>
      </c>
      <c r="BZ34" s="16">
        <v>9213443</v>
      </c>
      <c r="CA34" s="16">
        <v>9344918</v>
      </c>
      <c r="CB34" s="16">
        <v>9453789</v>
      </c>
      <c r="CC34" s="16">
        <v>9758157</v>
      </c>
      <c r="CD34" s="16">
        <v>9835512</v>
      </c>
      <c r="CE34" s="16">
        <v>9942470</v>
      </c>
      <c r="CF34" s="16">
        <v>10055393</v>
      </c>
      <c r="CG34" s="16">
        <v>10172539</v>
      </c>
      <c r="CH34" s="16">
        <v>10146562</v>
      </c>
      <c r="CI34" s="16">
        <v>10080651</v>
      </c>
      <c r="CJ34" s="16">
        <v>10546866</v>
      </c>
      <c r="CK34" s="14">
        <v>10571931</v>
      </c>
      <c r="CL34" s="14">
        <v>10890323</v>
      </c>
      <c r="CM34" s="14">
        <v>11057824</v>
      </c>
      <c r="CN34" s="14">
        <v>11480294</v>
      </c>
      <c r="CO34" s="14">
        <v>11761318</v>
      </c>
      <c r="CP34" s="13">
        <v>11943343</v>
      </c>
      <c r="CQ34" s="13">
        <v>12796005</v>
      </c>
      <c r="CR34" s="13">
        <v>14292454</v>
      </c>
      <c r="CS34" s="13">
        <v>15161436</v>
      </c>
      <c r="CT34" s="13">
        <v>15325835</v>
      </c>
      <c r="CU34" s="13">
        <v>15362638</v>
      </c>
      <c r="CV34" s="13">
        <v>15450620</v>
      </c>
      <c r="CW34" s="13">
        <v>16012522</v>
      </c>
      <c r="CX34" s="13">
        <v>16398078</v>
      </c>
      <c r="CY34" s="13">
        <v>16634732</v>
      </c>
      <c r="CZ34" s="13">
        <v>16847854</v>
      </c>
      <c r="DA34" s="13">
        <v>17016983</v>
      </c>
      <c r="DB34" s="13">
        <v>17161723</v>
      </c>
      <c r="DC34" s="13">
        <v>17352866</v>
      </c>
      <c r="DD34" s="13">
        <v>17355733</v>
      </c>
      <c r="DE34" s="13">
        <v>17391259</v>
      </c>
      <c r="DF34" s="13">
        <v>17081503</v>
      </c>
      <c r="DG34" s="13">
        <v>17094014</v>
      </c>
      <c r="DH34" s="13">
        <v>17202544</v>
      </c>
      <c r="DI34" s="13">
        <v>17200532</v>
      </c>
      <c r="DJ34" s="13">
        <v>17183023</v>
      </c>
      <c r="DK34" s="13">
        <v>17234109</v>
      </c>
      <c r="DL34" s="13">
        <v>17249865</v>
      </c>
      <c r="DM34" s="13">
        <v>16841352</v>
      </c>
      <c r="DN34" s="13">
        <v>16831664</v>
      </c>
      <c r="DO34" s="13">
        <v>16822774</v>
      </c>
      <c r="DP34" s="13">
        <v>16976469</v>
      </c>
      <c r="DQ34" s="13">
        <v>17996186</v>
      </c>
      <c r="DR34" s="13">
        <v>19553554</v>
      </c>
      <c r="DS34" s="13">
        <v>19637439</v>
      </c>
      <c r="DT34" s="13">
        <v>19920345</v>
      </c>
      <c r="DU34" s="13">
        <v>20118883</v>
      </c>
      <c r="DV34" s="13">
        <v>20356187</v>
      </c>
      <c r="DW34" s="13">
        <v>20568001</v>
      </c>
      <c r="DX34" s="13">
        <v>21002129</v>
      </c>
      <c r="DY34" s="13">
        <v>21156861</v>
      </c>
      <c r="DZ34" s="13">
        <v>21205518</v>
      </c>
      <c r="EA34" s="13">
        <v>21307665</v>
      </c>
      <c r="EB34" s="13">
        <v>21319764</v>
      </c>
      <c r="EC34" s="13">
        <v>21653330</v>
      </c>
      <c r="ED34" s="13">
        <v>21792726</v>
      </c>
      <c r="EE34" s="13">
        <v>21978324</v>
      </c>
      <c r="EF34" s="13">
        <v>22116152</v>
      </c>
      <c r="EG34" s="13">
        <v>22273116</v>
      </c>
      <c r="EH34" s="13">
        <v>22230985</v>
      </c>
      <c r="EI34" s="13">
        <v>22391875</v>
      </c>
      <c r="EJ34" s="13">
        <v>22430599</v>
      </c>
      <c r="EK34" s="25">
        <f t="shared" si="0"/>
        <v>-252574</v>
      </c>
      <c r="EL34" s="13">
        <v>22178025</v>
      </c>
      <c r="EM34" s="25">
        <f t="shared" si="1"/>
        <v>410523</v>
      </c>
      <c r="EN34" s="13">
        <v>22588548</v>
      </c>
      <c r="EO34" s="25">
        <f t="shared" si="2"/>
        <v>165811</v>
      </c>
      <c r="EP34" s="13">
        <v>22754359</v>
      </c>
      <c r="EQ34" s="25">
        <f t="shared" si="3"/>
        <v>-236373</v>
      </c>
      <c r="ER34" s="13">
        <v>22517986</v>
      </c>
      <c r="ES34" s="25">
        <f t="shared" si="4"/>
        <v>165221</v>
      </c>
      <c r="ET34" s="13">
        <v>22683207</v>
      </c>
      <c r="EU34" s="25">
        <f t="shared" si="5"/>
        <v>4263311</v>
      </c>
      <c r="EV34" s="13">
        <v>26946518</v>
      </c>
      <c r="EW34" s="13">
        <v>26616425</v>
      </c>
      <c r="EX34" s="13">
        <v>27255910</v>
      </c>
      <c r="EY34" s="13">
        <v>27605549</v>
      </c>
      <c r="EZ34" s="13">
        <v>27883787</v>
      </c>
      <c r="FA34" s="13">
        <v>28417772</v>
      </c>
      <c r="FB34" s="13">
        <v>28982557</v>
      </c>
      <c r="FC34" s="13">
        <v>29436010</v>
      </c>
      <c r="FD34" s="13">
        <v>29956636</v>
      </c>
      <c r="FE34" s="13">
        <v>30200873</v>
      </c>
      <c r="FF34" s="13">
        <v>31084169</v>
      </c>
      <c r="FG34" s="13">
        <v>32838131</v>
      </c>
      <c r="FH34" s="13">
        <v>33429770</v>
      </c>
      <c r="FI34" s="13">
        <v>33604918</v>
      </c>
    </row>
    <row r="35" spans="1:165" x14ac:dyDescent="0.4">
      <c r="A35" s="35" t="s">
        <v>27</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v>728232</v>
      </c>
      <c r="BW35" s="16">
        <v>971271</v>
      </c>
      <c r="BX35" s="16">
        <v>821267</v>
      </c>
      <c r="BY35" s="16">
        <v>818588</v>
      </c>
      <c r="BZ35" s="16">
        <v>825948</v>
      </c>
      <c r="CA35" s="16">
        <v>809482</v>
      </c>
      <c r="CB35" s="16">
        <v>807334</v>
      </c>
      <c r="CC35" s="16">
        <v>809741</v>
      </c>
      <c r="CD35" s="16">
        <v>816015</v>
      </c>
      <c r="CE35" s="16">
        <v>824086</v>
      </c>
      <c r="CF35" s="16">
        <v>708528</v>
      </c>
      <c r="CG35" s="16">
        <v>713564</v>
      </c>
      <c r="CH35" s="16">
        <v>565997</v>
      </c>
      <c r="CI35" s="16">
        <v>315994</v>
      </c>
      <c r="CJ35" s="16">
        <v>394526</v>
      </c>
      <c r="CK35" s="14">
        <v>413026</v>
      </c>
      <c r="CL35" s="14">
        <v>537026</v>
      </c>
      <c r="CM35" s="14">
        <v>301248</v>
      </c>
      <c r="CN35" s="14">
        <v>310002</v>
      </c>
      <c r="CO35" s="14">
        <v>309218</v>
      </c>
      <c r="CP35" s="13">
        <v>596083</v>
      </c>
      <c r="CQ35" s="13">
        <v>583059</v>
      </c>
      <c r="CR35" s="13">
        <v>587781</v>
      </c>
      <c r="CS35" s="13">
        <v>627815</v>
      </c>
      <c r="CT35" s="13">
        <v>1037677</v>
      </c>
      <c r="CU35" s="13">
        <v>1043104</v>
      </c>
      <c r="CV35" s="13">
        <v>961285</v>
      </c>
      <c r="CW35" s="13">
        <v>948081</v>
      </c>
      <c r="CX35" s="13">
        <v>790535</v>
      </c>
      <c r="CY35" s="13">
        <v>792489</v>
      </c>
      <c r="CZ35" s="13">
        <v>809296</v>
      </c>
      <c r="DA35" s="13">
        <v>1259298</v>
      </c>
      <c r="DB35" s="13">
        <v>970760</v>
      </c>
      <c r="DC35" s="13">
        <v>977403</v>
      </c>
      <c r="DD35" s="13">
        <v>1001853</v>
      </c>
      <c r="DE35" s="13">
        <v>1177707</v>
      </c>
      <c r="DF35" s="13">
        <v>1111038</v>
      </c>
      <c r="DG35" s="13">
        <v>1258775</v>
      </c>
      <c r="DH35" s="13">
        <v>1264273</v>
      </c>
      <c r="DI35" s="13">
        <v>1270470</v>
      </c>
      <c r="DJ35" s="13">
        <v>1270266</v>
      </c>
      <c r="DK35" s="13">
        <v>1311769</v>
      </c>
      <c r="DL35" s="13">
        <v>1282520</v>
      </c>
      <c r="DM35" s="13">
        <v>838743</v>
      </c>
      <c r="DN35" s="13">
        <v>1326772</v>
      </c>
      <c r="DO35" s="13">
        <v>1331627</v>
      </c>
      <c r="DP35" s="13">
        <v>1470601</v>
      </c>
      <c r="DQ35" s="13">
        <v>1258869</v>
      </c>
      <c r="DR35" s="13">
        <v>901307</v>
      </c>
      <c r="DS35" s="13">
        <v>746340</v>
      </c>
      <c r="DT35" s="13">
        <v>1116333</v>
      </c>
      <c r="DU35" s="13">
        <v>1129081</v>
      </c>
      <c r="DV35" s="13">
        <v>1473449</v>
      </c>
      <c r="DW35" s="13">
        <v>1449121</v>
      </c>
      <c r="DX35" s="13">
        <v>1471083</v>
      </c>
      <c r="DY35" s="13">
        <v>1862535</v>
      </c>
      <c r="DZ35" s="13">
        <v>1367181</v>
      </c>
      <c r="EA35" s="13">
        <v>1374332</v>
      </c>
      <c r="EB35" s="13">
        <v>1574288</v>
      </c>
      <c r="EC35" s="13">
        <v>1584283</v>
      </c>
      <c r="ED35" s="13">
        <v>1584551</v>
      </c>
      <c r="EE35" s="13">
        <v>1959524</v>
      </c>
      <c r="EF35" s="13">
        <v>1586947</v>
      </c>
      <c r="EG35" s="13">
        <v>1624414</v>
      </c>
      <c r="EH35" s="13">
        <v>1266256</v>
      </c>
      <c r="EI35" s="13">
        <v>1294852</v>
      </c>
      <c r="EJ35" s="13">
        <v>1309235</v>
      </c>
      <c r="EK35" s="25">
        <f t="shared" si="0"/>
        <v>69532</v>
      </c>
      <c r="EL35" s="13">
        <v>1378767</v>
      </c>
      <c r="EM35" s="25">
        <f t="shared" si="1"/>
        <v>-5971</v>
      </c>
      <c r="EN35" s="13">
        <v>1372796</v>
      </c>
      <c r="EO35" s="25">
        <f t="shared" si="2"/>
        <v>52377</v>
      </c>
      <c r="EP35" s="13">
        <v>1425173</v>
      </c>
      <c r="EQ35" s="25">
        <f t="shared" si="3"/>
        <v>-361813</v>
      </c>
      <c r="ER35" s="13">
        <v>1063360</v>
      </c>
      <c r="ES35" s="25">
        <f t="shared" si="4"/>
        <v>440744</v>
      </c>
      <c r="ET35" s="13">
        <v>1504104</v>
      </c>
      <c r="EU35" s="25">
        <f t="shared" si="5"/>
        <v>10170</v>
      </c>
      <c r="EV35" s="13">
        <v>1514274</v>
      </c>
      <c r="EW35" s="13">
        <v>1089744</v>
      </c>
      <c r="EX35" s="13">
        <v>1220706</v>
      </c>
      <c r="EY35" s="13">
        <v>1643947</v>
      </c>
      <c r="EZ35" s="13">
        <v>1670538</v>
      </c>
      <c r="FA35" s="13">
        <v>1842544</v>
      </c>
      <c r="FB35" s="13">
        <v>1848192</v>
      </c>
      <c r="FC35" s="13">
        <v>1412222</v>
      </c>
      <c r="FD35" s="13">
        <v>1440813</v>
      </c>
      <c r="FE35" s="13">
        <v>1793077</v>
      </c>
      <c r="FF35" s="13">
        <v>2135033</v>
      </c>
      <c r="FG35" s="13">
        <v>1680062</v>
      </c>
      <c r="FH35" s="13">
        <v>1697711</v>
      </c>
      <c r="FI35" s="13">
        <v>1700863</v>
      </c>
    </row>
    <row r="36" spans="1:165" x14ac:dyDescent="0.4">
      <c r="A36" s="35" t="s">
        <v>30</v>
      </c>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v>7731342</v>
      </c>
      <c r="BW36" s="16">
        <v>7552024</v>
      </c>
      <c r="BX36" s="16">
        <v>7711344</v>
      </c>
      <c r="BY36" s="16">
        <v>7982915</v>
      </c>
      <c r="BZ36" s="16">
        <v>8387495</v>
      </c>
      <c r="CA36" s="16">
        <v>8535435</v>
      </c>
      <c r="CB36" s="16">
        <v>8646455</v>
      </c>
      <c r="CC36" s="16">
        <v>8948416</v>
      </c>
      <c r="CD36" s="16">
        <v>9019497</v>
      </c>
      <c r="CE36" s="16">
        <v>9118384</v>
      </c>
      <c r="CF36" s="16">
        <v>9346865</v>
      </c>
      <c r="CG36" s="16">
        <v>9458975</v>
      </c>
      <c r="CH36" s="16">
        <v>9580565</v>
      </c>
      <c r="CI36" s="16">
        <v>9764657</v>
      </c>
      <c r="CJ36" s="16">
        <v>10152340</v>
      </c>
      <c r="CK36" s="14">
        <v>10158905</v>
      </c>
      <c r="CL36" s="14">
        <v>10353297</v>
      </c>
      <c r="CM36" s="14">
        <v>10756576</v>
      </c>
      <c r="CN36" s="14">
        <v>11170292</v>
      </c>
      <c r="CO36" s="14">
        <v>11452100</v>
      </c>
      <c r="CP36" s="13">
        <v>11347260</v>
      </c>
      <c r="CQ36" s="13">
        <v>12212945</v>
      </c>
      <c r="CR36" s="13">
        <v>13704673</v>
      </c>
      <c r="CS36" s="13">
        <v>14533621</v>
      </c>
      <c r="CT36" s="13">
        <v>14288158</v>
      </c>
      <c r="CU36" s="13">
        <v>14319533</v>
      </c>
      <c r="CV36" s="13">
        <v>14489334</v>
      </c>
      <c r="CW36" s="13">
        <v>15064441</v>
      </c>
      <c r="CX36" s="13">
        <v>15607543</v>
      </c>
      <c r="CY36" s="13">
        <v>15842243</v>
      </c>
      <c r="CZ36" s="13">
        <v>16038558</v>
      </c>
      <c r="DA36" s="13">
        <v>15757685</v>
      </c>
      <c r="DB36" s="13">
        <v>16190963</v>
      </c>
      <c r="DC36" s="13">
        <v>16375463</v>
      </c>
      <c r="DD36" s="13">
        <v>16353880</v>
      </c>
      <c r="DE36" s="13">
        <v>16213552</v>
      </c>
      <c r="DF36" s="13">
        <v>15970465</v>
      </c>
      <c r="DG36" s="13">
        <v>15835239</v>
      </c>
      <c r="DH36" s="13">
        <v>15938271</v>
      </c>
      <c r="DI36" s="13">
        <v>15930062</v>
      </c>
      <c r="DJ36" s="13">
        <v>15912758</v>
      </c>
      <c r="DK36" s="13">
        <v>15922341</v>
      </c>
      <c r="DL36" s="13">
        <v>15967345</v>
      </c>
      <c r="DM36" s="13">
        <v>16002608</v>
      </c>
      <c r="DN36" s="13">
        <v>15504892</v>
      </c>
      <c r="DO36" s="13">
        <v>15491147</v>
      </c>
      <c r="DP36" s="13">
        <v>15505868</v>
      </c>
      <c r="DQ36" s="13">
        <v>16737317</v>
      </c>
      <c r="DR36" s="13">
        <v>18652247</v>
      </c>
      <c r="DS36" s="13">
        <v>18891099</v>
      </c>
      <c r="DT36" s="13">
        <v>18804012</v>
      </c>
      <c r="DU36" s="13">
        <v>18989802</v>
      </c>
      <c r="DV36" s="13">
        <v>18882738</v>
      </c>
      <c r="DW36" s="13">
        <v>19118881</v>
      </c>
      <c r="DX36" s="13">
        <v>19531046</v>
      </c>
      <c r="DY36" s="13">
        <v>19294326</v>
      </c>
      <c r="DZ36" s="13">
        <v>19838337</v>
      </c>
      <c r="EA36" s="13">
        <v>19933333</v>
      </c>
      <c r="EB36" s="13">
        <v>19745476</v>
      </c>
      <c r="EC36" s="13">
        <v>20069046</v>
      </c>
      <c r="ED36" s="13">
        <v>20208174</v>
      </c>
      <c r="EE36" s="13">
        <v>20018800</v>
      </c>
      <c r="EF36" s="13">
        <v>20529206</v>
      </c>
      <c r="EG36" s="13">
        <v>20648702</v>
      </c>
      <c r="EH36" s="13">
        <v>20964729</v>
      </c>
      <c r="EI36" s="13">
        <v>21097023</v>
      </c>
      <c r="EJ36" s="13">
        <v>21121364</v>
      </c>
      <c r="EK36" s="25">
        <f t="shared" si="0"/>
        <v>-322105</v>
      </c>
      <c r="EL36" s="13">
        <v>20799259</v>
      </c>
      <c r="EM36" s="25">
        <f t="shared" si="1"/>
        <v>416494</v>
      </c>
      <c r="EN36" s="13">
        <v>21215753</v>
      </c>
      <c r="EO36" s="25">
        <f t="shared" si="2"/>
        <v>113434</v>
      </c>
      <c r="EP36" s="13">
        <v>21329187</v>
      </c>
      <c r="EQ36" s="25">
        <f t="shared" si="3"/>
        <v>125439</v>
      </c>
      <c r="ER36" s="13">
        <v>21454626</v>
      </c>
      <c r="ES36" s="25">
        <f t="shared" si="4"/>
        <v>-275523</v>
      </c>
      <c r="ET36" s="13">
        <v>21179103</v>
      </c>
      <c r="EU36" s="25">
        <f t="shared" si="5"/>
        <v>4253141</v>
      </c>
      <c r="EV36" s="13">
        <v>25432244</v>
      </c>
      <c r="EW36" s="13">
        <v>25526682</v>
      </c>
      <c r="EX36" s="13">
        <v>26035204</v>
      </c>
      <c r="EY36" s="13">
        <v>25961602</v>
      </c>
      <c r="EZ36" s="13">
        <v>26213249</v>
      </c>
      <c r="FA36" s="13">
        <v>26575228</v>
      </c>
      <c r="FB36" s="13">
        <v>27134365</v>
      </c>
      <c r="FC36" s="13">
        <v>28023788</v>
      </c>
      <c r="FD36" s="13">
        <v>28515823</v>
      </c>
      <c r="FE36" s="13">
        <v>28407796</v>
      </c>
      <c r="FF36" s="13">
        <v>28949136</v>
      </c>
      <c r="FG36" s="13">
        <v>31158068</v>
      </c>
      <c r="FH36" s="13">
        <v>31732059</v>
      </c>
      <c r="FI36" s="13">
        <v>31904055</v>
      </c>
    </row>
    <row r="37" spans="1:165" x14ac:dyDescent="0.4">
      <c r="A37" s="34" t="s">
        <v>7</v>
      </c>
      <c r="B37" s="16">
        <v>1838806</v>
      </c>
      <c r="C37" s="16">
        <v>1817095</v>
      </c>
      <c r="D37" s="16">
        <v>1877482</v>
      </c>
      <c r="E37" s="16">
        <v>1946070</v>
      </c>
      <c r="F37" s="16">
        <v>1936513</v>
      </c>
      <c r="G37" s="16">
        <v>1931038</v>
      </c>
      <c r="H37" s="16">
        <v>2009239</v>
      </c>
      <c r="I37" s="16">
        <v>2028613</v>
      </c>
      <c r="J37" s="16">
        <v>2017485</v>
      </c>
      <c r="K37" s="16">
        <v>2051738</v>
      </c>
      <c r="L37" s="16">
        <v>2043224</v>
      </c>
      <c r="M37" s="16">
        <v>2127696</v>
      </c>
      <c r="N37" s="16">
        <v>2130393</v>
      </c>
      <c r="O37" s="16">
        <v>2189168</v>
      </c>
      <c r="P37" s="16">
        <v>2210883</v>
      </c>
      <c r="Q37" s="16">
        <v>2141043</v>
      </c>
      <c r="R37" s="16">
        <v>2114139</v>
      </c>
      <c r="S37" s="16">
        <v>2111418</v>
      </c>
      <c r="T37" s="16">
        <v>2136203</v>
      </c>
      <c r="U37" s="16">
        <v>2113383</v>
      </c>
      <c r="V37" s="16">
        <v>2098723</v>
      </c>
      <c r="W37" s="16">
        <v>2118221</v>
      </c>
      <c r="X37" s="16">
        <v>2180573</v>
      </c>
      <c r="Y37" s="16">
        <v>2147575</v>
      </c>
      <c r="Z37" s="16">
        <v>2730955</v>
      </c>
      <c r="AA37" s="16">
        <v>3117056</v>
      </c>
      <c r="AB37" s="16">
        <v>3113463</v>
      </c>
      <c r="AC37" s="16">
        <v>3146386</v>
      </c>
      <c r="AD37" s="16">
        <v>3169314</v>
      </c>
      <c r="AE37" s="16">
        <v>3284415</v>
      </c>
      <c r="AF37" s="16">
        <v>3350885</v>
      </c>
      <c r="AG37" s="16">
        <v>3445087</v>
      </c>
      <c r="AH37" s="16">
        <v>3474152</v>
      </c>
      <c r="AI37" s="16">
        <v>3471126</v>
      </c>
      <c r="AJ37" s="16">
        <v>3519799</v>
      </c>
      <c r="AK37" s="16">
        <v>3567386</v>
      </c>
      <c r="AL37" s="16">
        <v>3684910</v>
      </c>
      <c r="AM37" s="16">
        <v>3712400</v>
      </c>
      <c r="AN37" s="16">
        <v>3649228</v>
      </c>
      <c r="AO37" s="16">
        <v>3736125</v>
      </c>
      <c r="AP37" s="16">
        <v>3917614</v>
      </c>
      <c r="AQ37" s="16">
        <v>3982742</v>
      </c>
      <c r="AR37" s="16">
        <v>4052069</v>
      </c>
      <c r="AS37" s="16">
        <v>4069027</v>
      </c>
      <c r="AT37" s="16">
        <v>4122051</v>
      </c>
      <c r="AU37" s="16">
        <v>4274917</v>
      </c>
      <c r="AV37" s="16">
        <v>4324419</v>
      </c>
      <c r="AW37" s="16">
        <v>4374061</v>
      </c>
      <c r="AX37" s="16">
        <v>5053805</v>
      </c>
      <c r="AY37" s="16">
        <v>5050952</v>
      </c>
      <c r="AZ37" s="16">
        <v>5090700</v>
      </c>
      <c r="BA37" s="16">
        <v>5150061</v>
      </c>
      <c r="BB37" s="16">
        <v>5250157</v>
      </c>
      <c r="BC37" s="16">
        <v>5402541</v>
      </c>
      <c r="BD37" s="16">
        <v>5415548</v>
      </c>
      <c r="BE37" s="16">
        <v>5697653</v>
      </c>
      <c r="BF37" s="16">
        <v>5728864</v>
      </c>
      <c r="BG37" s="16">
        <v>5729307</v>
      </c>
      <c r="BH37" s="16">
        <v>5837974</v>
      </c>
      <c r="BI37" s="16">
        <v>5838426</v>
      </c>
      <c r="BJ37" s="16">
        <v>6505723</v>
      </c>
      <c r="BK37" s="16">
        <v>6477437</v>
      </c>
      <c r="BL37" s="16">
        <v>6562971</v>
      </c>
      <c r="BM37" s="16">
        <v>6655271</v>
      </c>
      <c r="BN37" s="16">
        <v>6688133</v>
      </c>
      <c r="BO37" s="16">
        <v>6613108</v>
      </c>
      <c r="BP37" s="16">
        <v>6625899</v>
      </c>
      <c r="BQ37" s="16">
        <v>6608488</v>
      </c>
      <c r="BR37" s="16">
        <v>6583416</v>
      </c>
      <c r="BS37" s="16">
        <v>6523303</v>
      </c>
      <c r="BT37" s="16">
        <v>6496028</v>
      </c>
      <c r="BU37" s="16">
        <v>6583203</v>
      </c>
      <c r="BV37" s="16">
        <v>6587234</v>
      </c>
      <c r="BW37" s="16">
        <v>6588965</v>
      </c>
      <c r="BX37" s="16">
        <v>6655749</v>
      </c>
      <c r="BY37" s="16">
        <v>6659244</v>
      </c>
      <c r="BZ37" s="16">
        <v>6805585</v>
      </c>
      <c r="CA37" s="16">
        <v>6791912</v>
      </c>
      <c r="CB37" s="16">
        <v>6846076</v>
      </c>
      <c r="CC37" s="16">
        <v>6960076</v>
      </c>
      <c r="CD37" s="16">
        <v>6960492</v>
      </c>
      <c r="CE37" s="16">
        <v>6912276</v>
      </c>
      <c r="CF37" s="16">
        <v>7052809</v>
      </c>
      <c r="CG37" s="16">
        <v>7189768</v>
      </c>
      <c r="CH37" s="16">
        <v>7339503</v>
      </c>
      <c r="CI37" s="16">
        <v>7366647</v>
      </c>
      <c r="CJ37" s="16">
        <v>7554504</v>
      </c>
      <c r="CK37" s="14">
        <v>7550424</v>
      </c>
      <c r="CL37" s="14">
        <v>7643076</v>
      </c>
      <c r="CM37" s="14">
        <v>7739620</v>
      </c>
      <c r="CN37" s="14">
        <v>7723207</v>
      </c>
      <c r="CO37" s="14">
        <v>7791988</v>
      </c>
      <c r="CP37" s="13">
        <v>7865060</v>
      </c>
      <c r="CQ37" s="13">
        <v>7847567</v>
      </c>
      <c r="CR37" s="13">
        <v>7935047</v>
      </c>
      <c r="CS37" s="13">
        <v>8836642</v>
      </c>
      <c r="CT37" s="13">
        <v>9000492</v>
      </c>
      <c r="CU37" s="13">
        <v>8581465</v>
      </c>
      <c r="CV37" s="13">
        <v>8651809</v>
      </c>
      <c r="CW37" s="13">
        <v>8681043</v>
      </c>
      <c r="CX37" s="13">
        <v>8624475</v>
      </c>
      <c r="CY37" s="13">
        <v>8604914</v>
      </c>
      <c r="CZ37" s="13">
        <v>8575644</v>
      </c>
      <c r="DA37" s="13">
        <v>8805907</v>
      </c>
      <c r="DB37" s="13">
        <v>8937642</v>
      </c>
      <c r="DC37" s="13">
        <v>8960242</v>
      </c>
      <c r="DD37" s="13">
        <v>9121729</v>
      </c>
      <c r="DE37" s="13">
        <v>9139963</v>
      </c>
      <c r="DF37" s="13">
        <v>9151818</v>
      </c>
      <c r="DG37" s="13">
        <v>9102872</v>
      </c>
      <c r="DH37" s="13">
        <v>8948022</v>
      </c>
      <c r="DI37" s="13">
        <v>8757480</v>
      </c>
      <c r="DJ37" s="13">
        <v>8681467</v>
      </c>
      <c r="DK37" s="13">
        <v>8627389</v>
      </c>
      <c r="DL37" s="13">
        <v>8642527</v>
      </c>
      <c r="DM37" s="13">
        <v>8770604</v>
      </c>
      <c r="DN37" s="13">
        <v>8897670</v>
      </c>
      <c r="DO37" s="13">
        <v>9013125</v>
      </c>
      <c r="DP37" s="13">
        <v>9161461</v>
      </c>
      <c r="DQ37" s="13">
        <v>9075962</v>
      </c>
      <c r="DR37" s="13">
        <v>9287968</v>
      </c>
      <c r="DS37" s="13">
        <v>9244802</v>
      </c>
      <c r="DT37" s="13">
        <v>9269964</v>
      </c>
      <c r="DU37" s="13">
        <v>9470628</v>
      </c>
      <c r="DV37" s="13">
        <v>9626677</v>
      </c>
      <c r="DW37" s="13">
        <v>9705447</v>
      </c>
      <c r="DX37" s="13">
        <v>9734479</v>
      </c>
      <c r="DY37" s="13">
        <v>9915758</v>
      </c>
      <c r="DZ37" s="13">
        <v>9735726</v>
      </c>
      <c r="EA37" s="13">
        <v>9697416</v>
      </c>
      <c r="EB37" s="13">
        <v>9631906</v>
      </c>
      <c r="EC37" s="13">
        <v>9637552</v>
      </c>
      <c r="ED37" s="13">
        <v>9968148</v>
      </c>
      <c r="EE37" s="13">
        <v>9967076</v>
      </c>
      <c r="EF37" s="13">
        <v>10151227</v>
      </c>
      <c r="EG37" s="13">
        <v>10513472</v>
      </c>
      <c r="EH37" s="13">
        <v>10544280</v>
      </c>
      <c r="EI37" s="13">
        <v>10527887</v>
      </c>
      <c r="EJ37" s="13">
        <v>10653543</v>
      </c>
      <c r="EK37" s="25">
        <f t="shared" si="0"/>
        <v>109433</v>
      </c>
      <c r="EL37" s="13">
        <v>10762976</v>
      </c>
      <c r="EM37" s="25">
        <f t="shared" si="1"/>
        <v>248995</v>
      </c>
      <c r="EN37" s="13">
        <v>11011971</v>
      </c>
      <c r="EO37" s="25">
        <f t="shared" si="2"/>
        <v>428729</v>
      </c>
      <c r="EP37" s="13">
        <v>11440700</v>
      </c>
      <c r="EQ37" s="25">
        <f t="shared" si="3"/>
        <v>168769</v>
      </c>
      <c r="ER37" s="13">
        <v>11609469</v>
      </c>
      <c r="ES37" s="25">
        <f t="shared" si="4"/>
        <v>779822</v>
      </c>
      <c r="ET37" s="13">
        <v>12389291</v>
      </c>
      <c r="EU37" s="25">
        <f t="shared" si="5"/>
        <v>347163</v>
      </c>
      <c r="EV37" s="13">
        <v>12736454</v>
      </c>
      <c r="EW37" s="13">
        <v>13026581</v>
      </c>
      <c r="EX37" s="13">
        <v>13063022</v>
      </c>
      <c r="EY37" s="13">
        <v>13488577</v>
      </c>
      <c r="EZ37" s="13">
        <v>14024574</v>
      </c>
      <c r="FA37" s="13">
        <v>14036649</v>
      </c>
      <c r="FB37" s="13">
        <v>14596106</v>
      </c>
      <c r="FC37" s="13">
        <v>14980778</v>
      </c>
      <c r="FD37" s="13">
        <v>15421303</v>
      </c>
      <c r="FE37" s="13">
        <v>15701391</v>
      </c>
      <c r="FF37" s="13">
        <v>15827531</v>
      </c>
      <c r="FG37" s="13">
        <v>15727309</v>
      </c>
      <c r="FH37" s="13">
        <v>15910882</v>
      </c>
      <c r="FI37" s="13">
        <v>15907208</v>
      </c>
    </row>
    <row r="38" spans="1:165" x14ac:dyDescent="0.4">
      <c r="A38" s="35" t="s">
        <v>13</v>
      </c>
      <c r="B38" s="16">
        <v>0</v>
      </c>
      <c r="C38" s="16">
        <v>0</v>
      </c>
      <c r="D38" s="16">
        <v>2000</v>
      </c>
      <c r="E38" s="16">
        <v>2000</v>
      </c>
      <c r="F38" s="16">
        <v>2000</v>
      </c>
      <c r="G38" s="16">
        <v>2000</v>
      </c>
      <c r="H38" s="16">
        <v>2000</v>
      </c>
      <c r="I38" s="16">
        <v>2000</v>
      </c>
      <c r="J38" s="16">
        <v>2000</v>
      </c>
      <c r="K38" s="16">
        <v>2000</v>
      </c>
      <c r="L38" s="16">
        <v>2000</v>
      </c>
      <c r="M38" s="16">
        <v>2000</v>
      </c>
      <c r="N38" s="16">
        <v>2000</v>
      </c>
      <c r="O38" s="16">
        <v>0</v>
      </c>
      <c r="P38" s="16">
        <v>0</v>
      </c>
      <c r="Q38" s="16">
        <v>0</v>
      </c>
      <c r="R38" s="16">
        <v>0</v>
      </c>
      <c r="S38" s="16">
        <v>15038</v>
      </c>
      <c r="T38" s="16">
        <v>15077</v>
      </c>
      <c r="U38" s="16">
        <v>15008</v>
      </c>
      <c r="V38" s="16">
        <v>15014</v>
      </c>
      <c r="W38" s="16">
        <v>14982</v>
      </c>
      <c r="X38" s="16">
        <v>29949</v>
      </c>
      <c r="Y38" s="16">
        <v>29741</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100</v>
      </c>
      <c r="AV38" s="16">
        <v>100</v>
      </c>
      <c r="AW38" s="16">
        <v>100</v>
      </c>
      <c r="AX38" s="16">
        <v>100</v>
      </c>
      <c r="AY38" s="16">
        <v>100</v>
      </c>
      <c r="AZ38" s="16">
        <v>100</v>
      </c>
      <c r="BA38" s="16">
        <v>100</v>
      </c>
      <c r="BB38" s="16">
        <v>130</v>
      </c>
      <c r="BC38" s="16">
        <v>130</v>
      </c>
      <c r="BD38" s="16">
        <v>130</v>
      </c>
      <c r="BE38" s="16">
        <v>130</v>
      </c>
      <c r="BF38" s="16">
        <v>130</v>
      </c>
      <c r="BG38" s="16">
        <v>60</v>
      </c>
      <c r="BH38" s="16">
        <v>560</v>
      </c>
      <c r="BI38" s="16">
        <v>560</v>
      </c>
      <c r="BJ38" s="16">
        <v>10049</v>
      </c>
      <c r="BK38" s="16">
        <v>15080</v>
      </c>
      <c r="BL38" s="16">
        <v>10119</v>
      </c>
      <c r="BM38" s="16">
        <v>11839</v>
      </c>
      <c r="BN38" s="16">
        <v>10097</v>
      </c>
      <c r="BO38" s="16">
        <v>10840</v>
      </c>
      <c r="BP38" s="16">
        <v>11025</v>
      </c>
      <c r="BQ38" s="16">
        <v>10998</v>
      </c>
      <c r="BR38" s="16">
        <v>11001</v>
      </c>
      <c r="BS38" s="16">
        <v>10958</v>
      </c>
      <c r="BT38" s="16">
        <v>10957</v>
      </c>
      <c r="BU38" s="16">
        <v>10206</v>
      </c>
      <c r="BV38" s="16">
        <v>207</v>
      </c>
      <c r="BW38" s="16">
        <v>208</v>
      </c>
      <c r="BX38" s="16">
        <v>209</v>
      </c>
      <c r="BY38" s="16">
        <v>200</v>
      </c>
      <c r="BZ38" s="16">
        <v>0</v>
      </c>
      <c r="CA38" s="16">
        <v>0</v>
      </c>
      <c r="CB38" s="16">
        <v>0</v>
      </c>
      <c r="CC38" s="16">
        <v>0</v>
      </c>
      <c r="CD38" s="16">
        <v>0</v>
      </c>
      <c r="CE38" s="16">
        <v>50</v>
      </c>
      <c r="CF38" s="16">
        <v>50</v>
      </c>
      <c r="CG38" s="16">
        <v>90</v>
      </c>
      <c r="CH38" s="16">
        <v>90</v>
      </c>
      <c r="CI38" s="16">
        <v>190</v>
      </c>
      <c r="CJ38" s="16">
        <v>195</v>
      </c>
      <c r="CK38" s="14">
        <v>192</v>
      </c>
      <c r="CL38" s="14">
        <v>194</v>
      </c>
      <c r="CM38" s="14">
        <v>195</v>
      </c>
      <c r="CN38" s="14">
        <v>191</v>
      </c>
      <c r="CO38" s="14">
        <v>195</v>
      </c>
      <c r="CP38" s="13">
        <v>196</v>
      </c>
      <c r="CQ38" s="13">
        <v>142</v>
      </c>
      <c r="CR38" s="13">
        <v>164</v>
      </c>
      <c r="CS38" s="13">
        <v>334</v>
      </c>
      <c r="CT38" s="13">
        <v>371</v>
      </c>
      <c r="CU38" s="13">
        <v>373</v>
      </c>
      <c r="CV38" s="13">
        <v>373</v>
      </c>
      <c r="CW38" s="13">
        <v>369</v>
      </c>
      <c r="CX38" s="13">
        <v>370</v>
      </c>
      <c r="CY38" s="13">
        <v>370</v>
      </c>
      <c r="CZ38" s="13">
        <v>406</v>
      </c>
      <c r="DA38" s="13">
        <v>387</v>
      </c>
      <c r="DB38" s="13">
        <v>386</v>
      </c>
      <c r="DC38" s="13">
        <v>215</v>
      </c>
      <c r="DD38" s="13">
        <v>6416</v>
      </c>
      <c r="DE38" s="13">
        <v>6783</v>
      </c>
      <c r="DF38" s="13">
        <v>6677</v>
      </c>
      <c r="DG38" s="13">
        <v>7001</v>
      </c>
      <c r="DH38" s="13">
        <v>7522</v>
      </c>
      <c r="DI38" s="13">
        <v>7539</v>
      </c>
      <c r="DJ38" s="13">
        <v>6375</v>
      </c>
      <c r="DK38" s="13">
        <v>5671</v>
      </c>
      <c r="DL38" s="13">
        <v>4604</v>
      </c>
      <c r="DM38" s="13">
        <v>5524</v>
      </c>
      <c r="DN38" s="13">
        <v>5446</v>
      </c>
      <c r="DO38" s="13">
        <v>5186</v>
      </c>
      <c r="DP38" s="13">
        <v>34393</v>
      </c>
      <c r="DQ38" s="13">
        <v>34346</v>
      </c>
      <c r="DR38" s="13">
        <v>39612</v>
      </c>
      <c r="DS38" s="13">
        <v>39837</v>
      </c>
      <c r="DT38" s="13">
        <v>42526</v>
      </c>
      <c r="DU38" s="13">
        <v>44248</v>
      </c>
      <c r="DV38" s="13">
        <v>0</v>
      </c>
      <c r="DW38" s="13">
        <v>2019</v>
      </c>
      <c r="DX38" s="13">
        <v>2188</v>
      </c>
      <c r="DY38" s="13">
        <v>2297</v>
      </c>
      <c r="DZ38" s="13">
        <v>2599</v>
      </c>
      <c r="EA38" s="13">
        <v>2654</v>
      </c>
      <c r="EB38" s="13">
        <v>2562</v>
      </c>
      <c r="EC38" s="13">
        <v>2466</v>
      </c>
      <c r="ED38" s="13">
        <v>34907</v>
      </c>
      <c r="EE38" s="13">
        <v>58258</v>
      </c>
      <c r="EF38" s="13">
        <v>60049</v>
      </c>
      <c r="EG38" s="13">
        <v>57759</v>
      </c>
      <c r="EH38" s="13">
        <v>57021</v>
      </c>
      <c r="EI38" s="13">
        <v>56232</v>
      </c>
      <c r="EJ38" s="13">
        <v>65682</v>
      </c>
      <c r="EK38" s="25">
        <f t="shared" si="0"/>
        <v>827</v>
      </c>
      <c r="EL38" s="13">
        <v>66509</v>
      </c>
      <c r="EM38" s="25">
        <f t="shared" si="1"/>
        <v>3981</v>
      </c>
      <c r="EN38" s="13">
        <v>70490</v>
      </c>
      <c r="EO38" s="25">
        <f t="shared" si="2"/>
        <v>-36502</v>
      </c>
      <c r="EP38" s="13">
        <v>33988</v>
      </c>
      <c r="EQ38" s="25">
        <f t="shared" si="3"/>
        <v>-31866</v>
      </c>
      <c r="ER38" s="13">
        <v>2122</v>
      </c>
      <c r="ES38" s="25">
        <f t="shared" si="4"/>
        <v>18065</v>
      </c>
      <c r="ET38" s="13">
        <v>20187</v>
      </c>
      <c r="EU38" s="25">
        <f t="shared" si="5"/>
        <v>1257</v>
      </c>
      <c r="EV38" s="13">
        <v>21444</v>
      </c>
      <c r="EW38" s="13">
        <v>28198</v>
      </c>
      <c r="EX38" s="13">
        <v>28578</v>
      </c>
      <c r="EY38" s="13">
        <v>28631</v>
      </c>
      <c r="EZ38" s="13">
        <v>57354</v>
      </c>
      <c r="FA38" s="13">
        <v>56589</v>
      </c>
      <c r="FB38" s="13">
        <v>56124</v>
      </c>
      <c r="FC38" s="13">
        <v>56939</v>
      </c>
      <c r="FD38" s="13">
        <v>56886</v>
      </c>
      <c r="FE38" s="13">
        <v>57070</v>
      </c>
      <c r="FF38" s="13">
        <v>58947</v>
      </c>
      <c r="FG38" s="13">
        <v>37954</v>
      </c>
      <c r="FH38" s="13">
        <v>35824</v>
      </c>
      <c r="FI38" s="13">
        <v>29959</v>
      </c>
    </row>
    <row r="39" spans="1:165" x14ac:dyDescent="0.4">
      <c r="A39" s="35" t="s">
        <v>14</v>
      </c>
      <c r="B39" s="16">
        <v>1838806</v>
      </c>
      <c r="C39" s="16">
        <v>1817095</v>
      </c>
      <c r="D39" s="16">
        <v>1875482</v>
      </c>
      <c r="E39" s="16">
        <v>1944070</v>
      </c>
      <c r="F39" s="16">
        <v>1934513</v>
      </c>
      <c r="G39" s="16">
        <v>1929038</v>
      </c>
      <c r="H39" s="16">
        <v>2007239</v>
      </c>
      <c r="I39" s="16">
        <v>2026613</v>
      </c>
      <c r="J39" s="16">
        <v>2015485</v>
      </c>
      <c r="K39" s="16">
        <v>2049738</v>
      </c>
      <c r="L39" s="16">
        <v>2041224</v>
      </c>
      <c r="M39" s="16">
        <v>2125696</v>
      </c>
      <c r="N39" s="16">
        <v>2128393</v>
      </c>
      <c r="O39" s="16">
        <v>2189168</v>
      </c>
      <c r="P39" s="16">
        <v>2210883</v>
      </c>
      <c r="Q39" s="16">
        <v>2141043</v>
      </c>
      <c r="R39" s="16">
        <v>2114139</v>
      </c>
      <c r="S39" s="16">
        <v>2096381</v>
      </c>
      <c r="T39" s="16">
        <v>2121126</v>
      </c>
      <c r="U39" s="16">
        <v>2098375</v>
      </c>
      <c r="V39" s="16">
        <v>2083710</v>
      </c>
      <c r="W39" s="16">
        <v>2103239</v>
      </c>
      <c r="X39" s="16">
        <v>2150624</v>
      </c>
      <c r="Y39" s="16">
        <v>2117834</v>
      </c>
      <c r="Z39" s="16">
        <v>2730955</v>
      </c>
      <c r="AA39" s="16">
        <v>3117056</v>
      </c>
      <c r="AB39" s="16">
        <v>3113463</v>
      </c>
      <c r="AC39" s="16">
        <v>3146386</v>
      </c>
      <c r="AD39" s="16">
        <v>3169314</v>
      </c>
      <c r="AE39" s="16">
        <v>3284415</v>
      </c>
      <c r="AF39" s="16">
        <v>3350885</v>
      </c>
      <c r="AG39" s="16">
        <v>3445087</v>
      </c>
      <c r="AH39" s="16">
        <v>3474152</v>
      </c>
      <c r="AI39" s="16">
        <v>3471126</v>
      </c>
      <c r="AJ39" s="16">
        <v>3519799</v>
      </c>
      <c r="AK39" s="16">
        <v>3567386</v>
      </c>
      <c r="AL39" s="16">
        <v>3684910</v>
      </c>
      <c r="AM39" s="16">
        <v>3712400</v>
      </c>
      <c r="AN39" s="16">
        <v>3649228</v>
      </c>
      <c r="AO39" s="16">
        <v>3736125</v>
      </c>
      <c r="AP39" s="16">
        <v>3917614</v>
      </c>
      <c r="AQ39" s="16">
        <v>3982742</v>
      </c>
      <c r="AR39" s="16">
        <v>4052069</v>
      </c>
      <c r="AS39" s="16">
        <v>4069027</v>
      </c>
      <c r="AT39" s="16">
        <v>4122051</v>
      </c>
      <c r="AU39" s="16">
        <v>4274817</v>
      </c>
      <c r="AV39" s="16">
        <v>4324319</v>
      </c>
      <c r="AW39" s="16">
        <v>4373961</v>
      </c>
      <c r="AX39" s="16">
        <v>5053705</v>
      </c>
      <c r="AY39" s="16">
        <v>5050852</v>
      </c>
      <c r="AZ39" s="16">
        <v>5090600</v>
      </c>
      <c r="BA39" s="16">
        <v>5149961</v>
      </c>
      <c r="BB39" s="16">
        <v>5250027</v>
      </c>
      <c r="BC39" s="16">
        <v>5402411</v>
      </c>
      <c r="BD39" s="16">
        <v>5415418</v>
      </c>
      <c r="BE39" s="16">
        <v>5697523</v>
      </c>
      <c r="BF39" s="16">
        <v>5728734</v>
      </c>
      <c r="BG39" s="16">
        <v>5729247</v>
      </c>
      <c r="BH39" s="16">
        <v>5837414</v>
      </c>
      <c r="BI39" s="16">
        <v>5837866</v>
      </c>
      <c r="BJ39" s="16">
        <v>6495674</v>
      </c>
      <c r="BK39" s="16">
        <v>6462357</v>
      </c>
      <c r="BL39" s="16">
        <v>6552852</v>
      </c>
      <c r="BM39" s="16">
        <v>6643432</v>
      </c>
      <c r="BN39" s="16">
        <v>6678036</v>
      </c>
      <c r="BO39" s="16">
        <v>6602268</v>
      </c>
      <c r="BP39" s="16">
        <v>6614874</v>
      </c>
      <c r="BQ39" s="16">
        <v>6597490</v>
      </c>
      <c r="BR39" s="16">
        <v>6572415</v>
      </c>
      <c r="BS39" s="16">
        <v>6512345</v>
      </c>
      <c r="BT39" s="16">
        <v>6485070</v>
      </c>
      <c r="BU39" s="16">
        <v>6572997</v>
      </c>
      <c r="BV39" s="16">
        <v>6587027</v>
      </c>
      <c r="BW39" s="16">
        <v>6588757</v>
      </c>
      <c r="BX39" s="16">
        <v>6655541</v>
      </c>
      <c r="BY39" s="16">
        <v>6659045</v>
      </c>
      <c r="BZ39" s="16">
        <v>6805585</v>
      </c>
      <c r="CA39" s="16">
        <v>6791912</v>
      </c>
      <c r="CB39" s="16">
        <v>6846076</v>
      </c>
      <c r="CC39" s="16">
        <v>6960076</v>
      </c>
      <c r="CD39" s="16">
        <v>6960492</v>
      </c>
      <c r="CE39" s="16">
        <v>6912226</v>
      </c>
      <c r="CF39" s="16">
        <v>7052759</v>
      </c>
      <c r="CG39" s="16">
        <v>7189678</v>
      </c>
      <c r="CH39" s="16">
        <v>7339413</v>
      </c>
      <c r="CI39" s="16">
        <v>7366457</v>
      </c>
      <c r="CJ39" s="16">
        <v>7554309</v>
      </c>
      <c r="CK39" s="14">
        <v>7550232</v>
      </c>
      <c r="CL39" s="14">
        <v>7642881</v>
      </c>
      <c r="CM39" s="14">
        <v>7739424</v>
      </c>
      <c r="CN39" s="14">
        <v>7723015</v>
      </c>
      <c r="CO39" s="14">
        <v>7791793</v>
      </c>
      <c r="CP39" s="13">
        <v>7864864</v>
      </c>
      <c r="CQ39" s="13">
        <v>7847425</v>
      </c>
      <c r="CR39" s="13">
        <v>7934883</v>
      </c>
      <c r="CS39" s="13">
        <v>8836308</v>
      </c>
      <c r="CT39" s="13">
        <v>9000121</v>
      </c>
      <c r="CU39" s="13">
        <v>8581092</v>
      </c>
      <c r="CV39" s="13">
        <v>8651436</v>
      </c>
      <c r="CW39" s="13">
        <v>8680674</v>
      </c>
      <c r="CX39" s="13">
        <v>8624105</v>
      </c>
      <c r="CY39" s="13">
        <v>8604544</v>
      </c>
      <c r="CZ39" s="13">
        <v>8575238</v>
      </c>
      <c r="DA39" s="13">
        <v>8805520</v>
      </c>
      <c r="DB39" s="13">
        <v>8937256</v>
      </c>
      <c r="DC39" s="13">
        <v>8960027</v>
      </c>
      <c r="DD39" s="13">
        <v>9115313</v>
      </c>
      <c r="DE39" s="13">
        <v>9133180</v>
      </c>
      <c r="DF39" s="13">
        <v>9145141</v>
      </c>
      <c r="DG39" s="13">
        <v>9095871</v>
      </c>
      <c r="DH39" s="13">
        <v>8940499</v>
      </c>
      <c r="DI39" s="13">
        <v>8749941</v>
      </c>
      <c r="DJ39" s="13">
        <v>8675092</v>
      </c>
      <c r="DK39" s="13">
        <v>8621718</v>
      </c>
      <c r="DL39" s="13">
        <v>8637924</v>
      </c>
      <c r="DM39" s="13">
        <v>8765080</v>
      </c>
      <c r="DN39" s="13">
        <v>8892224</v>
      </c>
      <c r="DO39" s="13">
        <v>9007940</v>
      </c>
      <c r="DP39" s="13">
        <v>9127068</v>
      </c>
      <c r="DQ39" s="13">
        <v>9041615</v>
      </c>
      <c r="DR39" s="13">
        <v>9248356</v>
      </c>
      <c r="DS39" s="13">
        <v>9204965</v>
      </c>
      <c r="DT39" s="13">
        <v>9227438</v>
      </c>
      <c r="DU39" s="13">
        <v>9426380</v>
      </c>
      <c r="DV39" s="13">
        <v>9626677</v>
      </c>
      <c r="DW39" s="13">
        <v>9703428</v>
      </c>
      <c r="DX39" s="13">
        <v>9732291</v>
      </c>
      <c r="DY39" s="13">
        <v>9913461</v>
      </c>
      <c r="DZ39" s="13">
        <v>9733127</v>
      </c>
      <c r="EA39" s="13">
        <v>9694762</v>
      </c>
      <c r="EB39" s="13">
        <v>9629343</v>
      </c>
      <c r="EC39" s="13">
        <v>9635087</v>
      </c>
      <c r="ED39" s="13">
        <v>9933241</v>
      </c>
      <c r="EE39" s="13">
        <v>9908819</v>
      </c>
      <c r="EF39" s="13">
        <v>10091178</v>
      </c>
      <c r="EG39" s="13">
        <v>10455713</v>
      </c>
      <c r="EH39" s="13">
        <v>10487259</v>
      </c>
      <c r="EI39" s="13">
        <v>10471655</v>
      </c>
      <c r="EJ39" s="13">
        <v>10587861</v>
      </c>
      <c r="EK39" s="25">
        <f t="shared" si="0"/>
        <v>108606</v>
      </c>
      <c r="EL39" s="13">
        <v>10696467</v>
      </c>
      <c r="EM39" s="25">
        <f t="shared" si="1"/>
        <v>245013</v>
      </c>
      <c r="EN39" s="13">
        <v>10941480</v>
      </c>
      <c r="EO39" s="25">
        <f t="shared" si="2"/>
        <v>465232</v>
      </c>
      <c r="EP39" s="13">
        <v>11406712</v>
      </c>
      <c r="EQ39" s="25">
        <f t="shared" si="3"/>
        <v>200635</v>
      </c>
      <c r="ER39" s="13">
        <v>11607347</v>
      </c>
      <c r="ES39" s="25">
        <f t="shared" si="4"/>
        <v>761757</v>
      </c>
      <c r="ET39" s="13">
        <v>12369104</v>
      </c>
      <c r="EU39" s="25">
        <f t="shared" si="5"/>
        <v>345906</v>
      </c>
      <c r="EV39" s="13">
        <v>12715010</v>
      </c>
      <c r="EW39" s="13">
        <v>12998383</v>
      </c>
      <c r="EX39" s="13">
        <v>13034444</v>
      </c>
      <c r="EY39" s="13">
        <v>13459946</v>
      </c>
      <c r="EZ39" s="13">
        <v>13967220</v>
      </c>
      <c r="FA39" s="13">
        <v>13980060</v>
      </c>
      <c r="FB39" s="13">
        <v>14539982</v>
      </c>
      <c r="FC39" s="13">
        <v>14923840</v>
      </c>
      <c r="FD39" s="13">
        <v>15364416</v>
      </c>
      <c r="FE39" s="13">
        <v>15644320</v>
      </c>
      <c r="FF39" s="13">
        <v>15768584</v>
      </c>
      <c r="FG39" s="13">
        <v>15689355</v>
      </c>
      <c r="FH39" s="13">
        <v>15875058</v>
      </c>
      <c r="FI39" s="13">
        <v>15877249</v>
      </c>
    </row>
    <row r="40" spans="1:165" x14ac:dyDescent="0.4">
      <c r="A40" s="35" t="s">
        <v>27</v>
      </c>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v>220923</v>
      </c>
      <c r="BW40" s="16">
        <v>220799</v>
      </c>
      <c r="BX40" s="16">
        <v>284427</v>
      </c>
      <c r="BY40" s="16">
        <v>283842</v>
      </c>
      <c r="BZ40" s="16">
        <v>252670</v>
      </c>
      <c r="CA40" s="16">
        <v>268356</v>
      </c>
      <c r="CB40" s="16">
        <v>263777</v>
      </c>
      <c r="CC40" s="16">
        <v>256403</v>
      </c>
      <c r="CD40" s="16">
        <v>258654</v>
      </c>
      <c r="CE40" s="16">
        <v>203919</v>
      </c>
      <c r="CF40" s="16">
        <v>260162</v>
      </c>
      <c r="CG40" s="16">
        <v>303597</v>
      </c>
      <c r="CH40" s="16">
        <v>729469</v>
      </c>
      <c r="CI40" s="16">
        <v>1139104</v>
      </c>
      <c r="CJ40" s="16">
        <v>1181644</v>
      </c>
      <c r="CK40" s="14">
        <v>1155546</v>
      </c>
      <c r="CL40" s="14">
        <v>1173088</v>
      </c>
      <c r="CM40" s="14">
        <v>1152977</v>
      </c>
      <c r="CN40" s="14">
        <v>1175385</v>
      </c>
      <c r="CO40" s="14">
        <v>1159526</v>
      </c>
      <c r="CP40" s="13">
        <v>1180190</v>
      </c>
      <c r="CQ40" s="13">
        <v>1149453</v>
      </c>
      <c r="CR40" s="13">
        <v>1109316</v>
      </c>
      <c r="CS40" s="13">
        <v>1093550</v>
      </c>
      <c r="CT40" s="13">
        <v>666857</v>
      </c>
      <c r="CU40" s="13">
        <v>292194</v>
      </c>
      <c r="CV40" s="13">
        <v>314929</v>
      </c>
      <c r="CW40" s="13">
        <v>291076</v>
      </c>
      <c r="CX40" s="13">
        <v>324874</v>
      </c>
      <c r="CY40" s="13">
        <v>339101</v>
      </c>
      <c r="CZ40" s="13">
        <v>334516</v>
      </c>
      <c r="DA40" s="13">
        <v>389005</v>
      </c>
      <c r="DB40" s="13">
        <v>381164</v>
      </c>
      <c r="DC40" s="13">
        <v>393467</v>
      </c>
      <c r="DD40" s="13">
        <v>455354</v>
      </c>
      <c r="DE40" s="13">
        <v>447714</v>
      </c>
      <c r="DF40" s="13">
        <v>487705</v>
      </c>
      <c r="DG40" s="13">
        <v>518919</v>
      </c>
      <c r="DH40" s="13">
        <v>485241</v>
      </c>
      <c r="DI40" s="13">
        <v>565019</v>
      </c>
      <c r="DJ40" s="13">
        <v>524720</v>
      </c>
      <c r="DK40" s="13">
        <v>582374</v>
      </c>
      <c r="DL40" s="13">
        <v>634026</v>
      </c>
      <c r="DM40" s="13">
        <v>590024</v>
      </c>
      <c r="DN40" s="13">
        <v>634930</v>
      </c>
      <c r="DO40" s="13">
        <v>599850</v>
      </c>
      <c r="DP40" s="13">
        <v>566258</v>
      </c>
      <c r="DQ40" s="13">
        <v>571846</v>
      </c>
      <c r="DR40" s="13">
        <v>598752</v>
      </c>
      <c r="DS40" s="13">
        <v>584486</v>
      </c>
      <c r="DT40" s="13">
        <v>600485</v>
      </c>
      <c r="DU40" s="13">
        <v>591892</v>
      </c>
      <c r="DV40" s="13">
        <v>592718</v>
      </c>
      <c r="DW40" s="13">
        <v>558001</v>
      </c>
      <c r="DX40" s="13">
        <v>509965</v>
      </c>
      <c r="DY40" s="13">
        <v>525450</v>
      </c>
      <c r="DZ40" s="13">
        <v>528920</v>
      </c>
      <c r="EA40" s="13">
        <v>565443</v>
      </c>
      <c r="EB40" s="13">
        <v>535827</v>
      </c>
      <c r="EC40" s="13">
        <v>795071</v>
      </c>
      <c r="ED40" s="13">
        <v>811751</v>
      </c>
      <c r="EE40" s="13">
        <v>809240</v>
      </c>
      <c r="EF40" s="13">
        <v>821923</v>
      </c>
      <c r="EG40" s="13">
        <v>852491</v>
      </c>
      <c r="EH40" s="13">
        <v>915510</v>
      </c>
      <c r="EI40" s="13">
        <v>913944</v>
      </c>
      <c r="EJ40" s="13">
        <v>944286</v>
      </c>
      <c r="EK40" s="25">
        <f t="shared" si="0"/>
        <v>22680</v>
      </c>
      <c r="EL40" s="13">
        <v>966966</v>
      </c>
      <c r="EM40" s="25">
        <f t="shared" si="1"/>
        <v>-29075</v>
      </c>
      <c r="EN40" s="13">
        <v>937891</v>
      </c>
      <c r="EO40" s="25">
        <f t="shared" si="2"/>
        <v>11568</v>
      </c>
      <c r="EP40" s="13">
        <v>949459</v>
      </c>
      <c r="EQ40" s="25">
        <f t="shared" si="3"/>
        <v>122613</v>
      </c>
      <c r="ER40" s="13">
        <v>1072072</v>
      </c>
      <c r="ES40" s="25">
        <f t="shared" si="4"/>
        <v>-204208</v>
      </c>
      <c r="ET40" s="13">
        <v>867864</v>
      </c>
      <c r="EU40" s="25">
        <f t="shared" si="5"/>
        <v>163263</v>
      </c>
      <c r="EV40" s="13">
        <v>1031127</v>
      </c>
      <c r="EW40" s="13">
        <v>1057410</v>
      </c>
      <c r="EX40" s="13">
        <v>1011300</v>
      </c>
      <c r="EY40" s="13">
        <v>1017844</v>
      </c>
      <c r="EZ40" s="13">
        <v>1093420</v>
      </c>
      <c r="FA40" s="13">
        <v>1211395</v>
      </c>
      <c r="FB40" s="13">
        <v>1362286</v>
      </c>
      <c r="FC40" s="13">
        <v>1442086</v>
      </c>
      <c r="FD40" s="13">
        <v>1567077</v>
      </c>
      <c r="FE40" s="13">
        <v>1734303</v>
      </c>
      <c r="FF40" s="13">
        <v>1705748</v>
      </c>
      <c r="FG40" s="13">
        <v>2367995</v>
      </c>
      <c r="FH40" s="13">
        <v>2391130</v>
      </c>
      <c r="FI40" s="13">
        <v>2288399</v>
      </c>
    </row>
    <row r="41" spans="1:165" x14ac:dyDescent="0.4">
      <c r="A41" s="35" t="s">
        <v>30</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v>6366103</v>
      </c>
      <c r="BW41" s="16">
        <v>6367958</v>
      </c>
      <c r="BX41" s="16">
        <v>6371114</v>
      </c>
      <c r="BY41" s="16">
        <v>6375202</v>
      </c>
      <c r="BZ41" s="16">
        <v>6552915</v>
      </c>
      <c r="CA41" s="16">
        <v>6523556</v>
      </c>
      <c r="CB41" s="16">
        <v>6582299</v>
      </c>
      <c r="CC41" s="16">
        <v>6703673</v>
      </c>
      <c r="CD41" s="16">
        <v>6701838</v>
      </c>
      <c r="CE41" s="16">
        <v>6708307</v>
      </c>
      <c r="CF41" s="16">
        <v>6792598</v>
      </c>
      <c r="CG41" s="16">
        <v>6886081</v>
      </c>
      <c r="CH41" s="16">
        <v>6609944</v>
      </c>
      <c r="CI41" s="16">
        <v>6227353</v>
      </c>
      <c r="CJ41" s="16">
        <v>6372665</v>
      </c>
      <c r="CK41" s="14">
        <v>6394686</v>
      </c>
      <c r="CL41" s="14">
        <v>6469793</v>
      </c>
      <c r="CM41" s="14">
        <v>6586447</v>
      </c>
      <c r="CN41" s="14">
        <v>6547631</v>
      </c>
      <c r="CO41" s="14">
        <v>6632267</v>
      </c>
      <c r="CP41" s="13">
        <v>6684674</v>
      </c>
      <c r="CQ41" s="13">
        <v>6697972</v>
      </c>
      <c r="CR41" s="13">
        <v>6825567</v>
      </c>
      <c r="CS41" s="13">
        <v>7742758</v>
      </c>
      <c r="CT41" s="13">
        <v>8333264</v>
      </c>
      <c r="CU41" s="13">
        <v>8288898</v>
      </c>
      <c r="CV41" s="13">
        <v>8336507</v>
      </c>
      <c r="CW41" s="13">
        <v>8389599</v>
      </c>
      <c r="CX41" s="13">
        <v>8299231</v>
      </c>
      <c r="CY41" s="13">
        <v>8265444</v>
      </c>
      <c r="CZ41" s="13">
        <v>8240722</v>
      </c>
      <c r="DA41" s="13">
        <v>8416515</v>
      </c>
      <c r="DB41" s="13">
        <v>8556092</v>
      </c>
      <c r="DC41" s="13">
        <v>8566560</v>
      </c>
      <c r="DD41" s="13">
        <v>8659959</v>
      </c>
      <c r="DE41" s="13">
        <v>8685466</v>
      </c>
      <c r="DF41" s="13">
        <v>8657437</v>
      </c>
      <c r="DG41" s="13">
        <v>8576952</v>
      </c>
      <c r="DH41" s="13">
        <v>8455259</v>
      </c>
      <c r="DI41" s="13">
        <v>8184922</v>
      </c>
      <c r="DJ41" s="13">
        <v>8150372</v>
      </c>
      <c r="DK41" s="13">
        <v>8039344</v>
      </c>
      <c r="DL41" s="13">
        <v>8003898</v>
      </c>
      <c r="DM41" s="13">
        <v>8175056</v>
      </c>
      <c r="DN41" s="13">
        <v>8257294</v>
      </c>
      <c r="DO41" s="13">
        <v>8408089</v>
      </c>
      <c r="DP41" s="13">
        <v>8560810</v>
      </c>
      <c r="DQ41" s="13">
        <v>8469769</v>
      </c>
      <c r="DR41" s="13">
        <v>8649604</v>
      </c>
      <c r="DS41" s="13">
        <v>8620480</v>
      </c>
      <c r="DT41" s="13">
        <v>8626953</v>
      </c>
      <c r="DU41" s="13">
        <v>8834489</v>
      </c>
      <c r="DV41" s="13">
        <v>9033959</v>
      </c>
      <c r="DW41" s="13">
        <v>9145427</v>
      </c>
      <c r="DX41" s="13">
        <v>9222327</v>
      </c>
      <c r="DY41" s="13">
        <v>9388010</v>
      </c>
      <c r="DZ41" s="13">
        <v>9204207</v>
      </c>
      <c r="EA41" s="13">
        <v>9129319</v>
      </c>
      <c r="EB41" s="13">
        <v>9093516</v>
      </c>
      <c r="EC41" s="13">
        <v>8840016</v>
      </c>
      <c r="ED41" s="13">
        <v>9121491</v>
      </c>
      <c r="EE41" s="13">
        <v>9099578</v>
      </c>
      <c r="EF41" s="13">
        <v>9269255</v>
      </c>
      <c r="EG41" s="13">
        <v>9603221</v>
      </c>
      <c r="EH41" s="13">
        <v>9571749</v>
      </c>
      <c r="EI41" s="13">
        <v>9557710</v>
      </c>
      <c r="EJ41" s="13">
        <v>9643575</v>
      </c>
      <c r="EK41" s="25">
        <f t="shared" si="0"/>
        <v>85926</v>
      </c>
      <c r="EL41" s="13">
        <v>9729501</v>
      </c>
      <c r="EM41" s="25">
        <f t="shared" si="1"/>
        <v>274089</v>
      </c>
      <c r="EN41" s="13">
        <v>10003590</v>
      </c>
      <c r="EO41" s="25">
        <f t="shared" si="2"/>
        <v>453662</v>
      </c>
      <c r="EP41" s="13">
        <v>10457252</v>
      </c>
      <c r="EQ41" s="25">
        <f t="shared" si="3"/>
        <v>78024</v>
      </c>
      <c r="ER41" s="13">
        <v>10535276</v>
      </c>
      <c r="ES41" s="25">
        <f t="shared" si="4"/>
        <v>965964</v>
      </c>
      <c r="ET41" s="13">
        <v>11501240</v>
      </c>
      <c r="EU41" s="25">
        <f t="shared" si="5"/>
        <v>182643</v>
      </c>
      <c r="EV41" s="13">
        <v>11683883</v>
      </c>
      <c r="EW41" s="13">
        <v>11940973</v>
      </c>
      <c r="EX41" s="13">
        <v>12023144</v>
      </c>
      <c r="EY41" s="13">
        <v>12442102</v>
      </c>
      <c r="EZ41" s="13">
        <v>12873800</v>
      </c>
      <c r="FA41" s="13">
        <v>12768666</v>
      </c>
      <c r="FB41" s="13">
        <v>13177696</v>
      </c>
      <c r="FC41" s="13">
        <v>13481754</v>
      </c>
      <c r="FD41" s="13">
        <v>13797339</v>
      </c>
      <c r="FE41" s="13">
        <v>13910017</v>
      </c>
      <c r="FF41" s="13">
        <v>14062836</v>
      </c>
      <c r="FG41" s="13">
        <v>13321360</v>
      </c>
      <c r="FH41" s="13">
        <v>13483928</v>
      </c>
      <c r="FI41" s="13">
        <v>13588850</v>
      </c>
    </row>
    <row r="42" spans="1:165" x14ac:dyDescent="0.4">
      <c r="A42" s="34" t="s">
        <v>8</v>
      </c>
      <c r="B42" s="16">
        <v>70482</v>
      </c>
      <c r="C42" s="16">
        <v>70535</v>
      </c>
      <c r="D42" s="16">
        <v>70524</v>
      </c>
      <c r="E42" s="16">
        <v>70554</v>
      </c>
      <c r="F42" s="16">
        <v>70575</v>
      </c>
      <c r="G42" s="16">
        <v>70512</v>
      </c>
      <c r="H42" s="16">
        <v>70540</v>
      </c>
      <c r="I42" s="16">
        <v>70541</v>
      </c>
      <c r="J42" s="16">
        <v>70525</v>
      </c>
      <c r="K42" s="16">
        <v>88005</v>
      </c>
      <c r="L42" s="16">
        <v>102983</v>
      </c>
      <c r="M42" s="16">
        <v>103032</v>
      </c>
      <c r="N42" s="16">
        <v>102981</v>
      </c>
      <c r="O42" s="16">
        <v>102945</v>
      </c>
      <c r="P42" s="16">
        <v>102926</v>
      </c>
      <c r="Q42" s="16">
        <v>102786</v>
      </c>
      <c r="R42" s="16">
        <v>99580</v>
      </c>
      <c r="S42" s="16">
        <v>99361</v>
      </c>
      <c r="T42" s="16">
        <v>100939</v>
      </c>
      <c r="U42" s="16">
        <v>100850</v>
      </c>
      <c r="V42" s="16">
        <v>100530</v>
      </c>
      <c r="W42" s="16">
        <v>100694</v>
      </c>
      <c r="X42" s="16">
        <v>100644</v>
      </c>
      <c r="Y42" s="16">
        <v>100762</v>
      </c>
      <c r="Z42" s="16">
        <v>104592</v>
      </c>
      <c r="AA42" s="16">
        <v>103942</v>
      </c>
      <c r="AB42" s="16">
        <v>103560</v>
      </c>
      <c r="AC42" s="16">
        <v>104139</v>
      </c>
      <c r="AD42" s="16">
        <v>107516</v>
      </c>
      <c r="AE42" s="16">
        <v>107789</v>
      </c>
      <c r="AF42" s="16">
        <v>107943</v>
      </c>
      <c r="AG42" s="16">
        <v>108021</v>
      </c>
      <c r="AH42" s="16">
        <v>108317</v>
      </c>
      <c r="AI42" s="16">
        <v>108313</v>
      </c>
      <c r="AJ42" s="16">
        <v>106283</v>
      </c>
      <c r="AK42" s="16">
        <v>111425</v>
      </c>
      <c r="AL42" s="16">
        <v>111446</v>
      </c>
      <c r="AM42" s="16">
        <v>111521</v>
      </c>
      <c r="AN42" s="16">
        <v>114157</v>
      </c>
      <c r="AO42" s="16">
        <v>114411</v>
      </c>
      <c r="AP42" s="16">
        <v>114513</v>
      </c>
      <c r="AQ42" s="16">
        <v>114525</v>
      </c>
      <c r="AR42" s="16">
        <v>113656</v>
      </c>
      <c r="AS42" s="16">
        <v>113925</v>
      </c>
      <c r="AT42" s="16">
        <v>114261</v>
      </c>
      <c r="AU42" s="16">
        <v>114399</v>
      </c>
      <c r="AV42" s="16">
        <v>108977</v>
      </c>
      <c r="AW42" s="16">
        <v>109412</v>
      </c>
      <c r="AX42" s="16">
        <v>109409</v>
      </c>
      <c r="AY42" s="16">
        <v>109399</v>
      </c>
      <c r="AZ42" s="16">
        <v>109412</v>
      </c>
      <c r="BA42" s="16">
        <v>109305</v>
      </c>
      <c r="BB42" s="16">
        <v>109226</v>
      </c>
      <c r="BC42" s="16">
        <v>109274</v>
      </c>
      <c r="BD42" s="16">
        <v>119606</v>
      </c>
      <c r="BE42" s="16">
        <v>119516</v>
      </c>
      <c r="BF42" s="16">
        <v>119765</v>
      </c>
      <c r="BG42" s="16">
        <v>119728</v>
      </c>
      <c r="BH42" s="16">
        <v>119833</v>
      </c>
      <c r="BI42" s="16">
        <v>106980</v>
      </c>
      <c r="BJ42" s="16">
        <v>107091</v>
      </c>
      <c r="BK42" s="16">
        <v>107149</v>
      </c>
      <c r="BL42" s="16">
        <v>107389</v>
      </c>
      <c r="BM42" s="16">
        <v>107541</v>
      </c>
      <c r="BN42" s="16">
        <v>107641</v>
      </c>
      <c r="BO42" s="16">
        <v>107886</v>
      </c>
      <c r="BP42" s="16">
        <v>107203</v>
      </c>
      <c r="BQ42" s="16">
        <v>117113</v>
      </c>
      <c r="BR42" s="16">
        <v>116693</v>
      </c>
      <c r="BS42" s="16">
        <v>109543</v>
      </c>
      <c r="BT42" s="16">
        <v>102602</v>
      </c>
      <c r="BU42" s="16">
        <v>107566</v>
      </c>
      <c r="BV42" s="16">
        <v>107636</v>
      </c>
      <c r="BW42" s="16">
        <v>102541</v>
      </c>
      <c r="BX42" s="16">
        <v>97719</v>
      </c>
      <c r="BY42" s="16">
        <v>102856</v>
      </c>
      <c r="BZ42" s="16">
        <v>102934</v>
      </c>
      <c r="CA42" s="16">
        <v>102923</v>
      </c>
      <c r="CB42" s="16">
        <v>102974</v>
      </c>
      <c r="CC42" s="16">
        <v>108079</v>
      </c>
      <c r="CD42" s="16">
        <v>108073</v>
      </c>
      <c r="CE42" s="16">
        <v>110300</v>
      </c>
      <c r="CF42" s="16">
        <v>117588</v>
      </c>
      <c r="CG42" s="16">
        <v>111744</v>
      </c>
      <c r="CH42" s="16">
        <v>122960</v>
      </c>
      <c r="CI42" s="16">
        <v>123001</v>
      </c>
      <c r="CJ42" s="16">
        <v>122153</v>
      </c>
      <c r="CK42" s="14">
        <v>120856</v>
      </c>
      <c r="CL42" s="14">
        <v>131670</v>
      </c>
      <c r="CM42" s="14">
        <v>156086</v>
      </c>
      <c r="CN42" s="14">
        <v>161911</v>
      </c>
      <c r="CO42" s="14">
        <v>156959</v>
      </c>
      <c r="CP42" s="13">
        <v>155444</v>
      </c>
      <c r="CQ42" s="13">
        <v>151388</v>
      </c>
      <c r="CR42" s="13">
        <v>145227</v>
      </c>
      <c r="CS42" s="13">
        <v>132216</v>
      </c>
      <c r="CT42" s="13">
        <v>134901</v>
      </c>
      <c r="CU42" s="13">
        <v>134218</v>
      </c>
      <c r="CV42" s="13">
        <v>134047</v>
      </c>
      <c r="CW42" s="13">
        <v>130661</v>
      </c>
      <c r="CX42" s="13">
        <v>131787</v>
      </c>
      <c r="CY42" s="13">
        <v>121434</v>
      </c>
      <c r="CZ42" s="13">
        <v>121063</v>
      </c>
      <c r="DA42" s="13">
        <v>120288</v>
      </c>
      <c r="DB42" s="13">
        <v>120415</v>
      </c>
      <c r="DC42" s="13">
        <v>120463</v>
      </c>
      <c r="DD42" s="13">
        <v>119972</v>
      </c>
      <c r="DE42" s="13">
        <v>104994</v>
      </c>
      <c r="DF42" s="13">
        <v>104581</v>
      </c>
      <c r="DG42" s="13">
        <v>103996</v>
      </c>
      <c r="DH42" s="13">
        <v>103948</v>
      </c>
      <c r="DI42" s="13">
        <v>102294</v>
      </c>
      <c r="DJ42" s="13">
        <v>102481</v>
      </c>
      <c r="DK42" s="13">
        <v>109949</v>
      </c>
      <c r="DL42" s="13">
        <v>111040</v>
      </c>
      <c r="DM42" s="13">
        <v>111291</v>
      </c>
      <c r="DN42" s="13">
        <v>164729</v>
      </c>
      <c r="DO42" s="13">
        <v>205067</v>
      </c>
      <c r="DP42" s="13">
        <v>208415</v>
      </c>
      <c r="DQ42" s="13">
        <v>226017</v>
      </c>
      <c r="DR42" s="13">
        <v>240715</v>
      </c>
      <c r="DS42" s="13">
        <v>233735</v>
      </c>
      <c r="DT42" s="13">
        <v>201575</v>
      </c>
      <c r="DU42" s="13">
        <v>196528</v>
      </c>
      <c r="DV42" s="13">
        <v>187100</v>
      </c>
      <c r="DW42" s="13">
        <v>192918</v>
      </c>
      <c r="DX42" s="13">
        <v>184968</v>
      </c>
      <c r="DY42" s="13">
        <v>194918</v>
      </c>
      <c r="DZ42" s="13">
        <v>199703</v>
      </c>
      <c r="EA42" s="13">
        <v>203435</v>
      </c>
      <c r="EB42" s="13">
        <v>196572</v>
      </c>
      <c r="EC42" s="13">
        <v>195230</v>
      </c>
      <c r="ED42" s="13">
        <v>212374</v>
      </c>
      <c r="EE42" s="13">
        <v>211923</v>
      </c>
      <c r="EF42" s="13">
        <v>222308</v>
      </c>
      <c r="EG42" s="13">
        <v>245201</v>
      </c>
      <c r="EH42" s="13">
        <v>241430</v>
      </c>
      <c r="EI42" s="13">
        <v>227904</v>
      </c>
      <c r="EJ42" s="13">
        <v>226447</v>
      </c>
      <c r="EK42" s="25">
        <f t="shared" si="0"/>
        <v>-3524</v>
      </c>
      <c r="EL42" s="13">
        <v>222923</v>
      </c>
      <c r="EM42" s="25">
        <f t="shared" si="1"/>
        <v>-4429</v>
      </c>
      <c r="EN42" s="13">
        <v>218494</v>
      </c>
      <c r="EO42" s="25">
        <f t="shared" si="2"/>
        <v>9608</v>
      </c>
      <c r="EP42" s="13">
        <v>228102</v>
      </c>
      <c r="EQ42" s="25">
        <f t="shared" si="3"/>
        <v>-798</v>
      </c>
      <c r="ER42" s="13">
        <v>227304</v>
      </c>
      <c r="ES42" s="25">
        <f t="shared" si="4"/>
        <v>14818</v>
      </c>
      <c r="ET42" s="13">
        <v>242122</v>
      </c>
      <c r="EU42" s="25">
        <f t="shared" si="5"/>
        <v>-9280</v>
      </c>
      <c r="EV42" s="13">
        <v>232842</v>
      </c>
      <c r="EW42" s="13">
        <v>230704</v>
      </c>
      <c r="EX42" s="13">
        <v>221715</v>
      </c>
      <c r="EY42" s="13">
        <v>217818</v>
      </c>
      <c r="EZ42" s="13">
        <v>203750</v>
      </c>
      <c r="FA42" s="13">
        <v>201500</v>
      </c>
      <c r="FB42" s="13">
        <v>199942</v>
      </c>
      <c r="FC42" s="13">
        <v>198336</v>
      </c>
      <c r="FD42" s="13">
        <v>195906</v>
      </c>
      <c r="FE42" s="13">
        <v>207088</v>
      </c>
      <c r="FF42" s="13">
        <v>203978</v>
      </c>
      <c r="FG42" s="13">
        <v>195909</v>
      </c>
      <c r="FH42" s="13">
        <v>195354</v>
      </c>
      <c r="FI42" s="13">
        <v>194458</v>
      </c>
    </row>
    <row r="43" spans="1:165" x14ac:dyDescent="0.4">
      <c r="A43" s="35" t="s">
        <v>13</v>
      </c>
      <c r="B43" s="16">
        <v>13090</v>
      </c>
      <c r="C43" s="16">
        <v>13088</v>
      </c>
      <c r="D43" s="16">
        <v>13082</v>
      </c>
      <c r="E43" s="16">
        <v>13075</v>
      </c>
      <c r="F43" s="16">
        <v>13075</v>
      </c>
      <c r="G43" s="16">
        <v>13008</v>
      </c>
      <c r="H43" s="16">
        <v>13034</v>
      </c>
      <c r="I43" s="16">
        <v>13038</v>
      </c>
      <c r="J43" s="16">
        <v>13038</v>
      </c>
      <c r="K43" s="16">
        <v>13038</v>
      </c>
      <c r="L43" s="16">
        <v>0</v>
      </c>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3000</v>
      </c>
      <c r="AN43" s="16">
        <v>3000</v>
      </c>
      <c r="AO43" s="16">
        <v>3000</v>
      </c>
      <c r="AP43" s="16">
        <v>3000</v>
      </c>
      <c r="AQ43" s="16">
        <v>3000</v>
      </c>
      <c r="AR43" s="16">
        <v>3000</v>
      </c>
      <c r="AS43" s="16">
        <v>3000</v>
      </c>
      <c r="AT43" s="16">
        <v>3000</v>
      </c>
      <c r="AU43" s="16">
        <v>3000</v>
      </c>
      <c r="AV43" s="16">
        <v>3000</v>
      </c>
      <c r="AW43" s="16">
        <v>3000</v>
      </c>
      <c r="AX43" s="16">
        <v>3000</v>
      </c>
      <c r="AY43" s="16">
        <v>3000</v>
      </c>
      <c r="AZ43" s="16">
        <v>3000</v>
      </c>
      <c r="BA43" s="16">
        <v>13000</v>
      </c>
      <c r="BB43" s="16">
        <v>13000</v>
      </c>
      <c r="BC43" s="16">
        <v>13000</v>
      </c>
      <c r="BD43" s="16">
        <v>0</v>
      </c>
      <c r="BE43" s="16">
        <v>3000</v>
      </c>
      <c r="BF43" s="16">
        <v>3000</v>
      </c>
      <c r="BG43" s="16">
        <v>3000</v>
      </c>
      <c r="BH43" s="16">
        <v>0</v>
      </c>
      <c r="BI43" s="16">
        <v>0</v>
      </c>
      <c r="BJ43" s="16">
        <v>0</v>
      </c>
      <c r="BK43" s="16">
        <v>0</v>
      </c>
      <c r="BL43" s="16">
        <v>0</v>
      </c>
      <c r="BM43" s="16">
        <v>0</v>
      </c>
      <c r="BN43" s="16">
        <v>0</v>
      </c>
      <c r="BO43" s="16">
        <v>0</v>
      </c>
      <c r="BP43" s="16">
        <v>0</v>
      </c>
      <c r="BQ43" s="16">
        <v>0</v>
      </c>
      <c r="BR43" s="16">
        <v>0</v>
      </c>
      <c r="BS43" s="16">
        <v>0</v>
      </c>
      <c r="BT43" s="16">
        <v>0</v>
      </c>
      <c r="BU43" s="16">
        <v>0</v>
      </c>
      <c r="BV43" s="16">
        <v>0</v>
      </c>
      <c r="BW43" s="16">
        <v>0</v>
      </c>
      <c r="BX43" s="16">
        <v>0</v>
      </c>
      <c r="BY43" s="16">
        <v>0</v>
      </c>
      <c r="BZ43" s="16">
        <v>0</v>
      </c>
      <c r="CA43" s="16">
        <v>0</v>
      </c>
      <c r="CB43" s="16">
        <v>0</v>
      </c>
      <c r="CC43" s="16">
        <v>0</v>
      </c>
      <c r="CD43" s="16">
        <v>0</v>
      </c>
      <c r="CE43" s="16">
        <v>2000</v>
      </c>
      <c r="CF43" s="16">
        <v>2000</v>
      </c>
      <c r="CG43" s="16">
        <v>0</v>
      </c>
      <c r="CH43" s="16">
        <v>3000</v>
      </c>
      <c r="CI43" s="16">
        <v>3000</v>
      </c>
      <c r="CJ43" s="16">
        <v>0</v>
      </c>
      <c r="CK43" s="16">
        <v>0</v>
      </c>
      <c r="CL43" s="16">
        <v>0</v>
      </c>
      <c r="CM43" s="16">
        <v>0</v>
      </c>
      <c r="CN43" s="16">
        <v>0</v>
      </c>
      <c r="CO43" s="16">
        <v>0</v>
      </c>
      <c r="CP43" s="16">
        <v>0</v>
      </c>
      <c r="CQ43" s="16">
        <v>0</v>
      </c>
      <c r="CR43" s="16">
        <v>0</v>
      </c>
      <c r="CS43" s="16">
        <v>0</v>
      </c>
      <c r="CT43" s="16">
        <v>0</v>
      </c>
      <c r="CU43" s="16">
        <v>0</v>
      </c>
      <c r="CV43" s="16">
        <v>0</v>
      </c>
      <c r="CW43" s="16">
        <v>0</v>
      </c>
      <c r="CX43" s="16">
        <v>0</v>
      </c>
      <c r="CY43" s="16">
        <v>0</v>
      </c>
      <c r="CZ43" s="16">
        <v>0</v>
      </c>
      <c r="DA43" s="16">
        <v>0</v>
      </c>
      <c r="DB43" s="16">
        <v>0</v>
      </c>
      <c r="DC43" s="16">
        <v>0</v>
      </c>
      <c r="DD43" s="16">
        <v>0</v>
      </c>
      <c r="DE43" s="16">
        <v>0</v>
      </c>
      <c r="DF43" s="16">
        <v>0</v>
      </c>
      <c r="DG43" s="16">
        <v>0</v>
      </c>
      <c r="DH43" s="16">
        <v>0</v>
      </c>
      <c r="DI43" s="16">
        <v>0</v>
      </c>
      <c r="DJ43" s="13">
        <v>0</v>
      </c>
      <c r="DK43" s="13">
        <v>0</v>
      </c>
      <c r="DL43" s="13">
        <v>0</v>
      </c>
      <c r="DM43" s="13">
        <v>0</v>
      </c>
      <c r="DN43" s="13">
        <v>43091</v>
      </c>
      <c r="DO43" s="13">
        <v>43395</v>
      </c>
      <c r="DP43" s="13">
        <v>43709</v>
      </c>
      <c r="DQ43" s="13">
        <v>44013</v>
      </c>
      <c r="DR43" s="13">
        <v>44327</v>
      </c>
      <c r="DS43" s="13">
        <v>44641</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25">
        <f t="shared" si="0"/>
        <v>0</v>
      </c>
      <c r="EL43" s="13">
        <v>0</v>
      </c>
      <c r="EM43" s="25">
        <f t="shared" si="1"/>
        <v>0</v>
      </c>
      <c r="EN43" s="13">
        <v>0</v>
      </c>
      <c r="EO43" s="25">
        <f t="shared" si="2"/>
        <v>0</v>
      </c>
      <c r="EP43" s="13">
        <v>0</v>
      </c>
      <c r="EQ43" s="25">
        <f t="shared" si="3"/>
        <v>0</v>
      </c>
      <c r="ER43" s="13">
        <v>0</v>
      </c>
      <c r="ES43" s="25">
        <f t="shared" si="4"/>
        <v>0</v>
      </c>
      <c r="ET43" s="13">
        <v>0</v>
      </c>
      <c r="EU43" s="25">
        <f t="shared" si="5"/>
        <v>0</v>
      </c>
      <c r="EV43" s="13">
        <v>0</v>
      </c>
      <c r="EW43" s="13">
        <v>0</v>
      </c>
      <c r="EX43" s="13">
        <v>0</v>
      </c>
      <c r="EY43" s="13">
        <v>0</v>
      </c>
      <c r="EZ43" s="13">
        <v>0</v>
      </c>
      <c r="FA43" s="13">
        <v>0</v>
      </c>
      <c r="FB43" s="13">
        <v>0</v>
      </c>
      <c r="FC43" s="13">
        <v>0</v>
      </c>
      <c r="FD43" s="13">
        <v>0</v>
      </c>
      <c r="FE43" s="13">
        <v>0</v>
      </c>
      <c r="FF43" s="13">
        <v>0</v>
      </c>
      <c r="FG43" s="13">
        <v>0</v>
      </c>
      <c r="FH43" s="13">
        <v>0</v>
      </c>
      <c r="FI43" s="13">
        <v>0</v>
      </c>
    </row>
    <row r="44" spans="1:165" x14ac:dyDescent="0.4">
      <c r="A44" s="34" t="s">
        <v>19</v>
      </c>
      <c r="B44" s="16">
        <v>57392</v>
      </c>
      <c r="C44" s="16">
        <v>57447</v>
      </c>
      <c r="D44" s="16">
        <v>57442</v>
      </c>
      <c r="E44" s="16">
        <v>57479</v>
      </c>
      <c r="F44" s="16">
        <v>57500</v>
      </c>
      <c r="G44" s="16">
        <v>57504</v>
      </c>
      <c r="H44" s="16">
        <v>57507</v>
      </c>
      <c r="I44" s="16">
        <v>57503</v>
      </c>
      <c r="J44" s="16">
        <v>57487</v>
      </c>
      <c r="K44" s="16">
        <v>74968</v>
      </c>
      <c r="L44" s="16">
        <v>102983</v>
      </c>
      <c r="M44" s="16">
        <v>103032</v>
      </c>
      <c r="N44" s="16">
        <v>102981</v>
      </c>
      <c r="O44" s="16">
        <v>102945</v>
      </c>
      <c r="P44" s="16">
        <v>102926</v>
      </c>
      <c r="Q44" s="16">
        <v>102786</v>
      </c>
      <c r="R44" s="16">
        <v>99580</v>
      </c>
      <c r="S44" s="16">
        <v>99361</v>
      </c>
      <c r="T44" s="16">
        <v>100939</v>
      </c>
      <c r="U44" s="16">
        <v>100850</v>
      </c>
      <c r="V44" s="16">
        <v>100530</v>
      </c>
      <c r="W44" s="16">
        <v>100694</v>
      </c>
      <c r="X44" s="16">
        <v>100644</v>
      </c>
      <c r="Y44" s="16">
        <v>100762</v>
      </c>
      <c r="Z44" s="16">
        <v>104592</v>
      </c>
      <c r="AA44" s="16">
        <v>103942</v>
      </c>
      <c r="AB44" s="16">
        <v>103560</v>
      </c>
      <c r="AC44" s="16">
        <v>104139</v>
      </c>
      <c r="AD44" s="16">
        <v>107516</v>
      </c>
      <c r="AE44" s="16">
        <v>107789</v>
      </c>
      <c r="AF44" s="16">
        <v>107943</v>
      </c>
      <c r="AG44" s="16">
        <v>108021</v>
      </c>
      <c r="AH44" s="16">
        <v>108317</v>
      </c>
      <c r="AI44" s="16">
        <v>108313</v>
      </c>
      <c r="AJ44" s="16">
        <v>106283</v>
      </c>
      <c r="AK44" s="16">
        <v>111425</v>
      </c>
      <c r="AL44" s="16">
        <v>111446</v>
      </c>
      <c r="AM44" s="16">
        <v>108521</v>
      </c>
      <c r="AN44" s="16">
        <v>111157</v>
      </c>
      <c r="AO44" s="16">
        <v>111411</v>
      </c>
      <c r="AP44" s="16">
        <v>111513</v>
      </c>
      <c r="AQ44" s="16">
        <v>111525</v>
      </c>
      <c r="AR44" s="16">
        <v>110656</v>
      </c>
      <c r="AS44" s="16">
        <v>110925</v>
      </c>
      <c r="AT44" s="16">
        <v>111261</v>
      </c>
      <c r="AU44" s="16">
        <v>111399</v>
      </c>
      <c r="AV44" s="16">
        <v>105977</v>
      </c>
      <c r="AW44" s="16">
        <v>106412</v>
      </c>
      <c r="AX44" s="16">
        <v>106409</v>
      </c>
      <c r="AY44" s="16">
        <v>106399</v>
      </c>
      <c r="AZ44" s="16">
        <v>106412</v>
      </c>
      <c r="BA44" s="16">
        <v>96305</v>
      </c>
      <c r="BB44" s="16">
        <v>96226</v>
      </c>
      <c r="BC44" s="16">
        <v>96274</v>
      </c>
      <c r="BD44" s="16">
        <v>119606</v>
      </c>
      <c r="BE44" s="16">
        <v>116516</v>
      </c>
      <c r="BF44" s="16">
        <v>116765</v>
      </c>
      <c r="BG44" s="16">
        <v>116728</v>
      </c>
      <c r="BH44" s="16">
        <v>119833</v>
      </c>
      <c r="BI44" s="16">
        <v>106980</v>
      </c>
      <c r="BJ44" s="16">
        <v>107091</v>
      </c>
      <c r="BK44" s="16">
        <v>107149</v>
      </c>
      <c r="BL44" s="16">
        <v>107389</v>
      </c>
      <c r="BM44" s="16">
        <v>107541</v>
      </c>
      <c r="BN44" s="16">
        <v>107641</v>
      </c>
      <c r="BO44" s="16">
        <v>107886</v>
      </c>
      <c r="BP44" s="16">
        <v>107203</v>
      </c>
      <c r="BQ44" s="16">
        <v>117113</v>
      </c>
      <c r="BR44" s="16">
        <v>116693</v>
      </c>
      <c r="BS44" s="16">
        <v>109543</v>
      </c>
      <c r="BT44" s="16">
        <v>102602</v>
      </c>
      <c r="BU44" s="16">
        <v>107566</v>
      </c>
      <c r="BV44" s="16">
        <v>107636</v>
      </c>
      <c r="BW44" s="16">
        <v>102541</v>
      </c>
      <c r="BX44" s="16">
        <v>97719</v>
      </c>
      <c r="BY44" s="16">
        <v>102856</v>
      </c>
      <c r="BZ44" s="16">
        <v>102934</v>
      </c>
      <c r="CA44" s="16">
        <v>102923</v>
      </c>
      <c r="CB44" s="16">
        <v>102974</v>
      </c>
      <c r="CC44" s="16">
        <v>108079</v>
      </c>
      <c r="CD44" s="16">
        <v>108073</v>
      </c>
      <c r="CE44" s="16">
        <v>108300</v>
      </c>
      <c r="CF44" s="16">
        <v>115588</v>
      </c>
      <c r="CG44" s="16">
        <v>111744</v>
      </c>
      <c r="CH44" s="16">
        <v>119960</v>
      </c>
      <c r="CI44" s="16">
        <v>120001</v>
      </c>
      <c r="CJ44" s="16">
        <v>122153</v>
      </c>
      <c r="CK44" s="14">
        <v>120856</v>
      </c>
      <c r="CL44" s="14">
        <v>131670</v>
      </c>
      <c r="CM44" s="14">
        <v>156086</v>
      </c>
      <c r="CN44" s="14">
        <v>161911</v>
      </c>
      <c r="CO44" s="14">
        <v>156959</v>
      </c>
      <c r="CP44" s="13">
        <v>155444</v>
      </c>
      <c r="CQ44" s="13">
        <v>151388</v>
      </c>
      <c r="CR44" s="13">
        <v>145227</v>
      </c>
      <c r="CS44" s="13">
        <v>132216</v>
      </c>
      <c r="CT44" s="13">
        <v>134901</v>
      </c>
      <c r="CU44" s="13">
        <v>134218</v>
      </c>
      <c r="CV44" s="13">
        <v>134047</v>
      </c>
      <c r="CW44" s="13">
        <v>130661</v>
      </c>
      <c r="CX44" s="13">
        <v>131787</v>
      </c>
      <c r="CY44" s="13">
        <v>121434</v>
      </c>
      <c r="CZ44" s="13">
        <v>121063</v>
      </c>
      <c r="DA44" s="13">
        <v>120288</v>
      </c>
      <c r="DB44" s="13">
        <v>120415</v>
      </c>
      <c r="DC44" s="13">
        <v>120463</v>
      </c>
      <c r="DD44" s="13">
        <v>119972</v>
      </c>
      <c r="DE44" s="13">
        <v>104994</v>
      </c>
      <c r="DF44" s="13">
        <v>104581</v>
      </c>
      <c r="DG44" s="13">
        <v>103996</v>
      </c>
      <c r="DH44" s="13">
        <v>103948</v>
      </c>
      <c r="DI44" s="13">
        <v>102294</v>
      </c>
      <c r="DJ44" s="13">
        <v>102481</v>
      </c>
      <c r="DK44" s="13">
        <v>109949</v>
      </c>
      <c r="DL44" s="13">
        <v>111040</v>
      </c>
      <c r="DM44" s="13">
        <v>111291</v>
      </c>
      <c r="DN44" s="13">
        <v>121638</v>
      </c>
      <c r="DO44" s="13">
        <v>161672</v>
      </c>
      <c r="DP44" s="13">
        <v>164706</v>
      </c>
      <c r="DQ44" s="13">
        <v>182004</v>
      </c>
      <c r="DR44" s="13">
        <v>196388</v>
      </c>
      <c r="DS44" s="13">
        <v>189094</v>
      </c>
      <c r="DT44" s="13">
        <v>201575</v>
      </c>
      <c r="DU44" s="13">
        <v>196528</v>
      </c>
      <c r="DV44" s="13">
        <v>187100</v>
      </c>
      <c r="DW44" s="13">
        <v>192918</v>
      </c>
      <c r="DX44" s="13">
        <v>184968</v>
      </c>
      <c r="DY44" s="13">
        <v>194918</v>
      </c>
      <c r="DZ44" s="13">
        <v>199703</v>
      </c>
      <c r="EA44" s="13">
        <v>203435</v>
      </c>
      <c r="EB44" s="13">
        <v>196572</v>
      </c>
      <c r="EC44" s="13">
        <v>195230</v>
      </c>
      <c r="ED44" s="13">
        <v>212374</v>
      </c>
      <c r="EE44" s="13">
        <v>211923</v>
      </c>
      <c r="EF44" s="13">
        <v>222308</v>
      </c>
      <c r="EG44" s="13">
        <v>245201</v>
      </c>
      <c r="EH44" s="13">
        <v>241430</v>
      </c>
      <c r="EI44" s="13">
        <v>227904</v>
      </c>
      <c r="EJ44" s="13">
        <v>226447</v>
      </c>
      <c r="EK44" s="25">
        <f t="shared" si="0"/>
        <v>-3524</v>
      </c>
      <c r="EL44" s="13">
        <v>222923</v>
      </c>
      <c r="EM44" s="25">
        <f t="shared" si="1"/>
        <v>-4429</v>
      </c>
      <c r="EN44" s="13">
        <v>218494</v>
      </c>
      <c r="EO44" s="25">
        <f t="shared" si="2"/>
        <v>9608</v>
      </c>
      <c r="EP44" s="13">
        <v>228102</v>
      </c>
      <c r="EQ44" s="25">
        <f t="shared" si="3"/>
        <v>-798</v>
      </c>
      <c r="ER44" s="13">
        <v>227304</v>
      </c>
      <c r="ES44" s="25">
        <f t="shared" si="4"/>
        <v>14818</v>
      </c>
      <c r="ET44" s="13">
        <v>242122</v>
      </c>
      <c r="EU44" s="25">
        <f t="shared" si="5"/>
        <v>-9280</v>
      </c>
      <c r="EV44" s="13">
        <v>232842</v>
      </c>
      <c r="EW44" s="13">
        <v>230704</v>
      </c>
      <c r="EX44" s="13">
        <v>221715</v>
      </c>
      <c r="EY44" s="13">
        <v>217818</v>
      </c>
      <c r="EZ44" s="13">
        <v>203750</v>
      </c>
      <c r="FA44" s="13">
        <v>201500</v>
      </c>
      <c r="FB44" s="13">
        <v>199942</v>
      </c>
      <c r="FC44" s="13">
        <v>198336</v>
      </c>
      <c r="FD44" s="13">
        <v>195906</v>
      </c>
      <c r="FE44" s="13">
        <v>207088</v>
      </c>
      <c r="FF44" s="13">
        <v>203978</v>
      </c>
      <c r="FG44" s="13">
        <v>195909</v>
      </c>
      <c r="FH44" s="13">
        <v>195354</v>
      </c>
      <c r="FI44" s="13">
        <v>194458</v>
      </c>
    </row>
    <row r="45" spans="1:165" x14ac:dyDescent="0.4">
      <c r="A45" s="35" t="s">
        <v>27</v>
      </c>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v>10000</v>
      </c>
      <c r="BW45" s="16">
        <v>5000</v>
      </c>
      <c r="BX45" s="16">
        <v>0</v>
      </c>
      <c r="BY45" s="16">
        <v>0</v>
      </c>
      <c r="BZ45" s="16">
        <v>0</v>
      </c>
      <c r="CA45" s="16">
        <v>0</v>
      </c>
      <c r="CB45" s="16">
        <v>0</v>
      </c>
      <c r="CC45" s="16">
        <v>5000</v>
      </c>
      <c r="CD45" s="16">
        <v>5000</v>
      </c>
      <c r="CE45" s="16">
        <v>15000</v>
      </c>
      <c r="CF45" s="16">
        <v>20063</v>
      </c>
      <c r="CG45" s="16">
        <v>20103</v>
      </c>
      <c r="CH45" s="16">
        <v>20102</v>
      </c>
      <c r="CI45" s="16">
        <v>20112</v>
      </c>
      <c r="CJ45" s="16">
        <v>20672</v>
      </c>
      <c r="CK45" s="14">
        <v>25469</v>
      </c>
      <c r="CL45" s="14">
        <v>25699</v>
      </c>
      <c r="CM45" s="14">
        <v>35637</v>
      </c>
      <c r="CN45" s="14">
        <v>36015</v>
      </c>
      <c r="CO45" s="14">
        <v>31093</v>
      </c>
      <c r="CP45" s="13">
        <v>31339</v>
      </c>
      <c r="CQ45" s="13">
        <v>20794</v>
      </c>
      <c r="CR45" s="13">
        <v>15522</v>
      </c>
      <c r="CS45" s="13">
        <v>29601</v>
      </c>
      <c r="CT45" s="13">
        <v>29715</v>
      </c>
      <c r="CU45" s="13">
        <v>29790</v>
      </c>
      <c r="CV45" s="13">
        <v>29811</v>
      </c>
      <c r="CW45" s="13">
        <v>24671</v>
      </c>
      <c r="CX45" s="13">
        <v>24743</v>
      </c>
      <c r="CY45" s="13">
        <v>14300</v>
      </c>
      <c r="CZ45" s="13">
        <v>14300</v>
      </c>
      <c r="DA45" s="13">
        <v>14300</v>
      </c>
      <c r="DB45" s="13">
        <v>14300</v>
      </c>
      <c r="DC45" s="13">
        <v>14300</v>
      </c>
      <c r="DD45" s="13">
        <v>14300</v>
      </c>
      <c r="DE45" s="13">
        <v>0</v>
      </c>
      <c r="DF45" s="13">
        <v>0</v>
      </c>
      <c r="DG45" s="13">
        <v>6950</v>
      </c>
      <c r="DH45" s="13">
        <v>6986</v>
      </c>
      <c r="DI45" s="13">
        <v>14065</v>
      </c>
      <c r="DJ45" s="13">
        <v>19149</v>
      </c>
      <c r="DK45" s="13">
        <v>26283</v>
      </c>
      <c r="DL45" s="13">
        <v>34145</v>
      </c>
      <c r="DM45" s="13">
        <v>34165</v>
      </c>
      <c r="DN45" s="13">
        <v>34295</v>
      </c>
      <c r="DO45" s="13">
        <v>34287</v>
      </c>
      <c r="DP45" s="13">
        <v>34475</v>
      </c>
      <c r="DQ45" s="13">
        <v>34594</v>
      </c>
      <c r="DR45" s="13">
        <v>34456</v>
      </c>
      <c r="DS45" s="13">
        <v>27298</v>
      </c>
      <c r="DT45" s="13">
        <v>27333</v>
      </c>
      <c r="DU45" s="13">
        <v>20361</v>
      </c>
      <c r="DV45" s="13">
        <v>17272</v>
      </c>
      <c r="DW45" s="13">
        <v>19960</v>
      </c>
      <c r="DX45" s="13">
        <v>11959</v>
      </c>
      <c r="DY45" s="13">
        <v>11911</v>
      </c>
      <c r="DZ45" s="13">
        <v>11659</v>
      </c>
      <c r="EA45" s="13">
        <v>11684</v>
      </c>
      <c r="EB45" s="13">
        <v>11684</v>
      </c>
      <c r="EC45" s="13">
        <v>18822</v>
      </c>
      <c r="ED45" s="13">
        <v>18942</v>
      </c>
      <c r="EE45" s="13">
        <v>23994</v>
      </c>
      <c r="EF45" s="13">
        <v>23804</v>
      </c>
      <c r="EG45" s="13">
        <v>23977</v>
      </c>
      <c r="EH45" s="13">
        <v>34759</v>
      </c>
      <c r="EI45" s="13">
        <v>24864</v>
      </c>
      <c r="EJ45" s="13">
        <v>25046</v>
      </c>
      <c r="EK45" s="25">
        <f t="shared" si="0"/>
        <v>9204</v>
      </c>
      <c r="EL45" s="13">
        <v>34250</v>
      </c>
      <c r="EM45" s="25">
        <f t="shared" si="1"/>
        <v>-24</v>
      </c>
      <c r="EN45" s="13">
        <v>34226</v>
      </c>
      <c r="EO45" s="25">
        <f t="shared" si="2"/>
        <v>10</v>
      </c>
      <c r="EP45" s="13">
        <v>34236</v>
      </c>
      <c r="EQ45" s="25">
        <f t="shared" si="3"/>
        <v>-7389</v>
      </c>
      <c r="ER45" s="13">
        <v>26847</v>
      </c>
      <c r="ES45" s="25">
        <f t="shared" si="4"/>
        <v>4133</v>
      </c>
      <c r="ET45" s="13">
        <v>30980</v>
      </c>
      <c r="EU45" s="25">
        <f t="shared" si="5"/>
        <v>316</v>
      </c>
      <c r="EV45" s="13">
        <v>31296</v>
      </c>
      <c r="EW45" s="13">
        <v>25947</v>
      </c>
      <c r="EX45" s="13">
        <v>33534</v>
      </c>
      <c r="EY45" s="13">
        <v>35052</v>
      </c>
      <c r="EZ45" s="13">
        <v>22314</v>
      </c>
      <c r="FA45" s="13">
        <v>22753</v>
      </c>
      <c r="FB45" s="13">
        <v>23024</v>
      </c>
      <c r="FC45" s="13">
        <v>13076</v>
      </c>
      <c r="FD45" s="13">
        <v>12774</v>
      </c>
      <c r="FE45" s="13">
        <v>12260</v>
      </c>
      <c r="FF45" s="13">
        <v>12368</v>
      </c>
      <c r="FG45" s="13">
        <v>8738</v>
      </c>
      <c r="FH45" s="13">
        <v>14435</v>
      </c>
      <c r="FI45" s="13">
        <v>14641</v>
      </c>
    </row>
    <row r="46" spans="1:165" x14ac:dyDescent="0.4">
      <c r="A46" s="35" t="s">
        <v>30</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v>97636</v>
      </c>
      <c r="BW46" s="16">
        <v>97541</v>
      </c>
      <c r="BX46" s="16">
        <v>97719</v>
      </c>
      <c r="BY46" s="16">
        <v>102856</v>
      </c>
      <c r="BZ46" s="16">
        <v>102934</v>
      </c>
      <c r="CA46" s="16">
        <v>102923</v>
      </c>
      <c r="CB46" s="16">
        <v>102974</v>
      </c>
      <c r="CC46" s="16">
        <v>103079</v>
      </c>
      <c r="CD46" s="16">
        <v>103073</v>
      </c>
      <c r="CE46" s="16">
        <v>93300</v>
      </c>
      <c r="CF46" s="16">
        <v>95525</v>
      </c>
      <c r="CG46" s="16">
        <v>91641</v>
      </c>
      <c r="CH46" s="16">
        <v>99858</v>
      </c>
      <c r="CI46" s="16">
        <v>99889</v>
      </c>
      <c r="CJ46" s="16">
        <v>101482</v>
      </c>
      <c r="CK46" s="14">
        <v>95387</v>
      </c>
      <c r="CL46" s="14">
        <v>105971</v>
      </c>
      <c r="CM46" s="14">
        <v>120449</v>
      </c>
      <c r="CN46" s="14">
        <v>125896</v>
      </c>
      <c r="CO46" s="14">
        <v>125866</v>
      </c>
      <c r="CP46" s="13">
        <v>124106</v>
      </c>
      <c r="CQ46" s="13">
        <v>130594</v>
      </c>
      <c r="CR46" s="13">
        <v>129705</v>
      </c>
      <c r="CS46" s="13">
        <v>102615</v>
      </c>
      <c r="CT46" s="13">
        <v>105186</v>
      </c>
      <c r="CU46" s="13">
        <v>104428</v>
      </c>
      <c r="CV46" s="13">
        <v>104236</v>
      </c>
      <c r="CW46" s="13">
        <v>105990</v>
      </c>
      <c r="CX46" s="13">
        <v>107044</v>
      </c>
      <c r="CY46" s="13">
        <v>107134</v>
      </c>
      <c r="CZ46" s="13">
        <v>106763</v>
      </c>
      <c r="DA46" s="13">
        <v>105988</v>
      </c>
      <c r="DB46" s="13">
        <v>106115</v>
      </c>
      <c r="DC46" s="13">
        <v>106163</v>
      </c>
      <c r="DD46" s="13">
        <v>105672</v>
      </c>
      <c r="DE46" s="13">
        <v>104994</v>
      </c>
      <c r="DF46" s="13">
        <v>104581</v>
      </c>
      <c r="DG46" s="13">
        <v>97046</v>
      </c>
      <c r="DH46" s="13">
        <v>96962</v>
      </c>
      <c r="DI46" s="13">
        <v>88229</v>
      </c>
      <c r="DJ46" s="13">
        <v>83333</v>
      </c>
      <c r="DK46" s="13">
        <v>83666</v>
      </c>
      <c r="DL46" s="13">
        <v>76896</v>
      </c>
      <c r="DM46" s="13">
        <v>77126</v>
      </c>
      <c r="DN46" s="13">
        <v>87343</v>
      </c>
      <c r="DO46" s="13">
        <v>127385</v>
      </c>
      <c r="DP46" s="13">
        <v>130231</v>
      </c>
      <c r="DQ46" s="13">
        <v>147410</v>
      </c>
      <c r="DR46" s="13">
        <v>161932</v>
      </c>
      <c r="DS46" s="13">
        <v>161795</v>
      </c>
      <c r="DT46" s="13">
        <v>174242</v>
      </c>
      <c r="DU46" s="13">
        <v>176167</v>
      </c>
      <c r="DV46" s="13">
        <v>169827</v>
      </c>
      <c r="DW46" s="13">
        <v>172958</v>
      </c>
      <c r="DX46" s="13">
        <v>173009</v>
      </c>
      <c r="DY46" s="13">
        <v>183007</v>
      </c>
      <c r="DZ46" s="13">
        <v>188045</v>
      </c>
      <c r="EA46" s="13">
        <v>191751</v>
      </c>
      <c r="EB46" s="13">
        <v>184889</v>
      </c>
      <c r="EC46" s="13">
        <v>176408</v>
      </c>
      <c r="ED46" s="13">
        <v>193433</v>
      </c>
      <c r="EE46" s="13">
        <v>187929</v>
      </c>
      <c r="EF46" s="13">
        <v>198504</v>
      </c>
      <c r="EG46" s="13">
        <v>221224</v>
      </c>
      <c r="EH46" s="13">
        <v>206671</v>
      </c>
      <c r="EI46" s="13">
        <v>203040</v>
      </c>
      <c r="EJ46" s="13">
        <v>201402</v>
      </c>
      <c r="EK46" s="25">
        <f t="shared" si="0"/>
        <v>-12729</v>
      </c>
      <c r="EL46" s="13">
        <v>188673</v>
      </c>
      <c r="EM46" s="25">
        <f t="shared" si="1"/>
        <v>-4405</v>
      </c>
      <c r="EN46" s="13">
        <v>184268</v>
      </c>
      <c r="EO46" s="25">
        <f t="shared" si="2"/>
        <v>9598</v>
      </c>
      <c r="EP46" s="13">
        <v>193866</v>
      </c>
      <c r="EQ46" s="25">
        <f t="shared" si="3"/>
        <v>6591</v>
      </c>
      <c r="ER46" s="13">
        <v>200457</v>
      </c>
      <c r="ES46" s="25">
        <f t="shared" si="4"/>
        <v>10686</v>
      </c>
      <c r="ET46" s="13">
        <v>211143</v>
      </c>
      <c r="EU46" s="25">
        <f t="shared" si="5"/>
        <v>-9596</v>
      </c>
      <c r="EV46" s="13">
        <v>201547</v>
      </c>
      <c r="EW46" s="13">
        <v>204757</v>
      </c>
      <c r="EX46" s="13">
        <v>188181</v>
      </c>
      <c r="EY46" s="13">
        <v>182765</v>
      </c>
      <c r="EZ46" s="13">
        <v>181437</v>
      </c>
      <c r="FA46" s="13">
        <v>178748</v>
      </c>
      <c r="FB46" s="13">
        <v>176918</v>
      </c>
      <c r="FC46" s="13">
        <v>185260</v>
      </c>
      <c r="FD46" s="13">
        <v>183132</v>
      </c>
      <c r="FE46" s="13">
        <v>194828</v>
      </c>
      <c r="FF46" s="13">
        <v>191609</v>
      </c>
      <c r="FG46" s="13">
        <v>187172</v>
      </c>
      <c r="FH46" s="13">
        <v>180919</v>
      </c>
      <c r="FI46" s="13">
        <v>179818</v>
      </c>
    </row>
    <row r="47" spans="1:165" x14ac:dyDescent="0.4">
      <c r="A47" s="24"/>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7"/>
      <c r="CQ47" s="7"/>
      <c r="CR47" s="7"/>
      <c r="CS47" s="7"/>
      <c r="CT47" s="7"/>
      <c r="CU47" s="7"/>
      <c r="CV47" s="7"/>
      <c r="CW47" s="7"/>
      <c r="CX47" s="7"/>
      <c r="CY47" s="7"/>
      <c r="CZ47" s="7"/>
      <c r="DA47" s="7"/>
      <c r="DB47" s="7"/>
      <c r="EK47" s="25">
        <f t="shared" si="0"/>
        <v>0</v>
      </c>
      <c r="EM47" s="25">
        <f t="shared" si="1"/>
        <v>0</v>
      </c>
      <c r="EO47" s="25">
        <f t="shared" si="2"/>
        <v>0</v>
      </c>
      <c r="EQ47" s="25">
        <f t="shared" si="3"/>
        <v>0</v>
      </c>
      <c r="ES47" s="25">
        <f t="shared" si="4"/>
        <v>0</v>
      </c>
      <c r="EU47" s="25">
        <f t="shared" si="5"/>
        <v>0</v>
      </c>
    </row>
    <row r="48" spans="1:165" x14ac:dyDescent="0.4">
      <c r="A48" s="31" t="s">
        <v>16</v>
      </c>
      <c r="EK48" s="25">
        <f t="shared" si="0"/>
        <v>0</v>
      </c>
      <c r="EM48" s="25">
        <f t="shared" si="1"/>
        <v>0</v>
      </c>
      <c r="EO48" s="25">
        <f t="shared" si="2"/>
        <v>0</v>
      </c>
      <c r="EQ48" s="25">
        <f t="shared" si="3"/>
        <v>0</v>
      </c>
      <c r="ES48" s="25">
        <f t="shared" si="4"/>
        <v>0</v>
      </c>
      <c r="EU48" s="25">
        <f t="shared" si="5"/>
        <v>0</v>
      </c>
    </row>
    <row r="49" spans="1:165" x14ac:dyDescent="0.4">
      <c r="A49" s="32" t="s">
        <v>2</v>
      </c>
      <c r="B49" s="27">
        <v>8477393</v>
      </c>
      <c r="C49" s="27">
        <v>8364672</v>
      </c>
      <c r="D49" s="27">
        <v>8491729</v>
      </c>
      <c r="E49" s="27">
        <v>8582714</v>
      </c>
      <c r="F49" s="27">
        <v>8751125</v>
      </c>
      <c r="G49" s="27">
        <v>8786571</v>
      </c>
      <c r="H49" s="27">
        <v>8878893</v>
      </c>
      <c r="I49" s="27">
        <v>8957722</v>
      </c>
      <c r="J49" s="27">
        <v>9054037</v>
      </c>
      <c r="K49" s="27">
        <v>9247370</v>
      </c>
      <c r="L49" s="27">
        <v>9484875</v>
      </c>
      <c r="M49" s="27">
        <v>9654508</v>
      </c>
      <c r="N49" s="27">
        <v>9725481</v>
      </c>
      <c r="O49" s="27">
        <v>9915529</v>
      </c>
      <c r="P49" s="27">
        <v>9995416</v>
      </c>
      <c r="Q49" s="27">
        <v>9833790</v>
      </c>
      <c r="R49" s="27">
        <v>9815765</v>
      </c>
      <c r="S49" s="27">
        <v>9845942</v>
      </c>
      <c r="T49" s="27">
        <v>9922186</v>
      </c>
      <c r="U49" s="27">
        <v>10128369</v>
      </c>
      <c r="V49" s="27">
        <v>10052646</v>
      </c>
      <c r="W49" s="27">
        <v>10104401</v>
      </c>
      <c r="X49" s="27">
        <v>10236458</v>
      </c>
      <c r="Y49" s="27">
        <v>10081561</v>
      </c>
      <c r="Z49" s="27">
        <v>11856690</v>
      </c>
      <c r="AA49" s="27">
        <v>12277170</v>
      </c>
      <c r="AB49" s="27">
        <v>12333954</v>
      </c>
      <c r="AC49" s="27">
        <v>12215465</v>
      </c>
      <c r="AD49" s="27">
        <v>12411244</v>
      </c>
      <c r="AE49" s="27">
        <v>12647158</v>
      </c>
      <c r="AF49" s="27">
        <v>12643250</v>
      </c>
      <c r="AG49" s="27">
        <v>12966111</v>
      </c>
      <c r="AH49" s="27">
        <v>12766649</v>
      </c>
      <c r="AI49" s="27">
        <v>12805366</v>
      </c>
      <c r="AJ49" s="27">
        <v>13011436</v>
      </c>
      <c r="AK49" s="27">
        <v>13128996</v>
      </c>
      <c r="AL49" s="27">
        <v>13201506</v>
      </c>
      <c r="AM49" s="27">
        <v>13171556</v>
      </c>
      <c r="AN49" s="27">
        <v>13077025</v>
      </c>
      <c r="AO49" s="27">
        <v>13237814</v>
      </c>
      <c r="AP49" s="27">
        <v>13583169</v>
      </c>
      <c r="AQ49" s="27">
        <v>13668839</v>
      </c>
      <c r="AR49" s="27">
        <v>13820072</v>
      </c>
      <c r="AS49" s="27">
        <v>13888204</v>
      </c>
      <c r="AT49" s="27">
        <v>13845413</v>
      </c>
      <c r="AU49" s="27">
        <v>13970373</v>
      </c>
      <c r="AV49" s="27">
        <v>14065146</v>
      </c>
      <c r="AW49" s="27">
        <v>14261365</v>
      </c>
      <c r="AX49" s="27">
        <v>15106536</v>
      </c>
      <c r="AY49" s="27">
        <v>15282911</v>
      </c>
      <c r="AZ49" s="27">
        <v>15433635</v>
      </c>
      <c r="BA49" s="27">
        <v>15697843</v>
      </c>
      <c r="BB49" s="27">
        <v>15805847</v>
      </c>
      <c r="BC49" s="27">
        <v>16280265</v>
      </c>
      <c r="BD49" s="27">
        <v>16450569</v>
      </c>
      <c r="BE49" s="27">
        <v>16797064</v>
      </c>
      <c r="BF49" s="27">
        <v>17209155</v>
      </c>
      <c r="BG49" s="27">
        <v>17295806</v>
      </c>
      <c r="BH49" s="27">
        <v>17816251</v>
      </c>
      <c r="BI49" s="27">
        <v>17912055</v>
      </c>
      <c r="BJ49" s="27">
        <v>18566837</v>
      </c>
      <c r="BK49" s="27">
        <v>18746996</v>
      </c>
      <c r="BL49" s="27">
        <v>19187702</v>
      </c>
      <c r="BM49" s="27">
        <v>19700884</v>
      </c>
      <c r="BN49" s="27">
        <v>19604524</v>
      </c>
      <c r="BO49" s="27">
        <v>19896078</v>
      </c>
      <c r="BP49" s="27">
        <v>19785319</v>
      </c>
      <c r="BQ49" s="27">
        <v>20252978</v>
      </c>
      <c r="BR49" s="27">
        <v>20134003</v>
      </c>
      <c r="BS49" s="27">
        <v>20050838</v>
      </c>
      <c r="BT49" s="27">
        <v>20070516</v>
      </c>
      <c r="BU49" s="27">
        <v>20343308</v>
      </c>
      <c r="BV49" s="27">
        <v>20255792</v>
      </c>
      <c r="BW49" s="27">
        <v>20588439</v>
      </c>
      <c r="BX49" s="27">
        <v>20720896</v>
      </c>
      <c r="BY49" s="27">
        <v>21157038</v>
      </c>
      <c r="BZ49" s="27">
        <v>21775723</v>
      </c>
      <c r="CA49" s="27">
        <v>22121389</v>
      </c>
      <c r="CB49" s="27">
        <v>22438007</v>
      </c>
      <c r="CC49" s="27">
        <v>22743313</v>
      </c>
      <c r="CD49" s="27">
        <v>22393904</v>
      </c>
      <c r="CE49" s="27">
        <v>22195814</v>
      </c>
      <c r="CF49" s="27">
        <v>22876606</v>
      </c>
      <c r="CG49" s="27">
        <v>23468434</v>
      </c>
      <c r="CH49" s="27">
        <v>24298589</v>
      </c>
      <c r="CI49" s="27">
        <v>24306124</v>
      </c>
      <c r="CJ49" s="27">
        <v>25048994</v>
      </c>
      <c r="CK49" s="27">
        <v>24458602</v>
      </c>
      <c r="CL49" s="27">
        <v>24899811</v>
      </c>
      <c r="CM49" s="27">
        <v>24772628</v>
      </c>
      <c r="CN49" s="27">
        <v>24864985</v>
      </c>
      <c r="CO49" s="27">
        <v>25320834</v>
      </c>
      <c r="CP49" s="22">
        <v>25695940</v>
      </c>
      <c r="CQ49" s="22">
        <v>26473976</v>
      </c>
      <c r="CR49" s="22">
        <v>27918133</v>
      </c>
      <c r="CS49" s="22">
        <v>29845335</v>
      </c>
      <c r="CT49" s="22">
        <v>30571855</v>
      </c>
      <c r="CU49" s="22">
        <v>30109867</v>
      </c>
      <c r="CV49" s="22">
        <v>30337330</v>
      </c>
      <c r="CW49" s="22">
        <v>30879000</v>
      </c>
      <c r="CX49" s="22">
        <v>31277812</v>
      </c>
      <c r="CY49" s="22">
        <v>31636536</v>
      </c>
      <c r="CZ49" s="22">
        <v>31662434</v>
      </c>
      <c r="DA49" s="22">
        <v>31781523</v>
      </c>
      <c r="DB49" s="22">
        <v>32063768</v>
      </c>
      <c r="DC49" s="22">
        <v>32440728</v>
      </c>
      <c r="DD49" s="22">
        <v>32281067</v>
      </c>
      <c r="DE49" s="22">
        <v>32108196</v>
      </c>
      <c r="DF49" s="22">
        <v>32000665</v>
      </c>
      <c r="DG49" s="22">
        <v>31831668</v>
      </c>
      <c r="DH49" s="22">
        <v>31471335</v>
      </c>
      <c r="DI49" s="22">
        <v>31165903</v>
      </c>
      <c r="DJ49" s="25">
        <v>31143683</v>
      </c>
      <c r="DK49" s="25">
        <v>31413615</v>
      </c>
      <c r="DL49" s="25">
        <v>31592960</v>
      </c>
      <c r="DM49" s="25">
        <v>31345686</v>
      </c>
      <c r="DN49" s="25">
        <v>31641482</v>
      </c>
      <c r="DO49" s="25">
        <v>31650625</v>
      </c>
      <c r="DP49" s="25">
        <v>31809709</v>
      </c>
      <c r="DQ49" s="25">
        <v>33049779</v>
      </c>
      <c r="DR49" s="25">
        <v>34859408</v>
      </c>
      <c r="DS49" s="25">
        <v>34857473</v>
      </c>
      <c r="DT49" s="25">
        <v>35168758</v>
      </c>
      <c r="DU49" s="25">
        <v>35421556</v>
      </c>
      <c r="DV49" s="25">
        <v>36006715</v>
      </c>
      <c r="DW49" s="25">
        <v>36297234</v>
      </c>
      <c r="DX49" s="25">
        <v>36807611</v>
      </c>
      <c r="DY49" s="25">
        <v>37434184</v>
      </c>
      <c r="DZ49" s="25">
        <v>37651403</v>
      </c>
      <c r="EA49" s="25">
        <v>37809206</v>
      </c>
      <c r="EB49" s="25">
        <v>37855023</v>
      </c>
      <c r="EC49" s="25">
        <v>38256000</v>
      </c>
      <c r="ED49" s="25">
        <v>39719625</v>
      </c>
      <c r="EE49" s="25">
        <v>39996092</v>
      </c>
      <c r="EF49" s="25">
        <v>40188784</v>
      </c>
      <c r="EG49" s="25">
        <v>40590196</v>
      </c>
      <c r="EH49" s="25">
        <v>40588397</v>
      </c>
      <c r="EI49" s="25">
        <v>40838726</v>
      </c>
      <c r="EJ49" s="25">
        <v>40969449</v>
      </c>
      <c r="EK49" s="25">
        <f t="shared" si="0"/>
        <v>-24204</v>
      </c>
      <c r="EL49" s="25">
        <v>40945245</v>
      </c>
      <c r="EM49" s="25">
        <f t="shared" si="1"/>
        <v>690658</v>
      </c>
      <c r="EN49" s="25">
        <v>41635903</v>
      </c>
      <c r="EO49" s="25">
        <f t="shared" si="2"/>
        <v>715419</v>
      </c>
      <c r="EP49" s="25">
        <v>42351322</v>
      </c>
      <c r="EQ49" s="25">
        <f t="shared" si="3"/>
        <v>5484</v>
      </c>
      <c r="ER49" s="25">
        <v>42356806</v>
      </c>
      <c r="ES49" s="25">
        <f t="shared" si="4"/>
        <v>340912</v>
      </c>
      <c r="ET49" s="25">
        <v>42697718</v>
      </c>
      <c r="EU49" s="25">
        <f t="shared" si="5"/>
        <v>4181074</v>
      </c>
      <c r="EV49" s="25">
        <v>46878792</v>
      </c>
      <c r="EW49" s="25">
        <v>47164704</v>
      </c>
      <c r="EX49" s="25">
        <v>48258665</v>
      </c>
      <c r="EY49" s="25">
        <v>49281021</v>
      </c>
      <c r="EZ49" s="25">
        <v>50580907</v>
      </c>
      <c r="FA49" s="25">
        <v>51195448</v>
      </c>
      <c r="FB49" s="25">
        <v>52053826</v>
      </c>
      <c r="FC49" s="25">
        <v>53081926</v>
      </c>
      <c r="FD49" s="25">
        <v>54193428</v>
      </c>
      <c r="FE49" s="25">
        <v>54421038</v>
      </c>
      <c r="FF49" s="25">
        <v>55656296</v>
      </c>
      <c r="FG49" s="25">
        <v>57543660</v>
      </c>
      <c r="FH49" s="25">
        <v>59426404</v>
      </c>
      <c r="FI49" s="25">
        <v>59780245</v>
      </c>
    </row>
    <row r="50" spans="1:165" x14ac:dyDescent="0.4">
      <c r="A50" s="33" t="s">
        <v>13</v>
      </c>
      <c r="B50" s="27">
        <v>13090</v>
      </c>
      <c r="C50" s="27">
        <v>13088</v>
      </c>
      <c r="D50" s="27">
        <v>15082</v>
      </c>
      <c r="E50" s="27">
        <v>15075</v>
      </c>
      <c r="F50" s="27">
        <v>15075</v>
      </c>
      <c r="G50" s="27">
        <v>15008</v>
      </c>
      <c r="H50" s="27">
        <v>15034</v>
      </c>
      <c r="I50" s="27">
        <v>15038</v>
      </c>
      <c r="J50" s="27">
        <v>15038</v>
      </c>
      <c r="K50" s="27">
        <v>15038</v>
      </c>
      <c r="L50" s="27">
        <v>2000</v>
      </c>
      <c r="M50" s="27">
        <v>2000</v>
      </c>
      <c r="N50" s="27">
        <v>2000</v>
      </c>
      <c r="O50" s="27">
        <v>0</v>
      </c>
      <c r="P50" s="27">
        <v>0</v>
      </c>
      <c r="Q50" s="27">
        <v>873</v>
      </c>
      <c r="R50" s="27">
        <v>873</v>
      </c>
      <c r="S50" s="27">
        <v>15910</v>
      </c>
      <c r="T50" s="27">
        <v>15949</v>
      </c>
      <c r="U50" s="27">
        <v>15880</v>
      </c>
      <c r="V50" s="27">
        <v>15886</v>
      </c>
      <c r="W50" s="27">
        <v>15855</v>
      </c>
      <c r="X50" s="27">
        <v>30822</v>
      </c>
      <c r="Y50" s="27">
        <v>30613</v>
      </c>
      <c r="Z50" s="27">
        <v>0</v>
      </c>
      <c r="AA50" s="27">
        <v>0</v>
      </c>
      <c r="AB50" s="27">
        <v>0</v>
      </c>
      <c r="AC50" s="27">
        <v>0</v>
      </c>
      <c r="AD50" s="27">
        <v>0</v>
      </c>
      <c r="AE50" s="27">
        <v>0</v>
      </c>
      <c r="AF50" s="27">
        <v>0</v>
      </c>
      <c r="AG50" s="27">
        <v>0</v>
      </c>
      <c r="AH50" s="27">
        <v>0</v>
      </c>
      <c r="AI50" s="27">
        <v>0</v>
      </c>
      <c r="AJ50" s="27">
        <v>0</v>
      </c>
      <c r="AK50" s="27">
        <v>0</v>
      </c>
      <c r="AL50" s="27">
        <v>0</v>
      </c>
      <c r="AM50" s="27">
        <v>3000</v>
      </c>
      <c r="AN50" s="27">
        <v>3000</v>
      </c>
      <c r="AO50" s="27">
        <v>3000</v>
      </c>
      <c r="AP50" s="27">
        <v>3000</v>
      </c>
      <c r="AQ50" s="27">
        <v>3000</v>
      </c>
      <c r="AR50" s="27">
        <v>3000</v>
      </c>
      <c r="AS50" s="27">
        <v>3000</v>
      </c>
      <c r="AT50" s="27">
        <v>3000</v>
      </c>
      <c r="AU50" s="27">
        <v>3100</v>
      </c>
      <c r="AV50" s="27">
        <v>8003</v>
      </c>
      <c r="AW50" s="27">
        <v>33545</v>
      </c>
      <c r="AX50" s="27">
        <v>4086</v>
      </c>
      <c r="AY50" s="27">
        <v>41162</v>
      </c>
      <c r="AZ50" s="27">
        <v>46406</v>
      </c>
      <c r="BA50" s="27">
        <v>71398</v>
      </c>
      <c r="BB50" s="27">
        <v>20199</v>
      </c>
      <c r="BC50" s="27">
        <v>60433</v>
      </c>
      <c r="BD50" s="27">
        <v>81812</v>
      </c>
      <c r="BE50" s="27">
        <v>54683</v>
      </c>
      <c r="BF50" s="27">
        <v>216645</v>
      </c>
      <c r="BG50" s="27">
        <v>165491</v>
      </c>
      <c r="BH50" s="27">
        <v>381214</v>
      </c>
      <c r="BI50" s="27">
        <v>353230</v>
      </c>
      <c r="BJ50" s="27">
        <v>400383</v>
      </c>
      <c r="BK50" s="27">
        <v>649875</v>
      </c>
      <c r="BL50" s="27">
        <v>870364</v>
      </c>
      <c r="BM50" s="27">
        <v>1226240</v>
      </c>
      <c r="BN50" s="27">
        <v>1139880</v>
      </c>
      <c r="BO50" s="27">
        <v>1377615</v>
      </c>
      <c r="BP50" s="27">
        <v>1196047</v>
      </c>
      <c r="BQ50" s="27">
        <v>1548758</v>
      </c>
      <c r="BR50" s="27">
        <v>1513512</v>
      </c>
      <c r="BS50" s="27">
        <v>1540052</v>
      </c>
      <c r="BT50" s="27">
        <v>1542459</v>
      </c>
      <c r="BU50" s="27">
        <v>1685302</v>
      </c>
      <c r="BV50" s="27">
        <v>1395847</v>
      </c>
      <c r="BW50" s="27">
        <v>1552313</v>
      </c>
      <c r="BX50" s="27">
        <v>1581390</v>
      </c>
      <c r="BY50" s="27">
        <v>1537762</v>
      </c>
      <c r="BZ50" s="27">
        <v>1578272</v>
      </c>
      <c r="CA50" s="27">
        <v>1696231</v>
      </c>
      <c r="CB50" s="27">
        <v>1814205</v>
      </c>
      <c r="CC50" s="27">
        <v>1642423</v>
      </c>
      <c r="CD50" s="27">
        <v>1330530</v>
      </c>
      <c r="CE50" s="27">
        <v>982080</v>
      </c>
      <c r="CF50" s="27">
        <v>1273113</v>
      </c>
      <c r="CG50" s="27">
        <v>1659140</v>
      </c>
      <c r="CH50" s="27">
        <v>2115253</v>
      </c>
      <c r="CI50" s="27">
        <v>2254673</v>
      </c>
      <c r="CJ50" s="27">
        <v>2091535</v>
      </c>
      <c r="CK50" s="27">
        <v>1712256</v>
      </c>
      <c r="CL50" s="27">
        <v>1678307</v>
      </c>
      <c r="CM50" s="27">
        <v>1249295</v>
      </c>
      <c r="CN50" s="27">
        <v>871666</v>
      </c>
      <c r="CO50" s="27">
        <v>869908</v>
      </c>
      <c r="CP50" s="22">
        <v>978754</v>
      </c>
      <c r="CQ50" s="22">
        <v>958109</v>
      </c>
      <c r="CR50" s="22">
        <v>827368</v>
      </c>
      <c r="CS50" s="22">
        <v>723976</v>
      </c>
      <c r="CT50" s="22">
        <v>707368</v>
      </c>
      <c r="CU50" s="22">
        <v>681539</v>
      </c>
      <c r="CV50" s="22">
        <v>669632</v>
      </c>
      <c r="CW50" s="22">
        <v>756547</v>
      </c>
      <c r="CX50" s="22">
        <v>761099</v>
      </c>
      <c r="CY50" s="22">
        <v>772346</v>
      </c>
      <c r="CZ50" s="22">
        <v>724043</v>
      </c>
      <c r="DA50" s="22">
        <v>684714</v>
      </c>
      <c r="DB50" s="22">
        <v>666758</v>
      </c>
      <c r="DC50" s="22">
        <v>691083</v>
      </c>
      <c r="DD50" s="22">
        <v>569399</v>
      </c>
      <c r="DE50" s="22">
        <v>304249</v>
      </c>
      <c r="DF50" s="22">
        <v>147848</v>
      </c>
      <c r="DG50" s="22">
        <v>151010</v>
      </c>
      <c r="DH50" s="22">
        <v>146151</v>
      </c>
      <c r="DI50" s="22">
        <v>135049</v>
      </c>
      <c r="DJ50" s="25">
        <v>134195</v>
      </c>
      <c r="DK50" s="25">
        <v>141411</v>
      </c>
      <c r="DL50" s="25">
        <v>134849</v>
      </c>
      <c r="DM50" s="25">
        <v>172058</v>
      </c>
      <c r="DN50" s="25">
        <v>201926</v>
      </c>
      <c r="DO50" s="25">
        <v>229279</v>
      </c>
      <c r="DP50" s="25">
        <v>200384</v>
      </c>
      <c r="DQ50" s="25">
        <v>141460</v>
      </c>
      <c r="DR50" s="25">
        <v>142044</v>
      </c>
      <c r="DS50" s="25">
        <v>159887</v>
      </c>
      <c r="DT50" s="25">
        <v>92313</v>
      </c>
      <c r="DU50" s="25">
        <v>122388</v>
      </c>
      <c r="DV50" s="25">
        <v>105654</v>
      </c>
      <c r="DW50" s="25">
        <v>140055</v>
      </c>
      <c r="DX50" s="25">
        <v>152684</v>
      </c>
      <c r="DY50" s="25">
        <v>197409</v>
      </c>
      <c r="DZ50" s="25">
        <v>204027</v>
      </c>
      <c r="EA50" s="25">
        <v>291639</v>
      </c>
      <c r="EB50" s="25">
        <v>339304</v>
      </c>
      <c r="EC50" s="25">
        <v>285003</v>
      </c>
      <c r="ED50" s="25">
        <v>289081</v>
      </c>
      <c r="EE50" s="25">
        <v>377400</v>
      </c>
      <c r="EF50" s="25">
        <v>279210</v>
      </c>
      <c r="EG50" s="25">
        <v>370180</v>
      </c>
      <c r="EH50" s="25">
        <v>320128</v>
      </c>
      <c r="EI50" s="25">
        <v>367227</v>
      </c>
      <c r="EJ50" s="25">
        <v>344986</v>
      </c>
      <c r="EK50" s="25">
        <f t="shared" si="0"/>
        <v>-57722</v>
      </c>
      <c r="EL50" s="25">
        <v>287264</v>
      </c>
      <c r="EM50" s="25">
        <f t="shared" si="1"/>
        <v>-89014</v>
      </c>
      <c r="EN50" s="25">
        <v>198250</v>
      </c>
      <c r="EO50" s="25">
        <f t="shared" si="2"/>
        <v>75949</v>
      </c>
      <c r="EP50" s="25">
        <v>274199</v>
      </c>
      <c r="EQ50" s="25">
        <f t="shared" si="3"/>
        <v>-60178</v>
      </c>
      <c r="ER50" s="25">
        <v>214021</v>
      </c>
      <c r="ES50" s="25">
        <f t="shared" si="4"/>
        <v>-22995</v>
      </c>
      <c r="ET50" s="25">
        <v>191026</v>
      </c>
      <c r="EU50" s="25">
        <f t="shared" si="5"/>
        <v>198773</v>
      </c>
      <c r="EV50" s="25">
        <v>389799</v>
      </c>
      <c r="EW50" s="25">
        <v>393718</v>
      </c>
      <c r="EX50" s="25">
        <v>430128</v>
      </c>
      <c r="EY50" s="25">
        <v>425567</v>
      </c>
      <c r="EZ50" s="25">
        <v>419379</v>
      </c>
      <c r="FA50" s="25">
        <v>456106</v>
      </c>
      <c r="FB50" s="25">
        <v>430253</v>
      </c>
      <c r="FC50" s="25">
        <v>447490</v>
      </c>
      <c r="FD50" s="25">
        <v>492173</v>
      </c>
      <c r="FE50" s="25">
        <v>440817</v>
      </c>
      <c r="FF50" s="25">
        <v>464068</v>
      </c>
      <c r="FG50" s="25">
        <v>383277</v>
      </c>
      <c r="FH50" s="25">
        <v>382338</v>
      </c>
      <c r="FI50" s="25">
        <v>391069</v>
      </c>
    </row>
    <row r="51" spans="1:165" x14ac:dyDescent="0.4">
      <c r="A51" s="33" t="s">
        <v>14</v>
      </c>
      <c r="B51" s="27">
        <v>8464303</v>
      </c>
      <c r="C51" s="27">
        <v>8351585</v>
      </c>
      <c r="D51" s="27">
        <v>8476647</v>
      </c>
      <c r="E51" s="27">
        <v>8567639</v>
      </c>
      <c r="F51" s="27">
        <v>8736050</v>
      </c>
      <c r="G51" s="27">
        <v>8771563</v>
      </c>
      <c r="H51" s="27">
        <v>8863859</v>
      </c>
      <c r="I51" s="27">
        <v>8942684</v>
      </c>
      <c r="J51" s="27">
        <v>9038999</v>
      </c>
      <c r="K51" s="27">
        <v>9232332</v>
      </c>
      <c r="L51" s="27">
        <v>9482875</v>
      </c>
      <c r="M51" s="27">
        <v>9652508</v>
      </c>
      <c r="N51" s="27">
        <v>9723481</v>
      </c>
      <c r="O51" s="27">
        <v>9915529</v>
      </c>
      <c r="P51" s="27">
        <v>9995416</v>
      </c>
      <c r="Q51" s="27">
        <v>9832917</v>
      </c>
      <c r="R51" s="27">
        <v>9814892</v>
      </c>
      <c r="S51" s="27">
        <v>9830032</v>
      </c>
      <c r="T51" s="27">
        <v>9906236</v>
      </c>
      <c r="U51" s="27">
        <v>10112488</v>
      </c>
      <c r="V51" s="27">
        <v>10036759</v>
      </c>
      <c r="W51" s="27">
        <v>10088546</v>
      </c>
      <c r="X51" s="27">
        <v>10205636</v>
      </c>
      <c r="Y51" s="27">
        <v>10050947</v>
      </c>
      <c r="Z51" s="27">
        <v>11856690</v>
      </c>
      <c r="AA51" s="27">
        <v>12277170</v>
      </c>
      <c r="AB51" s="27">
        <v>12333954</v>
      </c>
      <c r="AC51" s="27">
        <v>12215465</v>
      </c>
      <c r="AD51" s="27">
        <v>12411244</v>
      </c>
      <c r="AE51" s="27">
        <v>12647158</v>
      </c>
      <c r="AF51" s="27">
        <v>12643250</v>
      </c>
      <c r="AG51" s="27">
        <v>12966111</v>
      </c>
      <c r="AH51" s="27">
        <v>12766649</v>
      </c>
      <c r="AI51" s="27">
        <v>12805366</v>
      </c>
      <c r="AJ51" s="27">
        <v>13011436</v>
      </c>
      <c r="AK51" s="27">
        <v>13128996</v>
      </c>
      <c r="AL51" s="27">
        <v>13201506</v>
      </c>
      <c r="AM51" s="27">
        <v>13168556</v>
      </c>
      <c r="AN51" s="27">
        <v>13074025</v>
      </c>
      <c r="AO51" s="27">
        <v>13234814</v>
      </c>
      <c r="AP51" s="27">
        <v>13580169</v>
      </c>
      <c r="AQ51" s="27">
        <v>13665839</v>
      </c>
      <c r="AR51" s="27">
        <v>13817072</v>
      </c>
      <c r="AS51" s="27">
        <v>13885204</v>
      </c>
      <c r="AT51" s="27">
        <v>13842413</v>
      </c>
      <c r="AU51" s="27">
        <v>13967273</v>
      </c>
      <c r="AV51" s="27">
        <v>14057143</v>
      </c>
      <c r="AW51" s="27">
        <v>14227820</v>
      </c>
      <c r="AX51" s="27">
        <v>15102450</v>
      </c>
      <c r="AY51" s="27">
        <v>15241749</v>
      </c>
      <c r="AZ51" s="27">
        <v>15387228</v>
      </c>
      <c r="BA51" s="27">
        <v>15626445</v>
      </c>
      <c r="BB51" s="27">
        <v>15785648</v>
      </c>
      <c r="BC51" s="27">
        <v>16219833</v>
      </c>
      <c r="BD51" s="27">
        <v>16368757</v>
      </c>
      <c r="BE51" s="27">
        <v>16742381</v>
      </c>
      <c r="BF51" s="27">
        <v>16992510</v>
      </c>
      <c r="BG51" s="27">
        <v>17130315</v>
      </c>
      <c r="BH51" s="27">
        <v>17435037</v>
      </c>
      <c r="BI51" s="27">
        <v>17558825</v>
      </c>
      <c r="BJ51" s="27">
        <v>18166454</v>
      </c>
      <c r="BK51" s="27">
        <v>18097121</v>
      </c>
      <c r="BL51" s="27">
        <v>18317338</v>
      </c>
      <c r="BM51" s="27">
        <v>18474644</v>
      </c>
      <c r="BN51" s="27">
        <v>18464644</v>
      </c>
      <c r="BO51" s="27">
        <v>18518463</v>
      </c>
      <c r="BP51" s="27">
        <v>18589272</v>
      </c>
      <c r="BQ51" s="27">
        <v>18704220</v>
      </c>
      <c r="BR51" s="27">
        <v>18620491</v>
      </c>
      <c r="BS51" s="27">
        <v>18510786</v>
      </c>
      <c r="BT51" s="27">
        <v>18528057</v>
      </c>
      <c r="BU51" s="27">
        <v>18658006</v>
      </c>
      <c r="BV51" s="27">
        <v>18859946</v>
      </c>
      <c r="BW51" s="27">
        <v>19036126</v>
      </c>
      <c r="BX51" s="27">
        <v>19139506</v>
      </c>
      <c r="BY51" s="27">
        <v>19619276</v>
      </c>
      <c r="BZ51" s="27">
        <v>20197450</v>
      </c>
      <c r="CA51" s="27">
        <v>20425158</v>
      </c>
      <c r="CB51" s="27">
        <v>20623803</v>
      </c>
      <c r="CC51" s="27">
        <v>21100889</v>
      </c>
      <c r="CD51" s="27">
        <v>21063374</v>
      </c>
      <c r="CE51" s="27">
        <v>21213734</v>
      </c>
      <c r="CF51" s="27">
        <v>21603493</v>
      </c>
      <c r="CG51" s="27">
        <v>21809294</v>
      </c>
      <c r="CH51" s="27">
        <v>22183336</v>
      </c>
      <c r="CI51" s="27">
        <v>22051451</v>
      </c>
      <c r="CJ51" s="27">
        <v>22957458</v>
      </c>
      <c r="CK51" s="27">
        <v>22746346</v>
      </c>
      <c r="CL51" s="27">
        <v>23221504</v>
      </c>
      <c r="CM51" s="27">
        <v>23523333</v>
      </c>
      <c r="CN51" s="27">
        <v>23993319</v>
      </c>
      <c r="CO51" s="27">
        <v>24450926</v>
      </c>
      <c r="CP51" s="22">
        <v>24717186</v>
      </c>
      <c r="CQ51" s="22">
        <v>25515867</v>
      </c>
      <c r="CR51" s="22">
        <v>27090765</v>
      </c>
      <c r="CS51" s="22">
        <v>29121359</v>
      </c>
      <c r="CT51" s="22">
        <v>29864487</v>
      </c>
      <c r="CU51" s="22">
        <v>29428328</v>
      </c>
      <c r="CV51" s="22">
        <v>29667698</v>
      </c>
      <c r="CW51" s="22">
        <v>30122453</v>
      </c>
      <c r="CX51" s="22">
        <v>30516714</v>
      </c>
      <c r="CY51" s="22">
        <v>30864190</v>
      </c>
      <c r="CZ51" s="22">
        <v>30938390</v>
      </c>
      <c r="DA51" s="22">
        <v>31096809</v>
      </c>
      <c r="DB51" s="22">
        <v>31397010</v>
      </c>
      <c r="DC51" s="22">
        <v>31749646</v>
      </c>
      <c r="DD51" s="22">
        <v>31711668</v>
      </c>
      <c r="DE51" s="22">
        <v>31803947</v>
      </c>
      <c r="DF51" s="22">
        <v>31852818</v>
      </c>
      <c r="DG51" s="22">
        <v>31680658</v>
      </c>
      <c r="DH51" s="22">
        <v>31325184</v>
      </c>
      <c r="DI51" s="22">
        <v>31030854</v>
      </c>
      <c r="DJ51" s="25">
        <v>31009487</v>
      </c>
      <c r="DK51" s="25">
        <v>31272204</v>
      </c>
      <c r="DL51" s="25">
        <v>31458110</v>
      </c>
      <c r="DM51" s="25">
        <v>31173628</v>
      </c>
      <c r="DN51" s="25">
        <v>31439556</v>
      </c>
      <c r="DO51" s="25">
        <v>31421347</v>
      </c>
      <c r="DP51" s="25">
        <v>31609325</v>
      </c>
      <c r="DQ51" s="25">
        <v>32908319</v>
      </c>
      <c r="DR51" s="25">
        <v>34717364</v>
      </c>
      <c r="DS51" s="25">
        <v>34697586</v>
      </c>
      <c r="DT51" s="25">
        <v>35076446</v>
      </c>
      <c r="DU51" s="25">
        <v>35299168</v>
      </c>
      <c r="DV51" s="25">
        <v>35901061</v>
      </c>
      <c r="DW51" s="25">
        <v>36157180</v>
      </c>
      <c r="DX51" s="25">
        <v>36654927</v>
      </c>
      <c r="DY51" s="25">
        <v>37236775</v>
      </c>
      <c r="DZ51" s="25">
        <v>37447376</v>
      </c>
      <c r="EA51" s="25">
        <v>37517567</v>
      </c>
      <c r="EB51" s="25">
        <v>37515719</v>
      </c>
      <c r="EC51" s="25">
        <v>37970996</v>
      </c>
      <c r="ED51" s="25">
        <v>39430544</v>
      </c>
      <c r="EE51" s="25">
        <v>39618692</v>
      </c>
      <c r="EF51" s="25">
        <v>39909573</v>
      </c>
      <c r="EG51" s="25">
        <v>40220016</v>
      </c>
      <c r="EH51" s="25">
        <v>40268269</v>
      </c>
      <c r="EI51" s="25">
        <v>40471499</v>
      </c>
      <c r="EJ51" s="25">
        <v>40624463</v>
      </c>
      <c r="EK51" s="25">
        <f t="shared" si="0"/>
        <v>33519</v>
      </c>
      <c r="EL51" s="25">
        <v>40657982</v>
      </c>
      <c r="EM51" s="25">
        <f t="shared" si="1"/>
        <v>779671</v>
      </c>
      <c r="EN51" s="25">
        <v>41437653</v>
      </c>
      <c r="EO51" s="25">
        <f t="shared" si="2"/>
        <v>639470</v>
      </c>
      <c r="EP51" s="25">
        <v>42077123</v>
      </c>
      <c r="EQ51" s="25">
        <f t="shared" si="3"/>
        <v>65661</v>
      </c>
      <c r="ER51" s="25">
        <v>42142784</v>
      </c>
      <c r="ES51" s="25">
        <f t="shared" si="4"/>
        <v>363908</v>
      </c>
      <c r="ET51" s="25">
        <v>42506692</v>
      </c>
      <c r="EU51" s="25">
        <f t="shared" si="5"/>
        <v>3982301</v>
      </c>
      <c r="EV51" s="25">
        <v>46488993</v>
      </c>
      <c r="EW51" s="25">
        <v>46770987</v>
      </c>
      <c r="EX51" s="25">
        <v>47828537</v>
      </c>
      <c r="EY51" s="25">
        <v>48855454</v>
      </c>
      <c r="EZ51" s="25">
        <v>50161529</v>
      </c>
      <c r="FA51" s="25">
        <v>50739342</v>
      </c>
      <c r="FB51" s="25">
        <v>51623573</v>
      </c>
      <c r="FC51" s="25">
        <v>52634436</v>
      </c>
      <c r="FD51" s="25">
        <v>53701256</v>
      </c>
      <c r="FE51" s="25">
        <v>53980221</v>
      </c>
      <c r="FF51" s="25">
        <v>55192228</v>
      </c>
      <c r="FG51" s="25">
        <v>57160383</v>
      </c>
      <c r="FH51" s="25">
        <v>59044066</v>
      </c>
      <c r="FI51" s="25">
        <v>59389176</v>
      </c>
    </row>
    <row r="52" spans="1:165" x14ac:dyDescent="0.4">
      <c r="A52" s="33" t="s">
        <v>27</v>
      </c>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v>1225139</v>
      </c>
      <c r="BW52" s="27">
        <v>1473826</v>
      </c>
      <c r="BX52" s="27">
        <v>1349054</v>
      </c>
      <c r="BY52" s="27">
        <v>1393854</v>
      </c>
      <c r="BZ52" s="27">
        <v>1373049</v>
      </c>
      <c r="CA52" s="27">
        <v>1367160</v>
      </c>
      <c r="CB52" s="27">
        <v>1449462</v>
      </c>
      <c r="CC52" s="27">
        <v>1418835</v>
      </c>
      <c r="CD52" s="27">
        <v>1402259</v>
      </c>
      <c r="CE52" s="27">
        <v>1392468</v>
      </c>
      <c r="CF52" s="27">
        <v>1365086</v>
      </c>
      <c r="CG52" s="27">
        <v>1361822</v>
      </c>
      <c r="CH52" s="27">
        <v>1714165</v>
      </c>
      <c r="CI52" s="27">
        <v>1869772</v>
      </c>
      <c r="CJ52" s="27">
        <v>1989439</v>
      </c>
      <c r="CK52" s="27">
        <v>2085366</v>
      </c>
      <c r="CL52" s="27">
        <v>2272852</v>
      </c>
      <c r="CM52" s="27">
        <v>2011586</v>
      </c>
      <c r="CN52" s="27">
        <v>2270029</v>
      </c>
      <c r="CO52" s="27">
        <v>2286338</v>
      </c>
      <c r="CP52" s="22">
        <v>2674438</v>
      </c>
      <c r="CQ52" s="22">
        <v>2630259</v>
      </c>
      <c r="CR52" s="22">
        <v>2570913</v>
      </c>
      <c r="CS52" s="22">
        <v>2650562</v>
      </c>
      <c r="CT52" s="22">
        <v>2591011</v>
      </c>
      <c r="CU52" s="22">
        <v>2234386</v>
      </c>
      <c r="CV52" s="22">
        <v>2245900</v>
      </c>
      <c r="CW52" s="22">
        <v>2158088</v>
      </c>
      <c r="CX52" s="22">
        <v>2056437</v>
      </c>
      <c r="CY52" s="22">
        <v>2063670</v>
      </c>
      <c r="CZ52" s="22">
        <v>1841052</v>
      </c>
      <c r="DA52" s="22">
        <v>2348293</v>
      </c>
      <c r="DB52" s="22">
        <v>1988782</v>
      </c>
      <c r="DC52" s="22">
        <v>1973168</v>
      </c>
      <c r="DD52" s="22">
        <v>2085484</v>
      </c>
      <c r="DE52" s="22">
        <v>2207971</v>
      </c>
      <c r="DF52" s="22">
        <v>2202722</v>
      </c>
      <c r="DG52" s="22">
        <v>2430403</v>
      </c>
      <c r="DH52" s="22">
        <v>2330513</v>
      </c>
      <c r="DI52" s="22">
        <v>2399272</v>
      </c>
      <c r="DJ52" s="25">
        <v>2310656</v>
      </c>
      <c r="DK52" s="25">
        <v>2483676</v>
      </c>
      <c r="DL52" s="25">
        <v>2523832</v>
      </c>
      <c r="DM52" s="25">
        <v>2068060</v>
      </c>
      <c r="DN52" s="25">
        <v>2620238</v>
      </c>
      <c r="DO52" s="25">
        <v>2617176</v>
      </c>
      <c r="DP52" s="25">
        <v>2801806</v>
      </c>
      <c r="DQ52" s="25">
        <v>2660179</v>
      </c>
      <c r="DR52" s="25">
        <v>2297332</v>
      </c>
      <c r="DS52" s="25">
        <v>2096883</v>
      </c>
      <c r="DT52" s="25">
        <v>2494920</v>
      </c>
      <c r="DU52" s="25">
        <v>2497784</v>
      </c>
      <c r="DV52" s="25">
        <v>2858057</v>
      </c>
      <c r="DW52" s="25">
        <v>2773713</v>
      </c>
      <c r="DX52" s="25">
        <v>2697558</v>
      </c>
      <c r="DY52" s="25">
        <v>3121714</v>
      </c>
      <c r="DZ52" s="25">
        <v>2642528</v>
      </c>
      <c r="EA52" s="25">
        <v>2702897</v>
      </c>
      <c r="EB52" s="25">
        <v>2749381</v>
      </c>
      <c r="EC52" s="25">
        <v>3065014</v>
      </c>
      <c r="ED52" s="25">
        <v>3135668</v>
      </c>
      <c r="EE52" s="25">
        <v>3467114</v>
      </c>
      <c r="EF52" s="25">
        <v>3171432</v>
      </c>
      <c r="EG52" s="25">
        <v>3286999</v>
      </c>
      <c r="EH52" s="25">
        <v>2985505</v>
      </c>
      <c r="EI52" s="25">
        <v>3007532</v>
      </c>
      <c r="EJ52" s="25">
        <v>3063886</v>
      </c>
      <c r="EK52" s="25">
        <f t="shared" si="0"/>
        <v>58469</v>
      </c>
      <c r="EL52" s="25">
        <v>3122355</v>
      </c>
      <c r="EM52" s="25">
        <f t="shared" si="1"/>
        <v>71680</v>
      </c>
      <c r="EN52" s="25">
        <v>3194035</v>
      </c>
      <c r="EO52" s="25">
        <f t="shared" si="2"/>
        <v>13413</v>
      </c>
      <c r="EP52" s="25">
        <v>3207448</v>
      </c>
      <c r="EQ52" s="25">
        <f t="shared" si="3"/>
        <v>-192844</v>
      </c>
      <c r="ER52" s="25">
        <v>3014604</v>
      </c>
      <c r="ES52" s="25">
        <f t="shared" si="4"/>
        <v>191129</v>
      </c>
      <c r="ET52" s="25">
        <v>3205733</v>
      </c>
      <c r="EU52" s="25">
        <f t="shared" si="5"/>
        <v>10943</v>
      </c>
      <c r="EV52" s="25">
        <v>3216676</v>
      </c>
      <c r="EW52" s="25">
        <v>2844018</v>
      </c>
      <c r="EX52" s="25">
        <v>2770207</v>
      </c>
      <c r="EY52" s="25">
        <v>3106490</v>
      </c>
      <c r="EZ52" s="25">
        <v>3306562</v>
      </c>
      <c r="FA52" s="25">
        <v>3464245</v>
      </c>
      <c r="FB52" s="25">
        <v>3599710</v>
      </c>
      <c r="FC52" s="25">
        <v>3377899</v>
      </c>
      <c r="FD52" s="25">
        <v>3656044</v>
      </c>
      <c r="FE52" s="25">
        <v>4177142</v>
      </c>
      <c r="FF52" s="25">
        <v>4544387</v>
      </c>
      <c r="FG52" s="25">
        <v>4649599</v>
      </c>
      <c r="FH52" s="25">
        <v>4905495</v>
      </c>
      <c r="FI52" s="25">
        <v>4852142</v>
      </c>
    </row>
    <row r="53" spans="1:165" x14ac:dyDescent="0.4">
      <c r="A53" s="33" t="s">
        <v>30</v>
      </c>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v>17634807</v>
      </c>
      <c r="BW53" s="27">
        <v>17562300</v>
      </c>
      <c r="BX53" s="27">
        <v>17790452</v>
      </c>
      <c r="BY53" s="27">
        <v>18225422</v>
      </c>
      <c r="BZ53" s="27">
        <v>18824401</v>
      </c>
      <c r="CA53" s="27">
        <v>19057998</v>
      </c>
      <c r="CB53" s="27">
        <v>19174341</v>
      </c>
      <c r="CC53" s="27">
        <v>19682055</v>
      </c>
      <c r="CD53" s="27">
        <v>19661115</v>
      </c>
      <c r="CE53" s="27">
        <v>19821266</v>
      </c>
      <c r="CF53" s="27">
        <v>20238407</v>
      </c>
      <c r="CG53" s="27">
        <v>20447473</v>
      </c>
      <c r="CH53" s="27">
        <v>20469171</v>
      </c>
      <c r="CI53" s="27">
        <v>20181679</v>
      </c>
      <c r="CJ53" s="27">
        <v>20968019</v>
      </c>
      <c r="CK53" s="27">
        <v>20660979</v>
      </c>
      <c r="CL53" s="27">
        <v>20948652</v>
      </c>
      <c r="CM53" s="27">
        <v>21511747</v>
      </c>
      <c r="CN53" s="27">
        <v>21723291</v>
      </c>
      <c r="CO53" s="27">
        <v>22164587</v>
      </c>
      <c r="CP53" s="22">
        <v>22042748</v>
      </c>
      <c r="CQ53" s="22">
        <v>22885609</v>
      </c>
      <c r="CR53" s="22">
        <v>24519852</v>
      </c>
      <c r="CS53" s="22">
        <v>26470797</v>
      </c>
      <c r="CT53" s="22">
        <v>27273476</v>
      </c>
      <c r="CU53" s="22">
        <v>27193941</v>
      </c>
      <c r="CV53" s="22">
        <v>27421799</v>
      </c>
      <c r="CW53" s="22">
        <v>27964366</v>
      </c>
      <c r="CX53" s="22">
        <v>28460277</v>
      </c>
      <c r="CY53" s="22">
        <v>28800520</v>
      </c>
      <c r="CZ53" s="22">
        <v>29097338</v>
      </c>
      <c r="DA53" s="22">
        <v>28748516</v>
      </c>
      <c r="DB53" s="22">
        <v>29408228</v>
      </c>
      <c r="DC53" s="22">
        <v>29776477</v>
      </c>
      <c r="DD53" s="22">
        <v>29626184</v>
      </c>
      <c r="DE53" s="22">
        <v>29595976</v>
      </c>
      <c r="DF53" s="22">
        <v>29650095</v>
      </c>
      <c r="DG53" s="22">
        <v>29250255</v>
      </c>
      <c r="DH53" s="22">
        <v>28994670</v>
      </c>
      <c r="DI53" s="22">
        <v>28631581</v>
      </c>
      <c r="DJ53" s="25">
        <v>28698832</v>
      </c>
      <c r="DK53" s="25">
        <v>28788529</v>
      </c>
      <c r="DL53" s="25">
        <v>28934278</v>
      </c>
      <c r="DM53" s="25">
        <v>29105568</v>
      </c>
      <c r="DN53" s="25">
        <v>28819318</v>
      </c>
      <c r="DO53" s="25">
        <v>28804171</v>
      </c>
      <c r="DP53" s="25">
        <v>28807520</v>
      </c>
      <c r="DQ53" s="25">
        <v>30248140</v>
      </c>
      <c r="DR53" s="25">
        <v>32420032</v>
      </c>
      <c r="DS53" s="25">
        <v>32600703</v>
      </c>
      <c r="DT53" s="25">
        <v>32581526</v>
      </c>
      <c r="DU53" s="25">
        <v>32801384</v>
      </c>
      <c r="DV53" s="25">
        <v>33043004</v>
      </c>
      <c r="DW53" s="25">
        <v>33383467</v>
      </c>
      <c r="DX53" s="25">
        <v>33957369</v>
      </c>
      <c r="DY53" s="25">
        <v>34115060</v>
      </c>
      <c r="DZ53" s="25">
        <v>34804848</v>
      </c>
      <c r="EA53" s="25">
        <v>34814670</v>
      </c>
      <c r="EB53" s="25">
        <v>34766339</v>
      </c>
      <c r="EC53" s="25">
        <v>34905983</v>
      </c>
      <c r="ED53" s="25">
        <v>36294876</v>
      </c>
      <c r="EE53" s="25">
        <v>36151577</v>
      </c>
      <c r="EF53" s="25">
        <v>36738141</v>
      </c>
      <c r="EG53" s="25">
        <v>36933017</v>
      </c>
      <c r="EH53" s="25">
        <v>37282764</v>
      </c>
      <c r="EI53" s="25">
        <v>37463966</v>
      </c>
      <c r="EJ53" s="25">
        <v>37560576</v>
      </c>
      <c r="EK53" s="25">
        <f t="shared" si="0"/>
        <v>-24949</v>
      </c>
      <c r="EL53" s="25">
        <v>37535627</v>
      </c>
      <c r="EM53" s="25">
        <f t="shared" si="1"/>
        <v>707991</v>
      </c>
      <c r="EN53" s="25">
        <v>38243618</v>
      </c>
      <c r="EO53" s="25">
        <f t="shared" si="2"/>
        <v>626057</v>
      </c>
      <c r="EP53" s="25">
        <v>38869675</v>
      </c>
      <c r="EQ53" s="25">
        <f t="shared" si="3"/>
        <v>258505</v>
      </c>
      <c r="ER53" s="25">
        <v>39128180</v>
      </c>
      <c r="ES53" s="25">
        <f t="shared" si="4"/>
        <v>172778</v>
      </c>
      <c r="ET53" s="25">
        <v>39300958</v>
      </c>
      <c r="EU53" s="25">
        <f t="shared" si="5"/>
        <v>3971359</v>
      </c>
      <c r="EV53" s="25">
        <v>43272317</v>
      </c>
      <c r="EW53" s="25">
        <v>43926969</v>
      </c>
      <c r="EX53" s="25">
        <v>45058330</v>
      </c>
      <c r="EY53" s="25">
        <v>45748964</v>
      </c>
      <c r="EZ53" s="25">
        <v>46854967</v>
      </c>
      <c r="FA53" s="25">
        <v>47275097</v>
      </c>
      <c r="FB53" s="25">
        <v>48023862</v>
      </c>
      <c r="FC53" s="25">
        <v>49256538</v>
      </c>
      <c r="FD53" s="25">
        <v>50045212</v>
      </c>
      <c r="FE53" s="25">
        <v>49803079</v>
      </c>
      <c r="FF53" s="25">
        <v>50647841</v>
      </c>
      <c r="FG53" s="25">
        <v>52510784</v>
      </c>
      <c r="FH53" s="25">
        <v>54138571</v>
      </c>
      <c r="FI53" s="25">
        <v>54537034</v>
      </c>
    </row>
    <row r="54" spans="1:165" x14ac:dyDescent="0.4">
      <c r="A54" s="34" t="s">
        <v>11</v>
      </c>
      <c r="B54" s="16">
        <v>0</v>
      </c>
      <c r="C54" s="16">
        <v>0</v>
      </c>
      <c r="D54" s="16">
        <v>0</v>
      </c>
      <c r="E54" s="16">
        <v>0</v>
      </c>
      <c r="F54" s="16">
        <v>0</v>
      </c>
      <c r="G54" s="16">
        <v>0</v>
      </c>
      <c r="H54" s="16">
        <v>0</v>
      </c>
      <c r="I54" s="16">
        <v>0</v>
      </c>
      <c r="J54" s="16">
        <v>0</v>
      </c>
      <c r="K54" s="16">
        <v>0</v>
      </c>
      <c r="L54" s="16">
        <v>0</v>
      </c>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149664</v>
      </c>
      <c r="BG54" s="16">
        <v>149651</v>
      </c>
      <c r="BH54" s="16">
        <v>325171</v>
      </c>
      <c r="BI54" s="16">
        <v>303962</v>
      </c>
      <c r="BJ54" s="16">
        <v>352372</v>
      </c>
      <c r="BK54" s="16">
        <v>493720</v>
      </c>
      <c r="BL54" s="16">
        <v>700293</v>
      </c>
      <c r="BM54" s="16">
        <v>1128762</v>
      </c>
      <c r="BN54" s="16">
        <v>1041919</v>
      </c>
      <c r="BO54" s="16">
        <v>1205212</v>
      </c>
      <c r="BP54" s="16">
        <v>1111740</v>
      </c>
      <c r="BQ54" s="16">
        <v>1438632</v>
      </c>
      <c r="BR54" s="16">
        <v>1399740</v>
      </c>
      <c r="BS54" s="16">
        <v>1486149</v>
      </c>
      <c r="BT54" s="16">
        <v>1432638</v>
      </c>
      <c r="BU54" s="16">
        <v>1616661</v>
      </c>
      <c r="BV54" s="16">
        <v>1373875</v>
      </c>
      <c r="BW54" s="16">
        <v>1499785</v>
      </c>
      <c r="BX54" s="16">
        <v>1500195</v>
      </c>
      <c r="BY54" s="16">
        <v>1500345</v>
      </c>
      <c r="BZ54" s="16">
        <v>1500085</v>
      </c>
      <c r="CA54" s="16">
        <v>1599639</v>
      </c>
      <c r="CB54" s="16">
        <v>1699439</v>
      </c>
      <c r="CC54" s="16">
        <v>1500081</v>
      </c>
      <c r="CD54" s="16">
        <v>1200159</v>
      </c>
      <c r="CE54" s="16">
        <v>800229</v>
      </c>
      <c r="CF54" s="16">
        <v>1100061</v>
      </c>
      <c r="CG54" s="16">
        <v>1499821</v>
      </c>
      <c r="CH54" s="16">
        <v>1936662</v>
      </c>
      <c r="CI54" s="16">
        <v>2052834</v>
      </c>
      <c r="CJ54" s="16">
        <v>1873626</v>
      </c>
      <c r="CK54" s="16">
        <v>1544074</v>
      </c>
      <c r="CL54" s="16">
        <v>1519300</v>
      </c>
      <c r="CM54" s="16">
        <v>1110073</v>
      </c>
      <c r="CN54" s="16">
        <v>708366</v>
      </c>
      <c r="CO54" s="16">
        <v>707764</v>
      </c>
      <c r="CP54" s="7">
        <v>830037</v>
      </c>
      <c r="CQ54" s="7">
        <v>818549</v>
      </c>
      <c r="CR54" s="7">
        <v>698441</v>
      </c>
      <c r="CS54" s="7">
        <v>606442</v>
      </c>
      <c r="CT54" s="7">
        <v>574281</v>
      </c>
      <c r="CU54" s="7">
        <v>555182</v>
      </c>
      <c r="CV54" s="7">
        <v>545343</v>
      </c>
      <c r="CW54" s="7">
        <v>645148</v>
      </c>
      <c r="CX54" s="7">
        <v>658450</v>
      </c>
      <c r="CY54" s="7">
        <v>677337</v>
      </c>
      <c r="CZ54" s="7">
        <v>626745</v>
      </c>
      <c r="DA54" s="7">
        <v>596490</v>
      </c>
      <c r="DB54" s="7">
        <v>576235</v>
      </c>
      <c r="DC54" s="7">
        <v>603761</v>
      </c>
      <c r="DD54" s="7">
        <v>467496</v>
      </c>
      <c r="DE54" s="7">
        <v>163898</v>
      </c>
      <c r="DF54" s="7">
        <v>0</v>
      </c>
      <c r="DG54" s="7">
        <v>0</v>
      </c>
      <c r="DH54" s="7">
        <v>0</v>
      </c>
      <c r="DI54" s="7">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25">
        <f t="shared" si="0"/>
        <v>0</v>
      </c>
      <c r="EL54" s="13">
        <v>0</v>
      </c>
      <c r="EM54" s="25">
        <f t="shared" si="1"/>
        <v>0</v>
      </c>
      <c r="EN54" s="13">
        <v>0</v>
      </c>
      <c r="EO54" s="25">
        <f t="shared" si="2"/>
        <v>0</v>
      </c>
      <c r="EP54" s="13">
        <v>0</v>
      </c>
      <c r="EQ54" s="25">
        <f t="shared" si="3"/>
        <v>0</v>
      </c>
      <c r="ER54" s="13">
        <v>0</v>
      </c>
      <c r="ES54" s="25">
        <f t="shared" si="4"/>
        <v>0</v>
      </c>
      <c r="ET54" s="13">
        <v>0</v>
      </c>
      <c r="EU54" s="25">
        <f t="shared" si="5"/>
        <v>0</v>
      </c>
      <c r="EV54" s="13">
        <v>0</v>
      </c>
      <c r="EW54" s="13">
        <v>0</v>
      </c>
      <c r="EX54" s="13">
        <v>0</v>
      </c>
      <c r="EY54" s="13">
        <v>0</v>
      </c>
      <c r="EZ54" s="13">
        <v>0</v>
      </c>
      <c r="FA54" s="13">
        <v>0</v>
      </c>
      <c r="FB54" s="13">
        <v>0</v>
      </c>
      <c r="FC54" s="13">
        <v>0</v>
      </c>
      <c r="FD54" s="13">
        <v>0</v>
      </c>
      <c r="FE54" s="13">
        <v>0</v>
      </c>
      <c r="FF54" s="13">
        <v>0</v>
      </c>
      <c r="FG54" s="13">
        <v>0</v>
      </c>
      <c r="FH54" s="13">
        <v>0</v>
      </c>
      <c r="FI54" s="13">
        <v>0</v>
      </c>
    </row>
    <row r="55" spans="1:165" x14ac:dyDescent="0.4">
      <c r="A55" s="35" t="s">
        <v>13</v>
      </c>
      <c r="B55" s="16">
        <v>0</v>
      </c>
      <c r="C55" s="16">
        <v>0</v>
      </c>
      <c r="D55" s="16">
        <v>0</v>
      </c>
      <c r="E55" s="16">
        <v>0</v>
      </c>
      <c r="F55" s="16">
        <v>0</v>
      </c>
      <c r="G55" s="16">
        <v>0</v>
      </c>
      <c r="H55" s="16">
        <v>0</v>
      </c>
      <c r="I55" s="16">
        <v>0</v>
      </c>
      <c r="J55" s="16">
        <v>0</v>
      </c>
      <c r="K55" s="16">
        <v>0</v>
      </c>
      <c r="L55" s="16">
        <v>0</v>
      </c>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149664</v>
      </c>
      <c r="BG55" s="16">
        <v>149651</v>
      </c>
      <c r="BH55" s="16">
        <v>325171</v>
      </c>
      <c r="BI55" s="16">
        <v>303962</v>
      </c>
      <c r="BJ55" s="16">
        <v>352372</v>
      </c>
      <c r="BK55" s="16">
        <v>493720</v>
      </c>
      <c r="BL55" s="16">
        <v>700293</v>
      </c>
      <c r="BM55" s="16">
        <v>1128762</v>
      </c>
      <c r="BN55" s="16">
        <v>1041919</v>
      </c>
      <c r="BO55" s="16">
        <v>1205212</v>
      </c>
      <c r="BP55" s="16">
        <v>1111740</v>
      </c>
      <c r="BQ55" s="16">
        <v>1438632</v>
      </c>
      <c r="BR55" s="16">
        <v>1399740</v>
      </c>
      <c r="BS55" s="16">
        <v>1486149</v>
      </c>
      <c r="BT55" s="16">
        <v>1432638</v>
      </c>
      <c r="BU55" s="16">
        <v>1616661</v>
      </c>
      <c r="BV55" s="16">
        <v>1373875</v>
      </c>
      <c r="BW55" s="16">
        <v>1499785</v>
      </c>
      <c r="BX55" s="16">
        <v>1500195</v>
      </c>
      <c r="BY55" s="16">
        <v>1500345</v>
      </c>
      <c r="BZ55" s="16">
        <v>1500085</v>
      </c>
      <c r="CA55" s="16">
        <v>1599639</v>
      </c>
      <c r="CB55" s="16">
        <v>1699439</v>
      </c>
      <c r="CC55" s="16">
        <v>1500081</v>
      </c>
      <c r="CD55" s="16">
        <v>1200159</v>
      </c>
      <c r="CE55" s="16">
        <v>800229</v>
      </c>
      <c r="CF55" s="16">
        <v>1100061</v>
      </c>
      <c r="CG55" s="16">
        <v>1499821</v>
      </c>
      <c r="CH55" s="16">
        <v>1936662</v>
      </c>
      <c r="CI55" s="16">
        <v>2052834</v>
      </c>
      <c r="CJ55" s="16">
        <v>1873626</v>
      </c>
      <c r="CK55" s="16">
        <v>1544074</v>
      </c>
      <c r="CL55" s="16">
        <v>1519300</v>
      </c>
      <c r="CM55" s="16">
        <v>1110073</v>
      </c>
      <c r="CN55" s="16">
        <v>708366</v>
      </c>
      <c r="CO55" s="16">
        <v>707764</v>
      </c>
      <c r="CP55" s="7">
        <v>830037</v>
      </c>
      <c r="CQ55" s="7">
        <v>818549</v>
      </c>
      <c r="CR55" s="7">
        <v>698441</v>
      </c>
      <c r="CS55" s="7">
        <v>606442</v>
      </c>
      <c r="CT55" s="7">
        <v>574281</v>
      </c>
      <c r="CU55" s="7">
        <v>555182</v>
      </c>
      <c r="CV55" s="7">
        <v>545343</v>
      </c>
      <c r="CW55" s="7">
        <v>645148</v>
      </c>
      <c r="CX55" s="7">
        <v>658450</v>
      </c>
      <c r="CY55" s="7">
        <v>677337</v>
      </c>
      <c r="CZ55" s="7">
        <v>626745</v>
      </c>
      <c r="DA55" s="7">
        <v>596490</v>
      </c>
      <c r="DB55" s="7">
        <v>576235</v>
      </c>
      <c r="DC55" s="7">
        <v>603761</v>
      </c>
      <c r="DD55" s="7">
        <v>467496</v>
      </c>
      <c r="DE55" s="7">
        <v>163898</v>
      </c>
      <c r="DF55" s="7">
        <v>0</v>
      </c>
      <c r="DG55" s="7">
        <v>0</v>
      </c>
      <c r="DH55" s="7">
        <v>0</v>
      </c>
      <c r="DI55" s="7">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25">
        <f t="shared" si="0"/>
        <v>0</v>
      </c>
      <c r="EL55" s="13">
        <v>0</v>
      </c>
      <c r="EM55" s="25">
        <f t="shared" si="1"/>
        <v>0</v>
      </c>
      <c r="EN55" s="13">
        <v>0</v>
      </c>
      <c r="EO55" s="25">
        <f t="shared" si="2"/>
        <v>0</v>
      </c>
      <c r="EP55" s="13">
        <v>0</v>
      </c>
      <c r="EQ55" s="25">
        <f t="shared" si="3"/>
        <v>0</v>
      </c>
      <c r="ER55" s="13">
        <v>0</v>
      </c>
      <c r="ES55" s="25">
        <f t="shared" si="4"/>
        <v>0</v>
      </c>
      <c r="ET55" s="13">
        <v>0</v>
      </c>
      <c r="EU55" s="25">
        <f t="shared" si="5"/>
        <v>0</v>
      </c>
      <c r="EV55" s="13">
        <v>0</v>
      </c>
      <c r="EW55" s="13">
        <v>0</v>
      </c>
      <c r="EX55" s="13">
        <v>0</v>
      </c>
      <c r="EY55" s="13">
        <v>0</v>
      </c>
      <c r="EZ55" s="13">
        <v>0</v>
      </c>
      <c r="FA55" s="13">
        <v>0</v>
      </c>
      <c r="FB55" s="13">
        <v>0</v>
      </c>
      <c r="FC55" s="13">
        <v>0</v>
      </c>
      <c r="FD55" s="13">
        <v>0</v>
      </c>
      <c r="FE55" s="13">
        <v>0</v>
      </c>
      <c r="FF55" s="13">
        <v>0</v>
      </c>
      <c r="FG55" s="13">
        <v>0</v>
      </c>
      <c r="FH55" s="13">
        <v>0</v>
      </c>
      <c r="FI55" s="13">
        <v>0</v>
      </c>
    </row>
    <row r="56" spans="1:165" x14ac:dyDescent="0.4">
      <c r="A56" s="35" t="s">
        <v>14</v>
      </c>
      <c r="B56" s="16">
        <v>0</v>
      </c>
      <c r="C56" s="16">
        <v>0</v>
      </c>
      <c r="D56" s="16">
        <v>0</v>
      </c>
      <c r="E56" s="16">
        <v>0</v>
      </c>
      <c r="F56" s="16">
        <v>0</v>
      </c>
      <c r="G56" s="16">
        <v>0</v>
      </c>
      <c r="H56" s="16">
        <v>0</v>
      </c>
      <c r="I56" s="16">
        <v>0</v>
      </c>
      <c r="J56" s="16">
        <v>0</v>
      </c>
      <c r="K56" s="16">
        <v>0</v>
      </c>
      <c r="L56" s="16">
        <v>0</v>
      </c>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s="16">
        <v>0</v>
      </c>
      <c r="BV56" s="16">
        <v>0</v>
      </c>
      <c r="BW56" s="16">
        <v>0</v>
      </c>
      <c r="BX56" s="16">
        <v>0</v>
      </c>
      <c r="BY56" s="16">
        <v>0</v>
      </c>
      <c r="BZ56" s="16">
        <v>0</v>
      </c>
      <c r="CA56" s="16">
        <v>0</v>
      </c>
      <c r="CB56" s="16">
        <v>0</v>
      </c>
      <c r="CC56" s="16">
        <v>0</v>
      </c>
      <c r="CD56" s="16">
        <v>0</v>
      </c>
      <c r="CE56" s="16">
        <v>0</v>
      </c>
      <c r="CF56" s="16">
        <v>0</v>
      </c>
      <c r="CG56" s="16">
        <v>0</v>
      </c>
      <c r="CH56" s="16">
        <v>0</v>
      </c>
      <c r="CI56" s="16">
        <v>0</v>
      </c>
      <c r="CJ56" s="16">
        <v>0</v>
      </c>
      <c r="CK56" s="16">
        <v>0</v>
      </c>
      <c r="CL56" s="16">
        <v>0</v>
      </c>
      <c r="CM56" s="16">
        <v>0</v>
      </c>
      <c r="CN56" s="16">
        <v>0</v>
      </c>
      <c r="CO56" s="16">
        <v>0</v>
      </c>
      <c r="CP56" s="16">
        <v>0</v>
      </c>
      <c r="CQ56" s="16">
        <v>0</v>
      </c>
      <c r="CR56" s="16">
        <v>0</v>
      </c>
      <c r="CS56" s="16">
        <v>0</v>
      </c>
      <c r="CT56" s="16">
        <v>0</v>
      </c>
      <c r="CU56" s="16">
        <v>0</v>
      </c>
      <c r="CV56" s="16">
        <v>0</v>
      </c>
      <c r="CW56" s="16">
        <v>0</v>
      </c>
      <c r="CX56" s="16">
        <v>0</v>
      </c>
      <c r="CY56" s="16">
        <v>0</v>
      </c>
      <c r="CZ56" s="16">
        <v>0</v>
      </c>
      <c r="DA56" s="16">
        <v>0</v>
      </c>
      <c r="DB56" s="16">
        <v>0</v>
      </c>
      <c r="DC56" s="16">
        <v>0</v>
      </c>
      <c r="DD56" s="16">
        <v>0</v>
      </c>
      <c r="DE56" s="16">
        <v>0</v>
      </c>
      <c r="DF56" s="16">
        <v>0</v>
      </c>
      <c r="DG56" s="16">
        <v>0</v>
      </c>
      <c r="DH56" s="16">
        <v>0</v>
      </c>
      <c r="DI56" s="16">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0</v>
      </c>
      <c r="EF56" s="13">
        <v>0</v>
      </c>
      <c r="EG56" s="13">
        <v>0</v>
      </c>
      <c r="EH56" s="13">
        <v>0</v>
      </c>
      <c r="EI56" s="13">
        <v>0</v>
      </c>
      <c r="EJ56" s="13">
        <v>0</v>
      </c>
      <c r="EK56" s="25">
        <f t="shared" si="0"/>
        <v>0</v>
      </c>
      <c r="EL56" s="13">
        <v>0</v>
      </c>
      <c r="EM56" s="25">
        <f t="shared" si="1"/>
        <v>0</v>
      </c>
      <c r="EN56" s="13">
        <v>0</v>
      </c>
      <c r="EO56" s="25">
        <f t="shared" si="2"/>
        <v>0</v>
      </c>
      <c r="EP56" s="13">
        <v>0</v>
      </c>
      <c r="EQ56" s="25">
        <f t="shared" si="3"/>
        <v>0</v>
      </c>
      <c r="ER56" s="13">
        <v>0</v>
      </c>
      <c r="ES56" s="25">
        <f t="shared" si="4"/>
        <v>0</v>
      </c>
      <c r="ET56" s="13">
        <v>0</v>
      </c>
      <c r="EU56" s="25">
        <f t="shared" si="5"/>
        <v>0</v>
      </c>
      <c r="EV56" s="13">
        <v>0</v>
      </c>
      <c r="EW56" s="13">
        <v>0</v>
      </c>
      <c r="EX56" s="13">
        <v>0</v>
      </c>
      <c r="EY56" s="13">
        <v>0</v>
      </c>
      <c r="EZ56" s="13">
        <v>0</v>
      </c>
      <c r="FA56" s="13">
        <v>0</v>
      </c>
      <c r="FB56" s="13">
        <v>0</v>
      </c>
      <c r="FC56" s="13">
        <v>0</v>
      </c>
      <c r="FD56" s="13">
        <v>0</v>
      </c>
      <c r="FE56" s="13">
        <v>0</v>
      </c>
      <c r="FF56" s="13">
        <v>0</v>
      </c>
      <c r="FG56" s="13">
        <v>0</v>
      </c>
      <c r="FH56" s="13">
        <v>0</v>
      </c>
      <c r="FI56" s="13">
        <v>0</v>
      </c>
    </row>
    <row r="57" spans="1:165" x14ac:dyDescent="0.4">
      <c r="A57" s="35" t="s">
        <v>27</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v>0</v>
      </c>
      <c r="BW57" s="16">
        <v>0</v>
      </c>
      <c r="BX57" s="16">
        <v>0</v>
      </c>
      <c r="BY57" s="16">
        <v>0</v>
      </c>
      <c r="BZ57" s="16">
        <v>0</v>
      </c>
      <c r="CA57" s="16">
        <v>0</v>
      </c>
      <c r="CB57" s="16">
        <v>0</v>
      </c>
      <c r="CC57" s="16">
        <v>0</v>
      </c>
      <c r="CD57" s="16">
        <v>0</v>
      </c>
      <c r="CE57" s="16">
        <v>0</v>
      </c>
      <c r="CF57" s="16">
        <v>0</v>
      </c>
      <c r="CG57" s="16">
        <v>0</v>
      </c>
      <c r="CH57" s="16">
        <v>0</v>
      </c>
      <c r="CI57" s="16">
        <v>0</v>
      </c>
      <c r="CJ57" s="16">
        <v>0</v>
      </c>
      <c r="CK57" s="16">
        <v>0</v>
      </c>
      <c r="CL57" s="16">
        <v>0</v>
      </c>
      <c r="CM57" s="16">
        <v>0</v>
      </c>
      <c r="CN57" s="16">
        <v>0</v>
      </c>
      <c r="CO57" s="16">
        <v>0</v>
      </c>
      <c r="CP57" s="16">
        <v>0</v>
      </c>
      <c r="CQ57" s="16">
        <v>0</v>
      </c>
      <c r="CR57" s="16">
        <v>0</v>
      </c>
      <c r="CS57" s="16">
        <v>0</v>
      </c>
      <c r="CT57" s="16">
        <v>0</v>
      </c>
      <c r="CU57" s="16">
        <v>0</v>
      </c>
      <c r="CV57" s="16">
        <v>0</v>
      </c>
      <c r="CW57" s="16">
        <v>0</v>
      </c>
      <c r="CX57" s="16">
        <v>0</v>
      </c>
      <c r="CY57" s="16">
        <v>0</v>
      </c>
      <c r="CZ57" s="16">
        <v>0</v>
      </c>
      <c r="DA57" s="16">
        <v>0</v>
      </c>
      <c r="DB57" s="16">
        <v>0</v>
      </c>
      <c r="DC57" s="16">
        <v>0</v>
      </c>
      <c r="DD57" s="16">
        <v>0</v>
      </c>
      <c r="DE57" s="16">
        <v>0</v>
      </c>
      <c r="DF57" s="16">
        <v>0</v>
      </c>
      <c r="DG57" s="16">
        <v>0</v>
      </c>
      <c r="DH57" s="16">
        <v>0</v>
      </c>
      <c r="DI57" s="16">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25">
        <f t="shared" si="0"/>
        <v>0</v>
      </c>
      <c r="EL57" s="13">
        <v>0</v>
      </c>
      <c r="EM57" s="25">
        <f t="shared" si="1"/>
        <v>0</v>
      </c>
      <c r="EN57" s="13">
        <v>0</v>
      </c>
      <c r="EO57" s="25">
        <f t="shared" si="2"/>
        <v>0</v>
      </c>
      <c r="EP57" s="13">
        <v>0</v>
      </c>
      <c r="EQ57" s="25">
        <f t="shared" si="3"/>
        <v>0</v>
      </c>
      <c r="ER57" s="13">
        <v>0</v>
      </c>
      <c r="ES57" s="25">
        <f t="shared" si="4"/>
        <v>0</v>
      </c>
      <c r="ET57" s="13">
        <v>0</v>
      </c>
      <c r="EU57" s="25">
        <f t="shared" si="5"/>
        <v>0</v>
      </c>
      <c r="EV57" s="13">
        <v>0</v>
      </c>
      <c r="EW57" s="13">
        <v>0</v>
      </c>
      <c r="EX57" s="13">
        <v>0</v>
      </c>
      <c r="EY57" s="13">
        <v>0</v>
      </c>
      <c r="EZ57" s="13">
        <v>0</v>
      </c>
      <c r="FA57" s="13">
        <v>0</v>
      </c>
      <c r="FB57" s="13">
        <v>0</v>
      </c>
      <c r="FC57" s="13">
        <v>0</v>
      </c>
      <c r="FD57" s="13">
        <v>0</v>
      </c>
      <c r="FE57" s="13">
        <v>0</v>
      </c>
      <c r="FF57" s="13">
        <v>0</v>
      </c>
      <c r="FG57" s="13">
        <v>0</v>
      </c>
      <c r="FH57" s="13">
        <v>0</v>
      </c>
      <c r="FI57" s="13">
        <v>0</v>
      </c>
    </row>
    <row r="58" spans="1:165" x14ac:dyDescent="0.4">
      <c r="A58" s="35" t="s">
        <v>30</v>
      </c>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v>0</v>
      </c>
      <c r="BW58" s="16">
        <v>0</v>
      </c>
      <c r="BX58" s="16">
        <v>0</v>
      </c>
      <c r="BY58" s="16">
        <v>0</v>
      </c>
      <c r="BZ58" s="16">
        <v>0</v>
      </c>
      <c r="CA58" s="16">
        <v>0</v>
      </c>
      <c r="CB58" s="16">
        <v>0</v>
      </c>
      <c r="CC58" s="16">
        <v>0</v>
      </c>
      <c r="CD58" s="16">
        <v>0</v>
      </c>
      <c r="CE58" s="16">
        <v>0</v>
      </c>
      <c r="CF58" s="16">
        <v>0</v>
      </c>
      <c r="CG58" s="16">
        <v>0</v>
      </c>
      <c r="CH58" s="16">
        <v>0</v>
      </c>
      <c r="CI58" s="16">
        <v>0</v>
      </c>
      <c r="CJ58" s="16">
        <v>0</v>
      </c>
      <c r="CK58" s="16">
        <v>0</v>
      </c>
      <c r="CL58" s="16">
        <v>0</v>
      </c>
      <c r="CM58" s="16">
        <v>0</v>
      </c>
      <c r="CN58" s="16">
        <v>0</v>
      </c>
      <c r="CO58" s="16">
        <v>0</v>
      </c>
      <c r="CP58" s="16">
        <v>0</v>
      </c>
      <c r="CQ58" s="16">
        <v>0</v>
      </c>
      <c r="CR58" s="16">
        <v>0</v>
      </c>
      <c r="CS58" s="16">
        <v>0</v>
      </c>
      <c r="CT58" s="16">
        <v>0</v>
      </c>
      <c r="CU58" s="16">
        <v>0</v>
      </c>
      <c r="CV58" s="16">
        <v>0</v>
      </c>
      <c r="CW58" s="16">
        <v>0</v>
      </c>
      <c r="CX58" s="16">
        <v>0</v>
      </c>
      <c r="CY58" s="16">
        <v>0</v>
      </c>
      <c r="CZ58" s="16">
        <v>0</v>
      </c>
      <c r="DA58" s="16">
        <v>0</v>
      </c>
      <c r="DB58" s="16">
        <v>0</v>
      </c>
      <c r="DC58" s="16">
        <v>0</v>
      </c>
      <c r="DD58" s="16">
        <v>0</v>
      </c>
      <c r="DE58" s="16">
        <v>0</v>
      </c>
      <c r="DF58" s="16">
        <v>0</v>
      </c>
      <c r="DG58" s="16">
        <v>0</v>
      </c>
      <c r="DH58" s="16">
        <v>0</v>
      </c>
      <c r="DI58" s="16">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25">
        <f t="shared" si="0"/>
        <v>0</v>
      </c>
      <c r="EL58" s="13">
        <v>0</v>
      </c>
      <c r="EM58" s="25">
        <f t="shared" si="1"/>
        <v>0</v>
      </c>
      <c r="EN58" s="13">
        <v>0</v>
      </c>
      <c r="EO58" s="25">
        <f t="shared" si="2"/>
        <v>0</v>
      </c>
      <c r="EP58" s="13">
        <v>0</v>
      </c>
      <c r="EQ58" s="25">
        <f t="shared" si="3"/>
        <v>0</v>
      </c>
      <c r="ER58" s="13">
        <v>0</v>
      </c>
      <c r="ES58" s="25">
        <f t="shared" si="4"/>
        <v>0</v>
      </c>
      <c r="ET58" s="13">
        <v>0</v>
      </c>
      <c r="EU58" s="25">
        <f t="shared" si="5"/>
        <v>0</v>
      </c>
      <c r="EV58" s="13">
        <v>0</v>
      </c>
      <c r="EW58" s="13">
        <v>0</v>
      </c>
      <c r="EX58" s="13">
        <v>0</v>
      </c>
      <c r="EY58" s="13">
        <v>0</v>
      </c>
      <c r="EZ58" s="13">
        <v>0</v>
      </c>
      <c r="FA58" s="13">
        <v>0</v>
      </c>
      <c r="FB58" s="13">
        <v>0</v>
      </c>
      <c r="FC58" s="13">
        <v>0</v>
      </c>
      <c r="FD58" s="13">
        <v>0</v>
      </c>
      <c r="FE58" s="13">
        <v>0</v>
      </c>
      <c r="FF58" s="13">
        <v>0</v>
      </c>
      <c r="FG58" s="13">
        <v>0</v>
      </c>
      <c r="FH58" s="13">
        <v>0</v>
      </c>
      <c r="FI58" s="13">
        <v>0</v>
      </c>
    </row>
    <row r="59" spans="1:165" x14ac:dyDescent="0.4">
      <c r="A59" s="34" t="s">
        <v>3</v>
      </c>
      <c r="B59" s="16">
        <v>1136816</v>
      </c>
      <c r="C59" s="16">
        <v>1119126</v>
      </c>
      <c r="D59" s="16">
        <v>1204558</v>
      </c>
      <c r="E59" s="16">
        <v>1224562</v>
      </c>
      <c r="F59" s="16">
        <v>1249749</v>
      </c>
      <c r="G59" s="16">
        <v>1247960</v>
      </c>
      <c r="H59" s="16">
        <v>1239643</v>
      </c>
      <c r="I59" s="16">
        <v>1260285</v>
      </c>
      <c r="J59" s="16">
        <v>1272718</v>
      </c>
      <c r="K59" s="16">
        <v>1314046</v>
      </c>
      <c r="L59" s="16">
        <v>1378956</v>
      </c>
      <c r="M59" s="16">
        <v>1359715</v>
      </c>
      <c r="N59" s="16">
        <v>1356238</v>
      </c>
      <c r="O59" s="16">
        <v>1362009</v>
      </c>
      <c r="P59" s="16">
        <v>1340263</v>
      </c>
      <c r="Q59" s="16">
        <v>1329098</v>
      </c>
      <c r="R59" s="16">
        <v>1314315</v>
      </c>
      <c r="S59" s="16">
        <v>1333356</v>
      </c>
      <c r="T59" s="16">
        <v>1370954</v>
      </c>
      <c r="U59" s="16">
        <v>1357860</v>
      </c>
      <c r="V59" s="16">
        <v>1366519</v>
      </c>
      <c r="W59" s="16">
        <v>1408501</v>
      </c>
      <c r="X59" s="16">
        <v>1442307</v>
      </c>
      <c r="Y59" s="16">
        <v>1416700</v>
      </c>
      <c r="Z59" s="16">
        <v>1477243</v>
      </c>
      <c r="AA59" s="16">
        <v>1495521</v>
      </c>
      <c r="AB59" s="16">
        <v>1490961</v>
      </c>
      <c r="AC59" s="16">
        <v>1478946</v>
      </c>
      <c r="AD59" s="16">
        <v>1489789</v>
      </c>
      <c r="AE59" s="16">
        <v>1498135</v>
      </c>
      <c r="AF59" s="16">
        <v>1558955</v>
      </c>
      <c r="AG59" s="16">
        <v>1605123</v>
      </c>
      <c r="AH59" s="16">
        <v>1547091</v>
      </c>
      <c r="AI59" s="16">
        <v>1538925</v>
      </c>
      <c r="AJ59" s="16">
        <v>1560499</v>
      </c>
      <c r="AK59" s="16">
        <v>1558349</v>
      </c>
      <c r="AL59" s="16">
        <v>1570872</v>
      </c>
      <c r="AM59" s="16">
        <v>1529690</v>
      </c>
      <c r="AN59" s="16">
        <v>1458398</v>
      </c>
      <c r="AO59" s="16">
        <v>1476591</v>
      </c>
      <c r="AP59" s="16">
        <v>1493528</v>
      </c>
      <c r="AQ59" s="16">
        <v>1522528</v>
      </c>
      <c r="AR59" s="16">
        <v>1528328</v>
      </c>
      <c r="AS59" s="16">
        <v>1512566</v>
      </c>
      <c r="AT59" s="16">
        <v>1506458</v>
      </c>
      <c r="AU59" s="16">
        <v>1473438</v>
      </c>
      <c r="AV59" s="16">
        <v>1438331</v>
      </c>
      <c r="AW59" s="16">
        <v>1450694</v>
      </c>
      <c r="AX59" s="16">
        <v>1433144</v>
      </c>
      <c r="AY59" s="16">
        <v>1478931</v>
      </c>
      <c r="AZ59" s="16">
        <v>1459738</v>
      </c>
      <c r="BA59" s="16">
        <v>1495308</v>
      </c>
      <c r="BB59" s="16">
        <v>1471248</v>
      </c>
      <c r="BC59" s="16">
        <v>1614138</v>
      </c>
      <c r="BD59" s="16">
        <v>1640939</v>
      </c>
      <c r="BE59" s="16">
        <v>1590570</v>
      </c>
      <c r="BF59" s="16">
        <v>1596844</v>
      </c>
      <c r="BG59" s="16">
        <v>1544579</v>
      </c>
      <c r="BH59" s="16">
        <v>1661741</v>
      </c>
      <c r="BI59" s="16">
        <v>1665592</v>
      </c>
      <c r="BJ59" s="16">
        <v>1646564</v>
      </c>
      <c r="BK59" s="16">
        <v>1724363</v>
      </c>
      <c r="BL59" s="16">
        <v>1734170</v>
      </c>
      <c r="BM59" s="16">
        <v>1701850</v>
      </c>
      <c r="BN59" s="16">
        <v>1675394</v>
      </c>
      <c r="BO59" s="16">
        <v>1730111</v>
      </c>
      <c r="BP59" s="16">
        <v>1642088</v>
      </c>
      <c r="BQ59" s="16">
        <v>1727065</v>
      </c>
      <c r="BR59" s="16">
        <v>1754060</v>
      </c>
      <c r="BS59" s="16">
        <v>1720362</v>
      </c>
      <c r="BT59" s="16">
        <v>1727121</v>
      </c>
      <c r="BU59" s="16">
        <v>1725652</v>
      </c>
      <c r="BV59" s="16">
        <v>1766231</v>
      </c>
      <c r="BW59" s="16">
        <v>1805366</v>
      </c>
      <c r="BX59" s="16">
        <v>1819334</v>
      </c>
      <c r="BY59" s="16">
        <v>1847707</v>
      </c>
      <c r="BZ59" s="16">
        <v>1951255</v>
      </c>
      <c r="CA59" s="16">
        <v>2007261</v>
      </c>
      <c r="CB59" s="16">
        <v>2010007</v>
      </c>
      <c r="CC59" s="16">
        <v>2112084</v>
      </c>
      <c r="CD59" s="16">
        <v>2105239</v>
      </c>
      <c r="CE59" s="16">
        <v>2198860</v>
      </c>
      <c r="CF59" s="16">
        <v>2262761</v>
      </c>
      <c r="CG59" s="16">
        <v>2262851</v>
      </c>
      <c r="CH59" s="16">
        <v>2344180</v>
      </c>
      <c r="CI59" s="16">
        <v>2308633</v>
      </c>
      <c r="CJ59" s="16">
        <v>2338322</v>
      </c>
      <c r="CK59" s="16">
        <v>2316896</v>
      </c>
      <c r="CL59" s="16">
        <v>2323709</v>
      </c>
      <c r="CM59" s="16">
        <v>2322045</v>
      </c>
      <c r="CN59" s="16">
        <v>2369303</v>
      </c>
      <c r="CO59" s="16">
        <v>2447135</v>
      </c>
      <c r="CP59" s="7">
        <v>2473452</v>
      </c>
      <c r="CQ59" s="7">
        <v>2437634</v>
      </c>
      <c r="CR59" s="7">
        <v>2482259</v>
      </c>
      <c r="CS59" s="7">
        <v>2593129</v>
      </c>
      <c r="CT59" s="7">
        <v>2662558</v>
      </c>
      <c r="CU59" s="7">
        <v>2642392</v>
      </c>
      <c r="CV59" s="7">
        <v>2723188</v>
      </c>
      <c r="CW59" s="7">
        <v>2632505</v>
      </c>
      <c r="CX59" s="7">
        <v>2616026</v>
      </c>
      <c r="CY59" s="7">
        <v>2646735</v>
      </c>
      <c r="CZ59" s="7">
        <v>2772622</v>
      </c>
      <c r="DA59" s="7">
        <v>2704190</v>
      </c>
      <c r="DB59" s="7">
        <v>2731859</v>
      </c>
      <c r="DC59" s="7">
        <v>2777688</v>
      </c>
      <c r="DD59" s="7">
        <v>2750137</v>
      </c>
      <c r="DE59" s="7">
        <v>2764479</v>
      </c>
      <c r="DF59" s="7">
        <v>2856547</v>
      </c>
      <c r="DG59" s="7">
        <v>2803196</v>
      </c>
      <c r="DH59" s="7">
        <v>2611083</v>
      </c>
      <c r="DI59" s="7">
        <v>2525672</v>
      </c>
      <c r="DJ59" s="13">
        <v>2479064</v>
      </c>
      <c r="DK59" s="13">
        <v>2505856</v>
      </c>
      <c r="DL59" s="13">
        <v>2525824</v>
      </c>
      <c r="DM59" s="13">
        <v>2520948</v>
      </c>
      <c r="DN59" s="13">
        <v>2512641</v>
      </c>
      <c r="DO59" s="13">
        <v>2440313</v>
      </c>
      <c r="DP59" s="13">
        <v>2412670</v>
      </c>
      <c r="DQ59" s="13">
        <v>2479019</v>
      </c>
      <c r="DR59" s="13">
        <v>2377662</v>
      </c>
      <c r="DS59" s="13">
        <v>2341481</v>
      </c>
      <c r="DT59" s="13">
        <v>2466726</v>
      </c>
      <c r="DU59" s="13">
        <v>2491750</v>
      </c>
      <c r="DV59" s="13">
        <v>2476878</v>
      </c>
      <c r="DW59" s="13">
        <v>2475914</v>
      </c>
      <c r="DX59" s="13">
        <v>2545963</v>
      </c>
      <c r="DY59" s="13">
        <v>2603472</v>
      </c>
      <c r="DZ59" s="13">
        <v>2529134</v>
      </c>
      <c r="EA59" s="13">
        <v>2480146</v>
      </c>
      <c r="EB59" s="13">
        <v>2532938</v>
      </c>
      <c r="EC59" s="13">
        <v>2434619</v>
      </c>
      <c r="ED59" s="13">
        <v>2442523</v>
      </c>
      <c r="EE59" s="13">
        <v>2537349</v>
      </c>
      <c r="EF59" s="13">
        <v>2522411</v>
      </c>
      <c r="EG59" s="13">
        <v>2536044</v>
      </c>
      <c r="EH59" s="13">
        <v>2506117</v>
      </c>
      <c r="EI59" s="13">
        <v>2421471</v>
      </c>
      <c r="EJ59" s="13">
        <v>2364384</v>
      </c>
      <c r="EK59" s="25">
        <f t="shared" si="0"/>
        <v>-65432</v>
      </c>
      <c r="EL59" s="13">
        <v>2298952</v>
      </c>
      <c r="EM59" s="25">
        <f t="shared" si="1"/>
        <v>29015</v>
      </c>
      <c r="EN59" s="13">
        <v>2327967</v>
      </c>
      <c r="EO59" s="25">
        <f t="shared" si="2"/>
        <v>17527</v>
      </c>
      <c r="EP59" s="13">
        <v>2345494</v>
      </c>
      <c r="EQ59" s="25">
        <f t="shared" si="3"/>
        <v>9600</v>
      </c>
      <c r="ER59" s="13">
        <v>2355094</v>
      </c>
      <c r="ES59" s="25">
        <f t="shared" si="4"/>
        <v>-167054</v>
      </c>
      <c r="ET59" s="13">
        <v>2188040</v>
      </c>
      <c r="EU59" s="25">
        <f t="shared" si="5"/>
        <v>123741</v>
      </c>
      <c r="EV59" s="13">
        <v>2311781</v>
      </c>
      <c r="EW59" s="13">
        <v>2316208</v>
      </c>
      <c r="EX59" s="13">
        <v>2279524</v>
      </c>
      <c r="EY59" s="13">
        <v>2325352</v>
      </c>
      <c r="EZ59" s="13">
        <v>2349433</v>
      </c>
      <c r="FA59" s="13">
        <v>2341369</v>
      </c>
      <c r="FB59" s="13">
        <v>2402342</v>
      </c>
      <c r="FC59" s="13">
        <v>2397333</v>
      </c>
      <c r="FD59" s="13">
        <v>2421743</v>
      </c>
      <c r="FE59" s="13">
        <v>2421521</v>
      </c>
      <c r="FF59" s="13">
        <v>2384206</v>
      </c>
      <c r="FG59" s="13">
        <v>2349271</v>
      </c>
      <c r="FH59" s="13">
        <v>2470000</v>
      </c>
      <c r="FI59" s="13">
        <v>2457761</v>
      </c>
    </row>
    <row r="60" spans="1:165" x14ac:dyDescent="0.4">
      <c r="A60" s="35" t="s">
        <v>13</v>
      </c>
      <c r="B60" s="16">
        <v>0</v>
      </c>
      <c r="C60" s="16">
        <v>0</v>
      </c>
      <c r="D60" s="16">
        <v>0</v>
      </c>
      <c r="E60" s="16">
        <v>0</v>
      </c>
      <c r="F60" s="16">
        <v>0</v>
      </c>
      <c r="G60" s="16">
        <v>0</v>
      </c>
      <c r="H60" s="16">
        <v>0</v>
      </c>
      <c r="I60" s="16">
        <v>0</v>
      </c>
      <c r="J60" s="16">
        <v>0</v>
      </c>
      <c r="K60" s="16">
        <v>0</v>
      </c>
      <c r="L60" s="16">
        <v>0</v>
      </c>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4903</v>
      </c>
      <c r="AW60" s="16">
        <v>30415</v>
      </c>
      <c r="AX60" s="16">
        <v>956</v>
      </c>
      <c r="AY60" s="16">
        <v>38032</v>
      </c>
      <c r="AZ60" s="16">
        <v>43276</v>
      </c>
      <c r="BA60" s="16">
        <v>58218</v>
      </c>
      <c r="BB60" s="16">
        <v>6989</v>
      </c>
      <c r="BC60" s="16">
        <v>47223</v>
      </c>
      <c r="BD60" s="16">
        <v>81574</v>
      </c>
      <c r="BE60" s="16">
        <v>51445</v>
      </c>
      <c r="BF60" s="16">
        <v>63713</v>
      </c>
      <c r="BG60" s="16">
        <v>12642</v>
      </c>
      <c r="BH60" s="16">
        <v>55344</v>
      </c>
      <c r="BI60" s="16">
        <v>48600</v>
      </c>
      <c r="BJ60" s="16">
        <v>37813</v>
      </c>
      <c r="BK60" s="16">
        <v>112927</v>
      </c>
      <c r="BL60" s="16">
        <v>112934</v>
      </c>
      <c r="BM60" s="16">
        <v>34880</v>
      </c>
      <c r="BN60" s="16">
        <v>31855</v>
      </c>
      <c r="BO60" s="16">
        <v>70125</v>
      </c>
      <c r="BP60" s="16">
        <v>32852</v>
      </c>
      <c r="BQ60" s="16">
        <v>47447</v>
      </c>
      <c r="BR60" s="16">
        <v>55055</v>
      </c>
      <c r="BS60" s="16">
        <v>28882</v>
      </c>
      <c r="BT60" s="16">
        <v>55399</v>
      </c>
      <c r="BU60" s="16">
        <v>35084</v>
      </c>
      <c r="BV60" s="16">
        <v>10272</v>
      </c>
      <c r="BW60" s="16">
        <v>33474</v>
      </c>
      <c r="BX60" s="16">
        <v>36136</v>
      </c>
      <c r="BY60" s="16">
        <v>13289</v>
      </c>
      <c r="BZ60" s="16">
        <v>55374</v>
      </c>
      <c r="CA60" s="16">
        <v>69348</v>
      </c>
      <c r="CB60" s="16">
        <v>69924</v>
      </c>
      <c r="CC60" s="16">
        <v>114807</v>
      </c>
      <c r="CD60" s="16">
        <v>105255</v>
      </c>
      <c r="CE60" s="16">
        <v>151527</v>
      </c>
      <c r="CF60" s="16">
        <v>166215</v>
      </c>
      <c r="CG60" s="16">
        <v>156101</v>
      </c>
      <c r="CH60" s="16">
        <v>167358</v>
      </c>
      <c r="CI60" s="16">
        <v>195291</v>
      </c>
      <c r="CJ60" s="16">
        <v>175495</v>
      </c>
      <c r="CK60" s="16">
        <v>166358</v>
      </c>
      <c r="CL60" s="16">
        <v>158646</v>
      </c>
      <c r="CM60" s="16">
        <v>137194</v>
      </c>
      <c r="CN60" s="16">
        <v>160653</v>
      </c>
      <c r="CO60" s="16">
        <v>156719</v>
      </c>
      <c r="CP60" s="7">
        <v>145591</v>
      </c>
      <c r="CQ60" s="7">
        <v>133019</v>
      </c>
      <c r="CR60" s="7">
        <v>121510</v>
      </c>
      <c r="CS60" s="7">
        <v>109043</v>
      </c>
      <c r="CT60" s="7">
        <v>124385</v>
      </c>
      <c r="CU60" s="7">
        <v>116987</v>
      </c>
      <c r="CV60" s="7">
        <v>107927</v>
      </c>
      <c r="CW60" s="7">
        <v>96247</v>
      </c>
      <c r="CX60" s="7">
        <v>83037</v>
      </c>
      <c r="CY60" s="7">
        <v>72111</v>
      </c>
      <c r="CZ60" s="7">
        <v>67499</v>
      </c>
      <c r="DA60" s="7">
        <v>61572</v>
      </c>
      <c r="DB60" s="7">
        <v>58730</v>
      </c>
      <c r="DC60" s="7">
        <v>66044</v>
      </c>
      <c r="DD60" s="7">
        <v>72807</v>
      </c>
      <c r="DE60" s="7">
        <v>82410</v>
      </c>
      <c r="DF60" s="7">
        <v>90847</v>
      </c>
      <c r="DG60" s="7">
        <v>88997</v>
      </c>
      <c r="DH60" s="7">
        <v>72446</v>
      </c>
      <c r="DI60" s="7">
        <v>69845</v>
      </c>
      <c r="DJ60" s="13">
        <v>67280</v>
      </c>
      <c r="DK60" s="13">
        <v>74096</v>
      </c>
      <c r="DL60" s="13">
        <v>66406</v>
      </c>
      <c r="DM60" s="13">
        <v>83834</v>
      </c>
      <c r="DN60" s="13">
        <v>70134</v>
      </c>
      <c r="DO60" s="13">
        <v>67289</v>
      </c>
      <c r="DP60" s="13">
        <v>84047</v>
      </c>
      <c r="DQ60" s="13">
        <v>34246</v>
      </c>
      <c r="DR60" s="13">
        <v>28794</v>
      </c>
      <c r="DS60" s="13">
        <v>37313</v>
      </c>
      <c r="DT60" s="13">
        <v>38657</v>
      </c>
      <c r="DU60" s="13">
        <v>67897</v>
      </c>
      <c r="DV60" s="13">
        <v>49495</v>
      </c>
      <c r="DW60" s="13">
        <v>80899</v>
      </c>
      <c r="DX60" s="13">
        <v>74368</v>
      </c>
      <c r="DY60" s="13">
        <v>132959</v>
      </c>
      <c r="DZ60" s="13">
        <v>125058</v>
      </c>
      <c r="EA60" s="13">
        <v>166612</v>
      </c>
      <c r="EB60" s="13">
        <v>212358</v>
      </c>
      <c r="EC60" s="13">
        <v>123041</v>
      </c>
      <c r="ED60" s="13">
        <v>122488</v>
      </c>
      <c r="EE60" s="13">
        <v>210406</v>
      </c>
      <c r="EF60" s="13">
        <v>187629</v>
      </c>
      <c r="EG60" s="13">
        <v>192050</v>
      </c>
      <c r="EH60" s="13">
        <v>141780</v>
      </c>
      <c r="EI60" s="13">
        <v>121236</v>
      </c>
      <c r="EJ60" s="13">
        <v>119077</v>
      </c>
      <c r="EK60" s="25">
        <f t="shared" si="0"/>
        <v>-8015</v>
      </c>
      <c r="EL60" s="13">
        <v>111062</v>
      </c>
      <c r="EM60" s="25">
        <f t="shared" si="1"/>
        <v>-36165</v>
      </c>
      <c r="EN60" s="13">
        <v>74897</v>
      </c>
      <c r="EO60" s="25">
        <f t="shared" si="2"/>
        <v>29158</v>
      </c>
      <c r="EP60" s="13">
        <v>104055</v>
      </c>
      <c r="EQ60" s="25">
        <f t="shared" si="3"/>
        <v>-4009</v>
      </c>
      <c r="ER60" s="13">
        <v>100046</v>
      </c>
      <c r="ES60" s="25">
        <f t="shared" si="4"/>
        <v>-23105</v>
      </c>
      <c r="ET60" s="13">
        <v>76941</v>
      </c>
      <c r="EU60" s="25">
        <f t="shared" si="5"/>
        <v>13675</v>
      </c>
      <c r="EV60" s="13">
        <v>90616</v>
      </c>
      <c r="EW60" s="13">
        <v>88683</v>
      </c>
      <c r="EX60" s="13">
        <v>99992</v>
      </c>
      <c r="EY60" s="13">
        <v>96957</v>
      </c>
      <c r="EZ60" s="13">
        <v>97366</v>
      </c>
      <c r="FA60" s="13">
        <v>88385</v>
      </c>
      <c r="FB60" s="13">
        <v>80275</v>
      </c>
      <c r="FC60" s="13">
        <v>82642</v>
      </c>
      <c r="FD60" s="13">
        <v>81912</v>
      </c>
      <c r="FE60" s="13">
        <v>95787</v>
      </c>
      <c r="FF60" s="13">
        <v>93263</v>
      </c>
      <c r="FG60" s="13">
        <v>106172</v>
      </c>
      <c r="FH60" s="13">
        <v>124084</v>
      </c>
      <c r="FI60" s="13">
        <v>123310</v>
      </c>
    </row>
    <row r="61" spans="1:165" x14ac:dyDescent="0.4">
      <c r="A61" s="35" t="s">
        <v>14</v>
      </c>
      <c r="B61" s="16">
        <v>1136816</v>
      </c>
      <c r="C61" s="16">
        <v>1119126</v>
      </c>
      <c r="D61" s="16">
        <v>1204558</v>
      </c>
      <c r="E61" s="16">
        <v>1224562</v>
      </c>
      <c r="F61" s="16">
        <v>1249749</v>
      </c>
      <c r="G61" s="16">
        <v>1247960</v>
      </c>
      <c r="H61" s="16">
        <v>1239643</v>
      </c>
      <c r="I61" s="16">
        <v>1260285</v>
      </c>
      <c r="J61" s="16">
        <v>1272718</v>
      </c>
      <c r="K61" s="16">
        <v>1314046</v>
      </c>
      <c r="L61" s="16">
        <v>1378956</v>
      </c>
      <c r="M61" s="16">
        <v>1359715</v>
      </c>
      <c r="N61" s="16">
        <v>1356238</v>
      </c>
      <c r="O61" s="16">
        <v>1362009</v>
      </c>
      <c r="P61" s="16">
        <v>1340263</v>
      </c>
      <c r="Q61" s="16">
        <v>1329098</v>
      </c>
      <c r="R61" s="16">
        <v>1314315</v>
      </c>
      <c r="S61" s="16">
        <v>1333356</v>
      </c>
      <c r="T61" s="16">
        <v>1370954</v>
      </c>
      <c r="U61" s="16">
        <v>1357860</v>
      </c>
      <c r="V61" s="16">
        <v>1366519</v>
      </c>
      <c r="W61" s="16">
        <v>1408501</v>
      </c>
      <c r="X61" s="16">
        <v>1442307</v>
      </c>
      <c r="Y61" s="16">
        <v>1416700</v>
      </c>
      <c r="Z61" s="16">
        <v>1477243</v>
      </c>
      <c r="AA61" s="16">
        <v>1495521</v>
      </c>
      <c r="AB61" s="16">
        <v>1490961</v>
      </c>
      <c r="AC61" s="16">
        <v>1478946</v>
      </c>
      <c r="AD61" s="16">
        <v>1489789</v>
      </c>
      <c r="AE61" s="16">
        <v>1498135</v>
      </c>
      <c r="AF61" s="16">
        <v>1558955</v>
      </c>
      <c r="AG61" s="16">
        <v>1605123</v>
      </c>
      <c r="AH61" s="16">
        <v>1547091</v>
      </c>
      <c r="AI61" s="16">
        <v>1538925</v>
      </c>
      <c r="AJ61" s="16">
        <v>1560499</v>
      </c>
      <c r="AK61" s="16">
        <v>1558349</v>
      </c>
      <c r="AL61" s="16">
        <v>1570872</v>
      </c>
      <c r="AM61" s="16">
        <v>1529690</v>
      </c>
      <c r="AN61" s="16">
        <v>1458398</v>
      </c>
      <c r="AO61" s="16">
        <v>1476591</v>
      </c>
      <c r="AP61" s="16">
        <v>1493528</v>
      </c>
      <c r="AQ61" s="16">
        <v>1522528</v>
      </c>
      <c r="AR61" s="16">
        <v>1528328</v>
      </c>
      <c r="AS61" s="16">
        <v>1512566</v>
      </c>
      <c r="AT61" s="16">
        <v>1506458</v>
      </c>
      <c r="AU61" s="16">
        <v>1473438</v>
      </c>
      <c r="AV61" s="16">
        <v>1433428</v>
      </c>
      <c r="AW61" s="16">
        <v>1420280</v>
      </c>
      <c r="AX61" s="16">
        <v>1432188</v>
      </c>
      <c r="AY61" s="16">
        <v>1440899</v>
      </c>
      <c r="AZ61" s="16">
        <v>1416461</v>
      </c>
      <c r="BA61" s="16">
        <v>1437090</v>
      </c>
      <c r="BB61" s="16">
        <v>1464260</v>
      </c>
      <c r="BC61" s="16">
        <v>1566916</v>
      </c>
      <c r="BD61" s="16">
        <v>1559365</v>
      </c>
      <c r="BE61" s="16">
        <v>1539125</v>
      </c>
      <c r="BF61" s="16">
        <v>1533132</v>
      </c>
      <c r="BG61" s="16">
        <v>1531937</v>
      </c>
      <c r="BH61" s="16">
        <v>1606397</v>
      </c>
      <c r="BI61" s="16">
        <v>1616991</v>
      </c>
      <c r="BJ61" s="16">
        <v>1608750</v>
      </c>
      <c r="BK61" s="16">
        <v>1611436</v>
      </c>
      <c r="BL61" s="16">
        <v>1621236</v>
      </c>
      <c r="BM61" s="16">
        <v>1666969</v>
      </c>
      <c r="BN61" s="16">
        <v>1643540</v>
      </c>
      <c r="BO61" s="16">
        <v>1659986</v>
      </c>
      <c r="BP61" s="16">
        <v>1609236</v>
      </c>
      <c r="BQ61" s="16">
        <v>1679618</v>
      </c>
      <c r="BR61" s="16">
        <v>1699005</v>
      </c>
      <c r="BS61" s="16">
        <v>1691480</v>
      </c>
      <c r="BT61" s="16">
        <v>1671722</v>
      </c>
      <c r="BU61" s="16">
        <v>1690568</v>
      </c>
      <c r="BV61" s="16">
        <v>1755960</v>
      </c>
      <c r="BW61" s="16">
        <v>1771892</v>
      </c>
      <c r="BX61" s="16">
        <v>1783198</v>
      </c>
      <c r="BY61" s="16">
        <v>1834417</v>
      </c>
      <c r="BZ61" s="16">
        <v>1895881</v>
      </c>
      <c r="CA61" s="16">
        <v>1937913</v>
      </c>
      <c r="CB61" s="16">
        <v>1940083</v>
      </c>
      <c r="CC61" s="16">
        <v>1997277</v>
      </c>
      <c r="CD61" s="16">
        <v>1999984</v>
      </c>
      <c r="CE61" s="16">
        <v>2047334</v>
      </c>
      <c r="CF61" s="16">
        <v>2096546</v>
      </c>
      <c r="CG61" s="16">
        <v>2106750</v>
      </c>
      <c r="CH61" s="16">
        <v>2176823</v>
      </c>
      <c r="CI61" s="16">
        <v>2113342</v>
      </c>
      <c r="CJ61" s="16">
        <v>2162827</v>
      </c>
      <c r="CK61" s="16">
        <v>2150537</v>
      </c>
      <c r="CL61" s="16">
        <v>2165063</v>
      </c>
      <c r="CM61" s="16">
        <v>2184850</v>
      </c>
      <c r="CN61" s="16">
        <v>2208650</v>
      </c>
      <c r="CO61" s="16">
        <v>2290416</v>
      </c>
      <c r="CP61" s="7">
        <v>2327861</v>
      </c>
      <c r="CQ61" s="7">
        <v>2304615</v>
      </c>
      <c r="CR61" s="7">
        <v>2360749</v>
      </c>
      <c r="CS61" s="7">
        <v>2484085</v>
      </c>
      <c r="CT61" s="7">
        <v>2538173</v>
      </c>
      <c r="CU61" s="7">
        <v>2525405</v>
      </c>
      <c r="CV61" s="7">
        <v>2615261</v>
      </c>
      <c r="CW61" s="7">
        <v>2536259</v>
      </c>
      <c r="CX61" s="7">
        <v>2532990</v>
      </c>
      <c r="CY61" s="7">
        <v>2574624</v>
      </c>
      <c r="CZ61" s="7">
        <v>2705123</v>
      </c>
      <c r="DA61" s="7">
        <v>2642619</v>
      </c>
      <c r="DB61" s="7">
        <v>2673129</v>
      </c>
      <c r="DC61" s="7">
        <v>2711645</v>
      </c>
      <c r="DD61" s="7">
        <v>2677330</v>
      </c>
      <c r="DE61" s="7">
        <v>2682069</v>
      </c>
      <c r="DF61" s="7">
        <v>2765700</v>
      </c>
      <c r="DG61" s="7">
        <v>2714199</v>
      </c>
      <c r="DH61" s="7">
        <v>2538637</v>
      </c>
      <c r="DI61" s="7">
        <v>2455827</v>
      </c>
      <c r="DJ61" s="13">
        <v>2411785</v>
      </c>
      <c r="DK61" s="13">
        <v>2431760</v>
      </c>
      <c r="DL61" s="13">
        <v>2459418</v>
      </c>
      <c r="DM61" s="13">
        <v>2437114</v>
      </c>
      <c r="DN61" s="13">
        <v>2442507</v>
      </c>
      <c r="DO61" s="13">
        <v>2373024</v>
      </c>
      <c r="DP61" s="13">
        <v>2328623</v>
      </c>
      <c r="DQ61" s="13">
        <v>2444773</v>
      </c>
      <c r="DR61" s="13">
        <v>2348868</v>
      </c>
      <c r="DS61" s="13">
        <v>2304169</v>
      </c>
      <c r="DT61" s="13">
        <v>2428069</v>
      </c>
      <c r="DU61" s="13">
        <v>2423853</v>
      </c>
      <c r="DV61" s="13">
        <v>2427383</v>
      </c>
      <c r="DW61" s="13">
        <v>2395014</v>
      </c>
      <c r="DX61" s="13">
        <v>2471596</v>
      </c>
      <c r="DY61" s="13">
        <v>2470513</v>
      </c>
      <c r="DZ61" s="13">
        <v>2404076</v>
      </c>
      <c r="EA61" s="13">
        <v>2313534</v>
      </c>
      <c r="EB61" s="13">
        <v>2320580</v>
      </c>
      <c r="EC61" s="13">
        <v>2311578</v>
      </c>
      <c r="ED61" s="13">
        <v>2320036</v>
      </c>
      <c r="EE61" s="13">
        <v>2326943</v>
      </c>
      <c r="EF61" s="13">
        <v>2334782</v>
      </c>
      <c r="EG61" s="13">
        <v>2343994</v>
      </c>
      <c r="EH61" s="13">
        <v>2364337</v>
      </c>
      <c r="EI61" s="13">
        <v>2300234</v>
      </c>
      <c r="EJ61" s="13">
        <v>2245307</v>
      </c>
      <c r="EK61" s="25">
        <f t="shared" si="0"/>
        <v>-57418</v>
      </c>
      <c r="EL61" s="13">
        <v>2187889</v>
      </c>
      <c r="EM61" s="25">
        <f t="shared" si="1"/>
        <v>65181</v>
      </c>
      <c r="EN61" s="13">
        <v>2253070</v>
      </c>
      <c r="EO61" s="25">
        <f t="shared" si="2"/>
        <v>-11630</v>
      </c>
      <c r="EP61" s="13">
        <v>2241440</v>
      </c>
      <c r="EQ61" s="25">
        <f t="shared" si="3"/>
        <v>13608</v>
      </c>
      <c r="ER61" s="13">
        <v>2255048</v>
      </c>
      <c r="ES61" s="25">
        <f t="shared" si="4"/>
        <v>-143949</v>
      </c>
      <c r="ET61" s="13">
        <v>2111099</v>
      </c>
      <c r="EU61" s="25">
        <f t="shared" si="5"/>
        <v>110066</v>
      </c>
      <c r="EV61" s="13">
        <v>2221165</v>
      </c>
      <c r="EW61" s="13">
        <v>2227525</v>
      </c>
      <c r="EX61" s="13">
        <v>2179532</v>
      </c>
      <c r="EY61" s="13">
        <v>2228395</v>
      </c>
      <c r="EZ61" s="13">
        <v>2252067</v>
      </c>
      <c r="FA61" s="13">
        <v>2252984</v>
      </c>
      <c r="FB61" s="13">
        <v>2322067</v>
      </c>
      <c r="FC61" s="13">
        <v>2314690</v>
      </c>
      <c r="FD61" s="13">
        <v>2339831</v>
      </c>
      <c r="FE61" s="13">
        <v>2325734</v>
      </c>
      <c r="FF61" s="13">
        <v>2290943</v>
      </c>
      <c r="FG61" s="13">
        <v>2243099</v>
      </c>
      <c r="FH61" s="13">
        <v>2345916</v>
      </c>
      <c r="FI61" s="13">
        <v>2334450</v>
      </c>
    </row>
    <row r="62" spans="1:165" x14ac:dyDescent="0.4">
      <c r="A62" s="35" t="s">
        <v>27</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v>151698</v>
      </c>
      <c r="BW62" s="16">
        <v>168659</v>
      </c>
      <c r="BX62" s="16">
        <v>184282</v>
      </c>
      <c r="BY62" s="16">
        <v>181265</v>
      </c>
      <c r="BZ62" s="16">
        <v>186031</v>
      </c>
      <c r="CA62" s="16">
        <v>185908</v>
      </c>
      <c r="CB62" s="16">
        <v>247307</v>
      </c>
      <c r="CC62" s="16">
        <v>226353</v>
      </c>
      <c r="CD62" s="16">
        <v>213686</v>
      </c>
      <c r="CE62" s="16">
        <v>236626</v>
      </c>
      <c r="CF62" s="16">
        <v>228742</v>
      </c>
      <c r="CG62" s="16">
        <v>203076</v>
      </c>
      <c r="CH62" s="16">
        <v>276791</v>
      </c>
      <c r="CI62" s="16">
        <v>272847</v>
      </c>
      <c r="CJ62" s="16">
        <v>262098</v>
      </c>
      <c r="CK62" s="16">
        <v>329181</v>
      </c>
      <c r="CL62" s="16">
        <v>352098</v>
      </c>
      <c r="CM62" s="16">
        <v>346919</v>
      </c>
      <c r="CN62" s="16">
        <v>341098</v>
      </c>
      <c r="CO62" s="16">
        <v>383330</v>
      </c>
      <c r="CP62" s="7">
        <v>446702</v>
      </c>
      <c r="CQ62" s="7">
        <v>456558</v>
      </c>
      <c r="CR62" s="7">
        <v>468559</v>
      </c>
      <c r="CS62" s="7">
        <v>514130</v>
      </c>
      <c r="CT62" s="7">
        <v>454177</v>
      </c>
      <c r="CU62" s="7">
        <v>465724</v>
      </c>
      <c r="CV62" s="7">
        <v>538531</v>
      </c>
      <c r="CW62" s="7">
        <v>499031</v>
      </c>
      <c r="CX62" s="7">
        <v>511105</v>
      </c>
      <c r="CY62" s="7">
        <v>512537</v>
      </c>
      <c r="CZ62" s="7">
        <v>505092</v>
      </c>
      <c r="DA62" s="7">
        <v>505495</v>
      </c>
      <c r="DB62" s="7">
        <v>460988</v>
      </c>
      <c r="DC62" s="7">
        <v>437462</v>
      </c>
      <c r="DD62" s="7">
        <v>468910</v>
      </c>
      <c r="DE62" s="7">
        <v>441853</v>
      </c>
      <c r="DF62" s="7">
        <v>454137</v>
      </c>
      <c r="DG62" s="7">
        <v>486716</v>
      </c>
      <c r="DH62" s="7">
        <v>420959</v>
      </c>
      <c r="DI62" s="7">
        <v>407146</v>
      </c>
      <c r="DJ62" s="13">
        <v>380371</v>
      </c>
      <c r="DK62" s="13">
        <v>438505</v>
      </c>
      <c r="DL62" s="13">
        <v>440113</v>
      </c>
      <c r="DM62" s="13">
        <v>438798</v>
      </c>
      <c r="DN62" s="13">
        <v>457566</v>
      </c>
      <c r="DO62" s="13">
        <v>489640</v>
      </c>
      <c r="DP62" s="13">
        <v>583270</v>
      </c>
      <c r="DQ62" s="13">
        <v>635997</v>
      </c>
      <c r="DR62" s="13">
        <v>608930</v>
      </c>
      <c r="DS62" s="13">
        <v>584727</v>
      </c>
      <c r="DT62" s="13">
        <v>587845</v>
      </c>
      <c r="DU62" s="13">
        <v>585655</v>
      </c>
      <c r="DV62" s="13">
        <v>588256</v>
      </c>
      <c r="DW62" s="13">
        <v>561017</v>
      </c>
      <c r="DX62" s="13">
        <v>588235</v>
      </c>
      <c r="DY62" s="13">
        <v>568681</v>
      </c>
      <c r="DZ62" s="13">
        <v>543320</v>
      </c>
      <c r="EA62" s="13">
        <v>565693</v>
      </c>
      <c r="EB62" s="13">
        <v>442028</v>
      </c>
      <c r="EC62" s="13">
        <v>494064</v>
      </c>
      <c r="ED62" s="13">
        <v>537196</v>
      </c>
      <c r="EE62" s="13">
        <v>534656</v>
      </c>
      <c r="EF62" s="13">
        <v>578512</v>
      </c>
      <c r="EG62" s="13">
        <v>634007</v>
      </c>
      <c r="EH62" s="13">
        <v>617634</v>
      </c>
      <c r="EI62" s="13">
        <v>590462</v>
      </c>
      <c r="EJ62" s="13">
        <v>544117</v>
      </c>
      <c r="EK62" s="25">
        <f t="shared" si="0"/>
        <v>32432</v>
      </c>
      <c r="EL62" s="13">
        <v>576549</v>
      </c>
      <c r="EM62" s="25">
        <f t="shared" si="1"/>
        <v>22709</v>
      </c>
      <c r="EN62" s="13">
        <v>599258</v>
      </c>
      <c r="EO62" s="25">
        <f t="shared" si="2"/>
        <v>-44273</v>
      </c>
      <c r="EP62" s="13">
        <v>554985</v>
      </c>
      <c r="EQ62" s="25">
        <f t="shared" si="3"/>
        <v>44263</v>
      </c>
      <c r="ER62" s="13">
        <v>599248</v>
      </c>
      <c r="ES62" s="25">
        <f t="shared" si="4"/>
        <v>-74582</v>
      </c>
      <c r="ET62" s="13">
        <v>524666</v>
      </c>
      <c r="EU62" s="25">
        <f t="shared" si="5"/>
        <v>-19194</v>
      </c>
      <c r="EV62" s="13">
        <v>505472</v>
      </c>
      <c r="EW62" s="13">
        <v>496778</v>
      </c>
      <c r="EX62" s="13">
        <v>435150</v>
      </c>
      <c r="EY62" s="13">
        <v>359614</v>
      </c>
      <c r="EZ62" s="13">
        <v>391866</v>
      </c>
      <c r="FA62" s="13">
        <v>495119</v>
      </c>
      <c r="FB62" s="13">
        <v>544093</v>
      </c>
      <c r="FC62" s="13">
        <v>530611</v>
      </c>
      <c r="FD62" s="13">
        <v>530407</v>
      </c>
      <c r="FE62" s="13">
        <v>518331</v>
      </c>
      <c r="FF62" s="13">
        <v>472273</v>
      </c>
      <c r="FG62" s="13">
        <v>428797</v>
      </c>
      <c r="FH62" s="13">
        <v>537563</v>
      </c>
      <c r="FI62" s="13">
        <v>564551</v>
      </c>
    </row>
    <row r="63" spans="1:165" x14ac:dyDescent="0.4">
      <c r="A63" s="35" t="s">
        <v>30</v>
      </c>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v>1604261</v>
      </c>
      <c r="BW63" s="16">
        <v>1603233</v>
      </c>
      <c r="BX63" s="16">
        <v>1598916</v>
      </c>
      <c r="BY63" s="16">
        <v>1653153</v>
      </c>
      <c r="BZ63" s="16">
        <v>1709850</v>
      </c>
      <c r="CA63" s="16">
        <v>1752005</v>
      </c>
      <c r="CB63" s="16">
        <v>1692776</v>
      </c>
      <c r="CC63" s="16">
        <v>1770925</v>
      </c>
      <c r="CD63" s="16">
        <v>1786298</v>
      </c>
      <c r="CE63" s="16">
        <v>1810707</v>
      </c>
      <c r="CF63" s="16">
        <v>1867804</v>
      </c>
      <c r="CG63" s="16">
        <v>1903674</v>
      </c>
      <c r="CH63" s="16">
        <v>1900032</v>
      </c>
      <c r="CI63" s="16">
        <v>1840495</v>
      </c>
      <c r="CJ63" s="16">
        <v>1900729</v>
      </c>
      <c r="CK63" s="16">
        <v>1821357</v>
      </c>
      <c r="CL63" s="16">
        <v>1812965</v>
      </c>
      <c r="CM63" s="16">
        <v>1837932</v>
      </c>
      <c r="CN63" s="16">
        <v>1867552</v>
      </c>
      <c r="CO63" s="16">
        <v>1907085</v>
      </c>
      <c r="CP63" s="7">
        <v>1881159</v>
      </c>
      <c r="CQ63" s="7">
        <v>1848057</v>
      </c>
      <c r="CR63" s="7">
        <v>1892190</v>
      </c>
      <c r="CS63" s="7">
        <v>1969956</v>
      </c>
      <c r="CT63" s="7">
        <v>2083996</v>
      </c>
      <c r="CU63" s="7">
        <v>2059681</v>
      </c>
      <c r="CV63" s="7">
        <v>2076730</v>
      </c>
      <c r="CW63" s="7">
        <v>2037228</v>
      </c>
      <c r="CX63" s="7">
        <v>2021885</v>
      </c>
      <c r="CY63" s="7">
        <v>2062087</v>
      </c>
      <c r="CZ63" s="7">
        <v>2200030</v>
      </c>
      <c r="DA63" s="7">
        <v>2137124</v>
      </c>
      <c r="DB63" s="7">
        <v>2212141</v>
      </c>
      <c r="DC63" s="7">
        <v>2274183</v>
      </c>
      <c r="DD63" s="7">
        <v>2208419</v>
      </c>
      <c r="DE63" s="7">
        <v>2240216</v>
      </c>
      <c r="DF63" s="7">
        <v>2311564</v>
      </c>
      <c r="DG63" s="7">
        <v>2227484</v>
      </c>
      <c r="DH63" s="7">
        <v>2117678</v>
      </c>
      <c r="DI63" s="7">
        <v>2048681</v>
      </c>
      <c r="DJ63" s="13">
        <v>2031414</v>
      </c>
      <c r="DK63" s="13">
        <v>1993255</v>
      </c>
      <c r="DL63" s="13">
        <v>2019305</v>
      </c>
      <c r="DM63" s="13">
        <v>1998316</v>
      </c>
      <c r="DN63" s="13">
        <v>1984941</v>
      </c>
      <c r="DO63" s="13">
        <v>1883384</v>
      </c>
      <c r="DP63" s="13">
        <v>1745352</v>
      </c>
      <c r="DQ63" s="13">
        <v>1808775</v>
      </c>
      <c r="DR63" s="13">
        <v>1739937</v>
      </c>
      <c r="DS63" s="13">
        <v>1719442</v>
      </c>
      <c r="DT63" s="13">
        <v>1840223</v>
      </c>
      <c r="DU63" s="13">
        <v>1838198</v>
      </c>
      <c r="DV63" s="13">
        <v>1839128</v>
      </c>
      <c r="DW63" s="13">
        <v>1833997</v>
      </c>
      <c r="DX63" s="13">
        <v>1883361</v>
      </c>
      <c r="DY63" s="13">
        <v>1901831</v>
      </c>
      <c r="DZ63" s="13">
        <v>1860755</v>
      </c>
      <c r="EA63" s="13">
        <v>1747841</v>
      </c>
      <c r="EB63" s="13">
        <v>1878552</v>
      </c>
      <c r="EC63" s="13">
        <v>1817514</v>
      </c>
      <c r="ED63" s="13">
        <v>1782839</v>
      </c>
      <c r="EE63" s="13">
        <v>1792287</v>
      </c>
      <c r="EF63" s="13">
        <v>1756270</v>
      </c>
      <c r="EG63" s="13">
        <v>1709987</v>
      </c>
      <c r="EH63" s="13">
        <v>1746703</v>
      </c>
      <c r="EI63" s="13">
        <v>1709772</v>
      </c>
      <c r="EJ63" s="13">
        <v>1701190</v>
      </c>
      <c r="EK63" s="25">
        <f t="shared" si="0"/>
        <v>-89850</v>
      </c>
      <c r="EL63" s="13">
        <v>1611340</v>
      </c>
      <c r="EM63" s="25">
        <f t="shared" si="1"/>
        <v>42472</v>
      </c>
      <c r="EN63" s="13">
        <v>1653812</v>
      </c>
      <c r="EO63" s="25">
        <f t="shared" si="2"/>
        <v>32642</v>
      </c>
      <c r="EP63" s="13">
        <v>1686454</v>
      </c>
      <c r="EQ63" s="25">
        <f t="shared" si="3"/>
        <v>-30654</v>
      </c>
      <c r="ER63" s="13">
        <v>1655800</v>
      </c>
      <c r="ES63" s="25">
        <f t="shared" si="4"/>
        <v>-69367</v>
      </c>
      <c r="ET63" s="13">
        <v>1586433</v>
      </c>
      <c r="EU63" s="25">
        <f t="shared" si="5"/>
        <v>129260</v>
      </c>
      <c r="EV63" s="13">
        <v>1715693</v>
      </c>
      <c r="EW63" s="13">
        <v>1730747</v>
      </c>
      <c r="EX63" s="13">
        <v>1744382</v>
      </c>
      <c r="EY63" s="13">
        <v>1868781</v>
      </c>
      <c r="EZ63" s="13">
        <v>1860201</v>
      </c>
      <c r="FA63" s="13">
        <v>1757865</v>
      </c>
      <c r="FB63" s="13">
        <v>1777974</v>
      </c>
      <c r="FC63" s="13">
        <v>1784080</v>
      </c>
      <c r="FD63" s="13">
        <v>1809424</v>
      </c>
      <c r="FE63" s="13">
        <v>1807404</v>
      </c>
      <c r="FF63" s="13">
        <v>1818670</v>
      </c>
      <c r="FG63" s="13">
        <v>1814303</v>
      </c>
      <c r="FH63" s="13">
        <v>1808353</v>
      </c>
      <c r="FI63" s="13">
        <v>1769899</v>
      </c>
    </row>
    <row r="64" spans="1:165" x14ac:dyDescent="0.4">
      <c r="A64" s="34" t="s">
        <v>4</v>
      </c>
      <c r="B64" s="16">
        <v>15035</v>
      </c>
      <c r="C64" s="16">
        <v>15065</v>
      </c>
      <c r="D64" s="16">
        <v>15077</v>
      </c>
      <c r="E64" s="16">
        <v>15099</v>
      </c>
      <c r="F64" s="16">
        <v>18127</v>
      </c>
      <c r="G64" s="16">
        <v>18160</v>
      </c>
      <c r="H64" s="16">
        <v>18137</v>
      </c>
      <c r="I64" s="16">
        <v>18128</v>
      </c>
      <c r="J64" s="16">
        <v>18126</v>
      </c>
      <c r="K64" s="16">
        <v>18118</v>
      </c>
      <c r="L64" s="16">
        <v>18117</v>
      </c>
      <c r="M64" s="16">
        <v>18061</v>
      </c>
      <c r="N64" s="16">
        <v>18099</v>
      </c>
      <c r="O64" s="16">
        <v>18039</v>
      </c>
      <c r="P64" s="16">
        <v>18045</v>
      </c>
      <c r="Q64" s="16">
        <v>17988</v>
      </c>
      <c r="R64" s="16">
        <v>17919</v>
      </c>
      <c r="S64" s="16">
        <v>17914</v>
      </c>
      <c r="T64" s="16">
        <v>17889</v>
      </c>
      <c r="U64" s="16">
        <v>17893</v>
      </c>
      <c r="V64" s="16">
        <v>17754</v>
      </c>
      <c r="W64" s="16">
        <v>17859</v>
      </c>
      <c r="X64" s="16">
        <v>17786</v>
      </c>
      <c r="Y64" s="16">
        <v>12785</v>
      </c>
      <c r="Z64" s="16">
        <v>12610</v>
      </c>
      <c r="AA64" s="16">
        <v>12512</v>
      </c>
      <c r="AB64" s="16">
        <v>12605</v>
      </c>
      <c r="AC64" s="16">
        <v>12801</v>
      </c>
      <c r="AD64" s="16">
        <v>12833</v>
      </c>
      <c r="AE64" s="16">
        <v>12903</v>
      </c>
      <c r="AF64" s="16">
        <v>12931</v>
      </c>
      <c r="AG64" s="16">
        <v>12963</v>
      </c>
      <c r="AH64" s="16">
        <v>12962</v>
      </c>
      <c r="AI64" s="16">
        <v>12793</v>
      </c>
      <c r="AJ64" s="16">
        <v>12679</v>
      </c>
      <c r="AK64" s="16">
        <v>12687</v>
      </c>
      <c r="AL64" s="16">
        <v>12774</v>
      </c>
      <c r="AM64" s="16">
        <v>12793</v>
      </c>
      <c r="AN64" s="16">
        <v>12849</v>
      </c>
      <c r="AO64" s="16">
        <v>12890</v>
      </c>
      <c r="AP64" s="16">
        <v>12915</v>
      </c>
      <c r="AQ64" s="16">
        <v>12916</v>
      </c>
      <c r="AR64" s="16">
        <v>12924</v>
      </c>
      <c r="AS64" s="16">
        <v>12972</v>
      </c>
      <c r="AT64" s="16">
        <v>12967</v>
      </c>
      <c r="AU64" s="16">
        <v>13000</v>
      </c>
      <c r="AV64" s="16">
        <v>12948</v>
      </c>
      <c r="AW64" s="16">
        <v>12949</v>
      </c>
      <c r="AX64" s="16">
        <v>12953</v>
      </c>
      <c r="AY64" s="16">
        <v>12940</v>
      </c>
      <c r="AZ64" s="16">
        <v>12937</v>
      </c>
      <c r="BA64" s="16">
        <v>12919</v>
      </c>
      <c r="BB64" s="16">
        <v>17074</v>
      </c>
      <c r="BC64" s="16">
        <v>17137</v>
      </c>
      <c r="BD64" s="16">
        <v>17173</v>
      </c>
      <c r="BE64" s="16">
        <v>17141</v>
      </c>
      <c r="BF64" s="16">
        <v>17144</v>
      </c>
      <c r="BG64" s="16">
        <v>12149</v>
      </c>
      <c r="BH64" s="16">
        <v>12132</v>
      </c>
      <c r="BI64" s="16">
        <v>7188</v>
      </c>
      <c r="BJ64" s="16">
        <v>7164</v>
      </c>
      <c r="BK64" s="16">
        <v>7149</v>
      </c>
      <c r="BL64" s="16">
        <v>7154</v>
      </c>
      <c r="BM64" s="16">
        <v>7193</v>
      </c>
      <c r="BN64" s="16">
        <v>7190</v>
      </c>
      <c r="BO64" s="16">
        <v>7152</v>
      </c>
      <c r="BP64" s="16">
        <v>7103</v>
      </c>
      <c r="BQ64" s="16">
        <v>7084</v>
      </c>
      <c r="BR64" s="16">
        <v>7094</v>
      </c>
      <c r="BS64" s="16">
        <v>7087</v>
      </c>
      <c r="BT64" s="16">
        <v>7114</v>
      </c>
      <c r="BU64" s="16">
        <v>7063</v>
      </c>
      <c r="BV64" s="16">
        <v>7056</v>
      </c>
      <c r="BW64" s="16">
        <v>7076</v>
      </c>
      <c r="BX64" s="16">
        <v>7097</v>
      </c>
      <c r="BY64" s="16">
        <v>7004</v>
      </c>
      <c r="BZ64" s="16">
        <v>7045</v>
      </c>
      <c r="CA64" s="16">
        <v>7041</v>
      </c>
      <c r="CB64" s="16">
        <v>7037</v>
      </c>
      <c r="CC64" s="16">
        <v>7055</v>
      </c>
      <c r="CD64" s="16">
        <v>7109</v>
      </c>
      <c r="CE64" s="16">
        <v>4097</v>
      </c>
      <c r="CF64" s="16">
        <v>7113</v>
      </c>
      <c r="CG64" s="16">
        <v>7081</v>
      </c>
      <c r="CH64" s="16">
        <v>7092</v>
      </c>
      <c r="CI64" s="16">
        <v>7099</v>
      </c>
      <c r="CJ64" s="16">
        <v>7352</v>
      </c>
      <c r="CK64" s="16">
        <v>7269</v>
      </c>
      <c r="CL64" s="16">
        <v>7089</v>
      </c>
      <c r="CM64" s="16">
        <v>7119</v>
      </c>
      <c r="CN64" s="16">
        <v>7302</v>
      </c>
      <c r="CO64" s="16">
        <v>7336</v>
      </c>
      <c r="CP64" s="7">
        <v>7390</v>
      </c>
      <c r="CQ64" s="7">
        <v>7457</v>
      </c>
      <c r="CR64" s="7">
        <v>7163</v>
      </c>
      <c r="CS64" s="7">
        <v>7208</v>
      </c>
      <c r="CT64" s="7">
        <v>7263</v>
      </c>
      <c r="CU64" s="7">
        <v>7306</v>
      </c>
      <c r="CV64" s="7">
        <v>7303</v>
      </c>
      <c r="CW64" s="7">
        <v>7327</v>
      </c>
      <c r="CX64" s="7">
        <v>7048</v>
      </c>
      <c r="CY64" s="7">
        <v>7070</v>
      </c>
      <c r="CZ64" s="7">
        <v>7125</v>
      </c>
      <c r="DA64" s="7">
        <v>7144</v>
      </c>
      <c r="DB64" s="7">
        <v>7200</v>
      </c>
      <c r="DC64" s="7">
        <v>7232</v>
      </c>
      <c r="DD64" s="7">
        <v>4003</v>
      </c>
      <c r="DE64" s="7">
        <v>4001</v>
      </c>
      <c r="DF64" s="7">
        <v>4043</v>
      </c>
      <c r="DG64" s="7">
        <v>4030</v>
      </c>
      <c r="DH64" s="7">
        <v>4058</v>
      </c>
      <c r="DI64" s="7">
        <v>4091</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0</v>
      </c>
      <c r="EF64" s="13">
        <v>0</v>
      </c>
      <c r="EG64" s="13">
        <v>0</v>
      </c>
      <c r="EH64" s="13">
        <v>0</v>
      </c>
      <c r="EI64" s="13">
        <v>0</v>
      </c>
      <c r="EJ64" s="13">
        <v>0</v>
      </c>
      <c r="EK64" s="25">
        <f t="shared" si="0"/>
        <v>0</v>
      </c>
      <c r="EL64" s="13">
        <v>0</v>
      </c>
      <c r="EM64" s="25">
        <f t="shared" si="1"/>
        <v>0</v>
      </c>
      <c r="EN64" s="13">
        <v>0</v>
      </c>
      <c r="EO64" s="25">
        <f t="shared" si="2"/>
        <v>0</v>
      </c>
      <c r="EP64" s="13">
        <v>0</v>
      </c>
      <c r="EQ64" s="25">
        <f t="shared" si="3"/>
        <v>0</v>
      </c>
      <c r="ER64" s="13">
        <v>0</v>
      </c>
      <c r="ES64" s="25">
        <f t="shared" si="4"/>
        <v>0</v>
      </c>
      <c r="ET64" s="13">
        <v>0</v>
      </c>
      <c r="EU64" s="25">
        <f t="shared" si="5"/>
        <v>0</v>
      </c>
      <c r="EV64" s="13">
        <v>0</v>
      </c>
      <c r="EW64" s="13">
        <v>0</v>
      </c>
      <c r="EX64" s="13">
        <v>0</v>
      </c>
      <c r="EY64" s="13">
        <v>0</v>
      </c>
      <c r="EZ64" s="13">
        <v>0</v>
      </c>
      <c r="FA64" s="13">
        <v>0</v>
      </c>
      <c r="FB64" s="13">
        <v>0</v>
      </c>
      <c r="FC64" s="13">
        <v>0</v>
      </c>
      <c r="FD64" s="13">
        <v>0</v>
      </c>
      <c r="FE64" s="13">
        <v>0</v>
      </c>
      <c r="FF64" s="13">
        <v>0</v>
      </c>
      <c r="FG64" s="13">
        <v>0</v>
      </c>
      <c r="FH64" s="13">
        <v>0</v>
      </c>
      <c r="FI64" s="13">
        <v>0</v>
      </c>
    </row>
    <row r="65" spans="1:165" x14ac:dyDescent="0.4">
      <c r="A65" s="35" t="s">
        <v>13</v>
      </c>
      <c r="B65" s="16">
        <v>0</v>
      </c>
      <c r="C65" s="16">
        <v>0</v>
      </c>
      <c r="D65" s="16">
        <v>0</v>
      </c>
      <c r="E65" s="16">
        <v>0</v>
      </c>
      <c r="F65" s="16">
        <v>0</v>
      </c>
      <c r="G65" s="16">
        <v>0</v>
      </c>
      <c r="H65" s="16">
        <v>0</v>
      </c>
      <c r="I65" s="16">
        <v>0</v>
      </c>
      <c r="J65" s="16">
        <v>0</v>
      </c>
      <c r="K65" s="16">
        <v>0</v>
      </c>
      <c r="L65" s="16">
        <v>0</v>
      </c>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s="16">
        <v>0</v>
      </c>
      <c r="BV65" s="16">
        <v>0</v>
      </c>
      <c r="BW65" s="16">
        <v>0</v>
      </c>
      <c r="BX65" s="16">
        <v>0</v>
      </c>
      <c r="BY65" s="16">
        <v>0</v>
      </c>
      <c r="BZ65" s="16">
        <v>0</v>
      </c>
      <c r="CA65" s="16">
        <v>0</v>
      </c>
      <c r="CB65" s="16">
        <v>0</v>
      </c>
      <c r="CC65" s="16">
        <v>0</v>
      </c>
      <c r="CD65" s="16">
        <v>0</v>
      </c>
      <c r="CE65" s="16">
        <v>0</v>
      </c>
      <c r="CF65" s="16">
        <v>0</v>
      </c>
      <c r="CG65" s="16">
        <v>0</v>
      </c>
      <c r="CH65" s="16">
        <v>0</v>
      </c>
      <c r="CI65" s="16">
        <v>0</v>
      </c>
      <c r="CJ65" s="16">
        <v>0</v>
      </c>
      <c r="CK65" s="16">
        <v>0</v>
      </c>
      <c r="CL65" s="16">
        <v>0</v>
      </c>
      <c r="CM65" s="16">
        <v>0</v>
      </c>
      <c r="CN65" s="16">
        <v>0</v>
      </c>
      <c r="CO65" s="16">
        <v>0</v>
      </c>
      <c r="CP65" s="16">
        <v>0</v>
      </c>
      <c r="CQ65" s="16">
        <v>0</v>
      </c>
      <c r="CR65" s="16">
        <v>0</v>
      </c>
      <c r="CS65" s="16">
        <v>0</v>
      </c>
      <c r="CT65" s="16">
        <v>0</v>
      </c>
      <c r="CU65" s="16">
        <v>0</v>
      </c>
      <c r="CV65" s="16">
        <v>0</v>
      </c>
      <c r="CW65" s="16">
        <v>0</v>
      </c>
      <c r="CX65" s="16">
        <v>0</v>
      </c>
      <c r="CY65" s="16">
        <v>0</v>
      </c>
      <c r="CZ65" s="16">
        <v>0</v>
      </c>
      <c r="DA65" s="16">
        <v>0</v>
      </c>
      <c r="DB65" s="16">
        <v>0</v>
      </c>
      <c r="DC65" s="16">
        <v>0</v>
      </c>
      <c r="DD65" s="16">
        <v>0</v>
      </c>
      <c r="DE65" s="16">
        <v>0</v>
      </c>
      <c r="DF65" s="16">
        <v>0</v>
      </c>
      <c r="DG65" s="16">
        <v>0</v>
      </c>
      <c r="DH65" s="16">
        <v>0</v>
      </c>
      <c r="DI65" s="16">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25">
        <f t="shared" si="0"/>
        <v>0</v>
      </c>
      <c r="EL65" s="13">
        <v>0</v>
      </c>
      <c r="EM65" s="25">
        <f t="shared" si="1"/>
        <v>0</v>
      </c>
      <c r="EN65" s="13">
        <v>0</v>
      </c>
      <c r="EO65" s="25">
        <f t="shared" si="2"/>
        <v>0</v>
      </c>
      <c r="EP65" s="13">
        <v>0</v>
      </c>
      <c r="EQ65" s="25">
        <f t="shared" si="3"/>
        <v>0</v>
      </c>
      <c r="ER65" s="13">
        <v>0</v>
      </c>
      <c r="ES65" s="25">
        <f t="shared" si="4"/>
        <v>0</v>
      </c>
      <c r="ET65" s="13">
        <v>0</v>
      </c>
      <c r="EU65" s="25">
        <f t="shared" si="5"/>
        <v>0</v>
      </c>
      <c r="EV65" s="13">
        <v>0</v>
      </c>
      <c r="EW65" s="13">
        <v>0</v>
      </c>
      <c r="EX65" s="13">
        <v>0</v>
      </c>
      <c r="EY65" s="13">
        <v>0</v>
      </c>
      <c r="EZ65" s="13">
        <v>0</v>
      </c>
      <c r="FA65" s="13">
        <v>0</v>
      </c>
      <c r="FB65" s="13">
        <v>0</v>
      </c>
      <c r="FC65" s="13">
        <v>0</v>
      </c>
      <c r="FD65" s="13">
        <v>0</v>
      </c>
      <c r="FE65" s="13">
        <v>0</v>
      </c>
      <c r="FF65" s="13">
        <v>0</v>
      </c>
      <c r="FG65" s="13">
        <v>0</v>
      </c>
      <c r="FH65" s="13">
        <v>0</v>
      </c>
      <c r="FI65" s="13">
        <v>0</v>
      </c>
    </row>
    <row r="66" spans="1:165" x14ac:dyDescent="0.4">
      <c r="A66" s="35" t="s">
        <v>14</v>
      </c>
      <c r="B66" s="16">
        <v>15035</v>
      </c>
      <c r="C66" s="16">
        <v>15065</v>
      </c>
      <c r="D66" s="16">
        <v>15077</v>
      </c>
      <c r="E66" s="16">
        <v>15099</v>
      </c>
      <c r="F66" s="16">
        <v>18127</v>
      </c>
      <c r="G66" s="16">
        <v>18160</v>
      </c>
      <c r="H66" s="16">
        <v>18137</v>
      </c>
      <c r="I66" s="16">
        <v>18128</v>
      </c>
      <c r="J66" s="16">
        <v>18126</v>
      </c>
      <c r="K66" s="16">
        <v>18118</v>
      </c>
      <c r="L66" s="16">
        <v>18117</v>
      </c>
      <c r="M66" s="16">
        <v>18061</v>
      </c>
      <c r="N66" s="16">
        <v>18099</v>
      </c>
      <c r="O66" s="16">
        <v>18039</v>
      </c>
      <c r="P66" s="16">
        <v>18045</v>
      </c>
      <c r="Q66" s="16">
        <v>17988</v>
      </c>
      <c r="R66" s="16">
        <v>17919</v>
      </c>
      <c r="S66" s="16">
        <v>17914</v>
      </c>
      <c r="T66" s="16">
        <v>17889</v>
      </c>
      <c r="U66" s="16">
        <v>17893</v>
      </c>
      <c r="V66" s="16">
        <v>17754</v>
      </c>
      <c r="W66" s="16">
        <v>17859</v>
      </c>
      <c r="X66" s="16">
        <v>17786</v>
      </c>
      <c r="Y66" s="16">
        <v>12785</v>
      </c>
      <c r="Z66" s="16">
        <v>12610</v>
      </c>
      <c r="AA66" s="16">
        <v>12512</v>
      </c>
      <c r="AB66" s="16">
        <v>12605</v>
      </c>
      <c r="AC66" s="16">
        <v>12801</v>
      </c>
      <c r="AD66" s="16">
        <v>12833</v>
      </c>
      <c r="AE66" s="16">
        <v>12903</v>
      </c>
      <c r="AF66" s="16">
        <v>12931</v>
      </c>
      <c r="AG66" s="16">
        <v>12963</v>
      </c>
      <c r="AH66" s="16">
        <v>12962</v>
      </c>
      <c r="AI66" s="16">
        <v>12793</v>
      </c>
      <c r="AJ66" s="16">
        <v>12679</v>
      </c>
      <c r="AK66" s="16">
        <v>12687</v>
      </c>
      <c r="AL66" s="16">
        <v>12774</v>
      </c>
      <c r="AM66" s="16">
        <v>12793</v>
      </c>
      <c r="AN66" s="16">
        <v>12849</v>
      </c>
      <c r="AO66" s="16">
        <v>12890</v>
      </c>
      <c r="AP66" s="16">
        <v>12915</v>
      </c>
      <c r="AQ66" s="16">
        <v>12916</v>
      </c>
      <c r="AR66" s="16">
        <v>12924</v>
      </c>
      <c r="AS66" s="16">
        <v>12972</v>
      </c>
      <c r="AT66" s="16">
        <v>12967</v>
      </c>
      <c r="AU66" s="16">
        <v>13000</v>
      </c>
      <c r="AV66" s="16">
        <v>12948</v>
      </c>
      <c r="AW66" s="16">
        <v>12949</v>
      </c>
      <c r="AX66" s="16">
        <v>12953</v>
      </c>
      <c r="AY66" s="16">
        <v>12940</v>
      </c>
      <c r="AZ66" s="16">
        <v>12937</v>
      </c>
      <c r="BA66" s="16">
        <v>12919</v>
      </c>
      <c r="BB66" s="16">
        <v>17074</v>
      </c>
      <c r="BC66" s="16">
        <v>17137</v>
      </c>
      <c r="BD66" s="16">
        <v>17173</v>
      </c>
      <c r="BE66" s="16">
        <v>17141</v>
      </c>
      <c r="BF66" s="16">
        <v>17144</v>
      </c>
      <c r="BG66" s="16">
        <v>12149</v>
      </c>
      <c r="BH66" s="16">
        <v>12132</v>
      </c>
      <c r="BI66" s="16">
        <v>7188</v>
      </c>
      <c r="BJ66" s="16">
        <v>7164</v>
      </c>
      <c r="BK66" s="16">
        <v>7149</v>
      </c>
      <c r="BL66" s="16">
        <v>7154</v>
      </c>
      <c r="BM66" s="16">
        <v>7193</v>
      </c>
      <c r="BN66" s="16">
        <v>7190</v>
      </c>
      <c r="BO66" s="16">
        <v>7152</v>
      </c>
      <c r="BP66" s="16">
        <v>7103</v>
      </c>
      <c r="BQ66" s="16">
        <v>7084</v>
      </c>
      <c r="BR66" s="16">
        <v>7094</v>
      </c>
      <c r="BS66" s="16">
        <v>7087</v>
      </c>
      <c r="BT66" s="16">
        <v>7114</v>
      </c>
      <c r="BU66" s="16">
        <v>7063</v>
      </c>
      <c r="BV66" s="16">
        <v>7056</v>
      </c>
      <c r="BW66" s="16">
        <v>7076</v>
      </c>
      <c r="BX66" s="16">
        <v>7097</v>
      </c>
      <c r="BY66" s="16">
        <v>7004</v>
      </c>
      <c r="BZ66" s="16">
        <v>7045</v>
      </c>
      <c r="CA66" s="16">
        <v>7041</v>
      </c>
      <c r="CB66" s="16">
        <v>7037</v>
      </c>
      <c r="CC66" s="16">
        <v>7055</v>
      </c>
      <c r="CD66" s="16">
        <v>7109</v>
      </c>
      <c r="CE66" s="16">
        <v>4097</v>
      </c>
      <c r="CF66" s="16">
        <v>7113</v>
      </c>
      <c r="CG66" s="16">
        <v>7081</v>
      </c>
      <c r="CH66" s="16">
        <v>7092</v>
      </c>
      <c r="CI66" s="16">
        <v>7099</v>
      </c>
      <c r="CJ66" s="16">
        <v>7352</v>
      </c>
      <c r="CK66" s="16">
        <v>7269</v>
      </c>
      <c r="CL66" s="16">
        <v>7089</v>
      </c>
      <c r="CM66" s="16">
        <v>7119</v>
      </c>
      <c r="CN66" s="16">
        <v>7302</v>
      </c>
      <c r="CO66" s="16">
        <v>7336</v>
      </c>
      <c r="CP66" s="7">
        <v>7390</v>
      </c>
      <c r="CQ66" s="7">
        <v>7457</v>
      </c>
      <c r="CR66" s="7">
        <v>7163</v>
      </c>
      <c r="CS66" s="7">
        <v>7208</v>
      </c>
      <c r="CT66" s="7">
        <v>7263</v>
      </c>
      <c r="CU66" s="7">
        <v>7306</v>
      </c>
      <c r="CV66" s="7">
        <v>7303</v>
      </c>
      <c r="CW66" s="7">
        <v>7327</v>
      </c>
      <c r="CX66" s="7">
        <v>7048</v>
      </c>
      <c r="CY66" s="7">
        <v>7070</v>
      </c>
      <c r="CZ66" s="7">
        <v>7125</v>
      </c>
      <c r="DA66" s="7">
        <v>7144</v>
      </c>
      <c r="DB66" s="7">
        <v>7200</v>
      </c>
      <c r="DC66" s="7">
        <v>7232</v>
      </c>
      <c r="DD66" s="7">
        <v>4003</v>
      </c>
      <c r="DE66" s="7">
        <v>4001</v>
      </c>
      <c r="DF66" s="7">
        <v>4043</v>
      </c>
      <c r="DG66" s="7">
        <v>4030</v>
      </c>
      <c r="DH66" s="7">
        <v>4058</v>
      </c>
      <c r="DI66" s="7">
        <v>4091</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25">
        <f t="shared" si="0"/>
        <v>0</v>
      </c>
      <c r="EL66" s="13">
        <v>0</v>
      </c>
      <c r="EM66" s="25">
        <f t="shared" si="1"/>
        <v>0</v>
      </c>
      <c r="EN66" s="13">
        <v>0</v>
      </c>
      <c r="EO66" s="25">
        <f t="shared" si="2"/>
        <v>0</v>
      </c>
      <c r="EP66" s="13">
        <v>0</v>
      </c>
      <c r="EQ66" s="25">
        <f t="shared" si="3"/>
        <v>0</v>
      </c>
      <c r="ER66" s="13">
        <v>0</v>
      </c>
      <c r="ES66" s="25">
        <f t="shared" si="4"/>
        <v>0</v>
      </c>
      <c r="ET66" s="13">
        <v>0</v>
      </c>
      <c r="EU66" s="25">
        <f t="shared" si="5"/>
        <v>0</v>
      </c>
      <c r="EV66" s="13">
        <v>0</v>
      </c>
      <c r="EW66" s="13">
        <v>0</v>
      </c>
      <c r="EX66" s="13">
        <v>0</v>
      </c>
      <c r="EY66" s="13">
        <v>0</v>
      </c>
      <c r="EZ66" s="13">
        <v>0</v>
      </c>
      <c r="FA66" s="13">
        <v>0</v>
      </c>
      <c r="FB66" s="13">
        <v>0</v>
      </c>
      <c r="FC66" s="13">
        <v>0</v>
      </c>
      <c r="FD66" s="13">
        <v>0</v>
      </c>
      <c r="FE66" s="13">
        <v>0</v>
      </c>
      <c r="FF66" s="13">
        <v>0</v>
      </c>
      <c r="FG66" s="13">
        <v>0</v>
      </c>
      <c r="FH66" s="13">
        <v>0</v>
      </c>
      <c r="FI66" s="13">
        <v>0</v>
      </c>
    </row>
    <row r="67" spans="1:165" x14ac:dyDescent="0.4">
      <c r="A67" s="35" t="s">
        <v>27</v>
      </c>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v>0</v>
      </c>
      <c r="BW67" s="16">
        <v>0</v>
      </c>
      <c r="BX67" s="16">
        <v>0</v>
      </c>
      <c r="BY67" s="16">
        <v>0</v>
      </c>
      <c r="BZ67" s="16">
        <v>0</v>
      </c>
      <c r="CA67" s="16">
        <v>0</v>
      </c>
      <c r="CB67" s="16">
        <v>0</v>
      </c>
      <c r="CC67" s="16">
        <v>0</v>
      </c>
      <c r="CD67" s="16">
        <v>0</v>
      </c>
      <c r="CE67" s="16">
        <v>0</v>
      </c>
      <c r="CF67" s="16">
        <v>0</v>
      </c>
      <c r="CG67" s="16">
        <v>0</v>
      </c>
      <c r="CH67" s="16">
        <v>0</v>
      </c>
      <c r="CI67" s="16">
        <v>0</v>
      </c>
      <c r="CJ67" s="16">
        <v>0</v>
      </c>
      <c r="CK67" s="16">
        <v>0</v>
      </c>
      <c r="CL67" s="16">
        <v>0</v>
      </c>
      <c r="CM67" s="16">
        <v>0</v>
      </c>
      <c r="CN67" s="16">
        <v>0</v>
      </c>
      <c r="CO67" s="16">
        <v>0</v>
      </c>
      <c r="CP67" s="7">
        <v>0</v>
      </c>
      <c r="CQ67" s="7">
        <v>0</v>
      </c>
      <c r="CR67" s="7">
        <v>0</v>
      </c>
      <c r="CS67" s="7">
        <v>0</v>
      </c>
      <c r="CT67" s="7">
        <v>0</v>
      </c>
      <c r="CU67" s="7">
        <v>0</v>
      </c>
      <c r="CV67" s="7">
        <v>0</v>
      </c>
      <c r="CW67" s="7">
        <v>0</v>
      </c>
      <c r="CX67" s="7">
        <v>4018</v>
      </c>
      <c r="CY67" s="7">
        <v>4023</v>
      </c>
      <c r="CZ67" s="7">
        <v>4054</v>
      </c>
      <c r="DA67" s="7">
        <v>4060</v>
      </c>
      <c r="DB67" s="7">
        <v>4094</v>
      </c>
      <c r="DC67" s="7">
        <v>4109</v>
      </c>
      <c r="DD67" s="7">
        <v>4003</v>
      </c>
      <c r="DE67" s="7">
        <v>4001</v>
      </c>
      <c r="DF67" s="7">
        <v>4043</v>
      </c>
      <c r="DG67" s="7">
        <v>4030</v>
      </c>
      <c r="DH67" s="7">
        <v>4058</v>
      </c>
      <c r="DI67" s="7">
        <v>4091</v>
      </c>
      <c r="DJ67" s="13">
        <v>0</v>
      </c>
      <c r="DK67" s="13">
        <v>0</v>
      </c>
      <c r="DL67" s="13">
        <v>0</v>
      </c>
      <c r="DM67" s="13">
        <v>0</v>
      </c>
      <c r="DN67" s="13">
        <v>0</v>
      </c>
      <c r="DO67" s="13">
        <v>0</v>
      </c>
      <c r="DP67" s="13">
        <v>0</v>
      </c>
      <c r="DQ67" s="13">
        <v>0</v>
      </c>
      <c r="DR67" s="13">
        <v>0</v>
      </c>
      <c r="DS67" s="13">
        <v>0</v>
      </c>
      <c r="DT67" s="13">
        <v>0</v>
      </c>
      <c r="DU67" s="13">
        <v>0</v>
      </c>
      <c r="DV67" s="13">
        <v>0</v>
      </c>
      <c r="DW67" s="13">
        <v>0</v>
      </c>
      <c r="DX67" s="13">
        <v>0</v>
      </c>
      <c r="DY67" s="13">
        <v>0</v>
      </c>
      <c r="DZ67" s="13">
        <v>0</v>
      </c>
      <c r="EA67" s="13">
        <v>0</v>
      </c>
      <c r="EB67" s="13">
        <v>0</v>
      </c>
      <c r="EC67" s="13">
        <v>0</v>
      </c>
      <c r="ED67" s="13">
        <v>0</v>
      </c>
      <c r="EE67" s="13">
        <v>0</v>
      </c>
      <c r="EF67" s="13">
        <v>0</v>
      </c>
      <c r="EG67" s="13">
        <v>0</v>
      </c>
      <c r="EH67" s="13">
        <v>0</v>
      </c>
      <c r="EI67" s="13">
        <v>0</v>
      </c>
      <c r="EJ67" s="13">
        <v>0</v>
      </c>
      <c r="EK67" s="25">
        <f t="shared" si="0"/>
        <v>0</v>
      </c>
      <c r="EL67" s="13">
        <v>0</v>
      </c>
      <c r="EM67" s="25">
        <f t="shared" si="1"/>
        <v>0</v>
      </c>
      <c r="EN67" s="13">
        <v>0</v>
      </c>
      <c r="EO67" s="25">
        <f t="shared" si="2"/>
        <v>0</v>
      </c>
      <c r="EP67" s="13">
        <v>0</v>
      </c>
      <c r="EQ67" s="25">
        <f t="shared" si="3"/>
        <v>0</v>
      </c>
      <c r="ER67" s="13">
        <v>0</v>
      </c>
      <c r="ES67" s="25">
        <f t="shared" si="4"/>
        <v>0</v>
      </c>
      <c r="ET67" s="13">
        <v>0</v>
      </c>
      <c r="EU67" s="25">
        <f t="shared" si="5"/>
        <v>0</v>
      </c>
      <c r="EV67" s="13">
        <v>0</v>
      </c>
      <c r="EW67" s="13">
        <v>0</v>
      </c>
      <c r="EX67" s="13">
        <v>0</v>
      </c>
      <c r="EY67" s="13">
        <v>0</v>
      </c>
      <c r="EZ67" s="13">
        <v>0</v>
      </c>
      <c r="FA67" s="13">
        <v>0</v>
      </c>
      <c r="FB67" s="13">
        <v>0</v>
      </c>
      <c r="FC67" s="13">
        <v>0</v>
      </c>
      <c r="FD67" s="13">
        <v>0</v>
      </c>
      <c r="FE67" s="13">
        <v>0</v>
      </c>
      <c r="FF67" s="13">
        <v>0</v>
      </c>
      <c r="FG67" s="13">
        <v>0</v>
      </c>
      <c r="FH67" s="13">
        <v>0</v>
      </c>
      <c r="FI67" s="13">
        <v>0</v>
      </c>
    </row>
    <row r="68" spans="1:165" x14ac:dyDescent="0.4">
      <c r="A68" s="35" t="s">
        <v>30</v>
      </c>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v>7056</v>
      </c>
      <c r="BW68" s="16">
        <v>7076</v>
      </c>
      <c r="BX68" s="16">
        <v>7097</v>
      </c>
      <c r="BY68" s="16">
        <v>7004</v>
      </c>
      <c r="BZ68" s="16">
        <v>7045</v>
      </c>
      <c r="CA68" s="16">
        <v>7041</v>
      </c>
      <c r="CB68" s="16">
        <v>7037</v>
      </c>
      <c r="CC68" s="16">
        <v>7055</v>
      </c>
      <c r="CD68" s="16">
        <v>7109</v>
      </c>
      <c r="CE68" s="16">
        <v>4097</v>
      </c>
      <c r="CF68" s="16">
        <v>7113</v>
      </c>
      <c r="CG68" s="16">
        <v>7081</v>
      </c>
      <c r="CH68" s="16">
        <v>7092</v>
      </c>
      <c r="CI68" s="16">
        <v>7099</v>
      </c>
      <c r="CJ68" s="16">
        <v>7352</v>
      </c>
      <c r="CK68" s="16">
        <v>7269</v>
      </c>
      <c r="CL68" s="16">
        <v>7089</v>
      </c>
      <c r="CM68" s="16">
        <v>7119</v>
      </c>
      <c r="CN68" s="16">
        <v>7302</v>
      </c>
      <c r="CO68" s="16">
        <v>7336</v>
      </c>
      <c r="CP68" s="7">
        <v>7390</v>
      </c>
      <c r="CQ68" s="7">
        <v>7457</v>
      </c>
      <c r="CR68" s="7">
        <v>7163</v>
      </c>
      <c r="CS68" s="7">
        <v>7208</v>
      </c>
      <c r="CT68" s="7">
        <v>7263</v>
      </c>
      <c r="CU68" s="7">
        <v>7306</v>
      </c>
      <c r="CV68" s="7">
        <v>7303</v>
      </c>
      <c r="CW68" s="7">
        <v>7327</v>
      </c>
      <c r="CX68" s="7">
        <v>3029</v>
      </c>
      <c r="CY68" s="7">
        <v>3048</v>
      </c>
      <c r="CZ68" s="7">
        <v>3070</v>
      </c>
      <c r="DA68" s="7">
        <v>3084</v>
      </c>
      <c r="DB68" s="7">
        <v>3105</v>
      </c>
      <c r="DC68" s="7">
        <v>3123</v>
      </c>
      <c r="DD68" s="7">
        <v>0</v>
      </c>
      <c r="DE68" s="7">
        <v>0</v>
      </c>
      <c r="DF68" s="7">
        <v>0</v>
      </c>
      <c r="DG68" s="7">
        <v>0</v>
      </c>
      <c r="DH68" s="7">
        <v>0</v>
      </c>
      <c r="DI68" s="7">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25">
        <f t="shared" si="0"/>
        <v>0</v>
      </c>
      <c r="EL68" s="13">
        <v>0</v>
      </c>
      <c r="EM68" s="25">
        <f t="shared" si="1"/>
        <v>0</v>
      </c>
      <c r="EN68" s="13">
        <v>0</v>
      </c>
      <c r="EO68" s="25">
        <f t="shared" si="2"/>
        <v>0</v>
      </c>
      <c r="EP68" s="13">
        <v>0</v>
      </c>
      <c r="EQ68" s="25">
        <f t="shared" si="3"/>
        <v>0</v>
      </c>
      <c r="ER68" s="13">
        <v>0</v>
      </c>
      <c r="ES68" s="25">
        <f t="shared" si="4"/>
        <v>0</v>
      </c>
      <c r="ET68" s="13">
        <v>0</v>
      </c>
      <c r="EU68" s="25">
        <f t="shared" si="5"/>
        <v>0</v>
      </c>
      <c r="EV68" s="13">
        <v>0</v>
      </c>
      <c r="EW68" s="13">
        <v>0</v>
      </c>
      <c r="EX68" s="13">
        <v>0</v>
      </c>
      <c r="EY68" s="13">
        <v>0</v>
      </c>
      <c r="EZ68" s="13">
        <v>0</v>
      </c>
      <c r="FA68" s="13">
        <v>0</v>
      </c>
      <c r="FB68" s="13">
        <v>0</v>
      </c>
      <c r="FC68" s="13">
        <v>0</v>
      </c>
      <c r="FD68" s="13">
        <v>0</v>
      </c>
      <c r="FE68" s="13">
        <v>0</v>
      </c>
      <c r="FF68" s="13">
        <v>0</v>
      </c>
      <c r="FG68" s="13">
        <v>0</v>
      </c>
      <c r="FH68" s="13">
        <v>0</v>
      </c>
      <c r="FI68" s="13">
        <v>0</v>
      </c>
    </row>
    <row r="69" spans="1:165" x14ac:dyDescent="0.4">
      <c r="A69" s="34" t="s">
        <v>5</v>
      </c>
      <c r="B69" s="16">
        <v>1001997</v>
      </c>
      <c r="C69" s="16">
        <v>1007218</v>
      </c>
      <c r="D69" s="16">
        <v>1041685</v>
      </c>
      <c r="E69" s="16">
        <v>1093155</v>
      </c>
      <c r="F69" s="16">
        <v>1107160</v>
      </c>
      <c r="G69" s="16">
        <v>1111270</v>
      </c>
      <c r="H69" s="16">
        <v>1125622</v>
      </c>
      <c r="I69" s="16">
        <v>1130032</v>
      </c>
      <c r="J69" s="16">
        <v>1164413</v>
      </c>
      <c r="K69" s="16">
        <v>1206301</v>
      </c>
      <c r="L69" s="16">
        <v>1246197</v>
      </c>
      <c r="M69" s="16">
        <v>1251091</v>
      </c>
      <c r="N69" s="16">
        <v>1258019</v>
      </c>
      <c r="O69" s="16">
        <v>1371849</v>
      </c>
      <c r="P69" s="16">
        <v>1425934</v>
      </c>
      <c r="Q69" s="16">
        <v>1385734</v>
      </c>
      <c r="R69" s="16">
        <v>1424414</v>
      </c>
      <c r="S69" s="16">
        <v>1411261</v>
      </c>
      <c r="T69" s="16">
        <v>1399663</v>
      </c>
      <c r="U69" s="16">
        <v>1597982</v>
      </c>
      <c r="V69" s="16">
        <v>1577472</v>
      </c>
      <c r="W69" s="16">
        <v>1566506</v>
      </c>
      <c r="X69" s="16">
        <v>1553482</v>
      </c>
      <c r="Y69" s="16">
        <v>1553055</v>
      </c>
      <c r="Z69" s="16">
        <v>1638546</v>
      </c>
      <c r="AA69" s="16">
        <v>1652048</v>
      </c>
      <c r="AB69" s="16">
        <v>1668148</v>
      </c>
      <c r="AC69" s="16">
        <v>1682024</v>
      </c>
      <c r="AD69" s="16">
        <v>1709247</v>
      </c>
      <c r="AE69" s="16">
        <v>1741792</v>
      </c>
      <c r="AF69" s="16">
        <v>1748164</v>
      </c>
      <c r="AG69" s="16">
        <v>1792975</v>
      </c>
      <c r="AH69" s="16">
        <v>1826517</v>
      </c>
      <c r="AI69" s="16">
        <v>1844856</v>
      </c>
      <c r="AJ69" s="16">
        <v>1883278</v>
      </c>
      <c r="AK69" s="16">
        <v>1916626</v>
      </c>
      <c r="AL69" s="16">
        <v>1936289</v>
      </c>
      <c r="AM69" s="16">
        <v>1952581</v>
      </c>
      <c r="AN69" s="16">
        <v>1958827</v>
      </c>
      <c r="AO69" s="16">
        <v>1980550</v>
      </c>
      <c r="AP69" s="16">
        <v>2099877</v>
      </c>
      <c r="AQ69" s="16">
        <v>2122890</v>
      </c>
      <c r="AR69" s="16">
        <v>2119380</v>
      </c>
      <c r="AS69" s="16">
        <v>2123806</v>
      </c>
      <c r="AT69" s="16">
        <v>2122477</v>
      </c>
      <c r="AU69" s="16">
        <v>2132128</v>
      </c>
      <c r="AV69" s="16">
        <v>2184584</v>
      </c>
      <c r="AW69" s="16">
        <v>2180655</v>
      </c>
      <c r="AX69" s="16">
        <v>2209212</v>
      </c>
      <c r="AY69" s="16">
        <v>2220476</v>
      </c>
      <c r="AZ69" s="16">
        <v>2246599</v>
      </c>
      <c r="BA69" s="16">
        <v>2260165</v>
      </c>
      <c r="BB69" s="16">
        <v>2282696</v>
      </c>
      <c r="BC69" s="16">
        <v>2294705</v>
      </c>
      <c r="BD69" s="16">
        <v>2430774</v>
      </c>
      <c r="BE69" s="16">
        <v>2417758</v>
      </c>
      <c r="BF69" s="16">
        <v>2485427</v>
      </c>
      <c r="BG69" s="16">
        <v>2454887</v>
      </c>
      <c r="BH69" s="16">
        <v>2440317</v>
      </c>
      <c r="BI69" s="16">
        <v>2436011</v>
      </c>
      <c r="BJ69" s="16">
        <v>2411532</v>
      </c>
      <c r="BK69" s="16">
        <v>2410994</v>
      </c>
      <c r="BL69" s="16">
        <v>2418178</v>
      </c>
      <c r="BM69" s="16">
        <v>2502415</v>
      </c>
      <c r="BN69" s="16">
        <v>2457106</v>
      </c>
      <c r="BO69" s="16">
        <v>2519454</v>
      </c>
      <c r="BP69" s="16">
        <v>2476035</v>
      </c>
      <c r="BQ69" s="16">
        <v>2408168</v>
      </c>
      <c r="BR69" s="16">
        <v>2356013</v>
      </c>
      <c r="BS69" s="16">
        <v>2275858</v>
      </c>
      <c r="BT69" s="16">
        <v>2305414</v>
      </c>
      <c r="BU69" s="16">
        <v>2253862</v>
      </c>
      <c r="BV69" s="16">
        <v>2302297</v>
      </c>
      <c r="BW69" s="16">
        <v>2392481</v>
      </c>
      <c r="BX69" s="16">
        <v>2437533</v>
      </c>
      <c r="BY69" s="16">
        <v>2511051</v>
      </c>
      <c r="BZ69" s="16">
        <v>2467581</v>
      </c>
      <c r="CA69" s="16">
        <v>2541461</v>
      </c>
      <c r="CB69" s="16">
        <v>2584016</v>
      </c>
      <c r="CC69" s="16">
        <v>2564401</v>
      </c>
      <c r="CD69" s="16">
        <v>2457173</v>
      </c>
      <c r="CE69" s="16">
        <v>2498557</v>
      </c>
      <c r="CF69" s="16">
        <v>2552550</v>
      </c>
      <c r="CG69" s="16">
        <v>2497265</v>
      </c>
      <c r="CH69" s="16">
        <v>2664930</v>
      </c>
      <c r="CI69" s="16">
        <v>2635366</v>
      </c>
      <c r="CJ69" s="16">
        <v>2888285</v>
      </c>
      <c r="CK69" s="16">
        <v>2679855</v>
      </c>
      <c r="CL69" s="16">
        <v>2700427</v>
      </c>
      <c r="CM69" s="16">
        <v>2683782</v>
      </c>
      <c r="CN69" s="16">
        <v>2713728</v>
      </c>
      <c r="CO69" s="16">
        <v>2762701</v>
      </c>
      <c r="CP69" s="7">
        <v>2739667</v>
      </c>
      <c r="CQ69" s="7">
        <v>2755946</v>
      </c>
      <c r="CR69" s="7">
        <v>2696836</v>
      </c>
      <c r="CS69" s="7">
        <v>2833264</v>
      </c>
      <c r="CT69" s="7">
        <v>3182096</v>
      </c>
      <c r="CU69" s="7">
        <v>3152671</v>
      </c>
      <c r="CV69" s="7">
        <v>3139918</v>
      </c>
      <c r="CW69" s="7">
        <v>3093287</v>
      </c>
      <c r="CX69" s="7">
        <v>3159978</v>
      </c>
      <c r="CY69" s="7">
        <v>3259480</v>
      </c>
      <c r="CZ69" s="7">
        <v>3028517</v>
      </c>
      <c r="DA69" s="7">
        <v>3034545</v>
      </c>
      <c r="DB69" s="7">
        <v>3068350</v>
      </c>
      <c r="DC69" s="7">
        <v>3152320</v>
      </c>
      <c r="DD69" s="7">
        <v>3193178</v>
      </c>
      <c r="DE69" s="7">
        <v>3317091</v>
      </c>
      <c r="DF69" s="7">
        <v>3572195</v>
      </c>
      <c r="DG69" s="7">
        <v>3529582</v>
      </c>
      <c r="DH69" s="7">
        <v>3407213</v>
      </c>
      <c r="DI69" s="7">
        <v>3288784</v>
      </c>
      <c r="DJ69" s="13">
        <v>3297553</v>
      </c>
      <c r="DK69" s="13">
        <v>3468984</v>
      </c>
      <c r="DL69" s="13">
        <v>3488835</v>
      </c>
      <c r="DM69" s="13">
        <v>3611093</v>
      </c>
      <c r="DN69" s="13">
        <v>3794765</v>
      </c>
      <c r="DO69" s="13">
        <v>3854886</v>
      </c>
      <c r="DP69" s="13">
        <v>3864519</v>
      </c>
      <c r="DQ69" s="13">
        <v>4124852</v>
      </c>
      <c r="DR69" s="13">
        <v>4513338</v>
      </c>
      <c r="DS69" s="13">
        <v>4510017</v>
      </c>
      <c r="DT69" s="13">
        <v>4468360</v>
      </c>
      <c r="DU69" s="13">
        <v>4498605</v>
      </c>
      <c r="DV69" s="13">
        <v>4765502</v>
      </c>
      <c r="DW69" s="13">
        <v>4774317</v>
      </c>
      <c r="DX69" s="13">
        <v>4849960</v>
      </c>
      <c r="DY69" s="13">
        <v>5206187</v>
      </c>
      <c r="DZ69" s="13">
        <v>5701510</v>
      </c>
      <c r="EA69" s="13">
        <v>5852501</v>
      </c>
      <c r="EB69" s="13">
        <v>5801345</v>
      </c>
      <c r="EC69" s="13">
        <v>5885521</v>
      </c>
      <c r="ED69" s="13">
        <v>7022375</v>
      </c>
      <c r="EE69" s="13">
        <v>7059848</v>
      </c>
      <c r="EF69" s="13">
        <v>7084021</v>
      </c>
      <c r="EG69" s="13">
        <v>7223262</v>
      </c>
      <c r="EH69" s="13">
        <v>7339976</v>
      </c>
      <c r="EI69" s="13">
        <v>7608987</v>
      </c>
      <c r="EJ69" s="13">
        <v>7609504</v>
      </c>
      <c r="EK69" s="25">
        <f t="shared" si="0"/>
        <v>239660</v>
      </c>
      <c r="EL69" s="13">
        <v>7849164</v>
      </c>
      <c r="EM69" s="25">
        <f t="shared" si="1"/>
        <v>124504</v>
      </c>
      <c r="EN69" s="13">
        <v>7973668</v>
      </c>
      <c r="EO69" s="25">
        <f t="shared" si="2"/>
        <v>420442</v>
      </c>
      <c r="EP69" s="13">
        <v>8394110</v>
      </c>
      <c r="EQ69" s="25">
        <f t="shared" si="3"/>
        <v>156140</v>
      </c>
      <c r="ER69" s="13">
        <v>8550250</v>
      </c>
      <c r="ES69" s="25">
        <f t="shared" si="4"/>
        <v>-136549</v>
      </c>
      <c r="ET69" s="13">
        <v>8413701</v>
      </c>
      <c r="EU69" s="25">
        <f t="shared" si="5"/>
        <v>1419440</v>
      </c>
      <c r="EV69" s="13">
        <v>9833141</v>
      </c>
      <c r="EW69" s="13">
        <v>9997207</v>
      </c>
      <c r="EX69" s="13">
        <v>10058351</v>
      </c>
      <c r="EY69" s="13">
        <v>10183528</v>
      </c>
      <c r="EZ69" s="13">
        <v>10652110</v>
      </c>
      <c r="FA69" s="13">
        <v>10629149</v>
      </c>
      <c r="FB69" s="13">
        <v>10542510</v>
      </c>
      <c r="FC69" s="13">
        <v>11011448</v>
      </c>
      <c r="FD69" s="13">
        <v>11267433</v>
      </c>
      <c r="FE69" s="13">
        <v>11250737</v>
      </c>
      <c r="FF69" s="13">
        <v>11409390</v>
      </c>
      <c r="FG69" s="13">
        <v>11541274</v>
      </c>
      <c r="FH69" s="13">
        <v>12595782</v>
      </c>
      <c r="FI69" s="13">
        <v>12592732</v>
      </c>
    </row>
    <row r="70" spans="1:165" x14ac:dyDescent="0.4">
      <c r="A70" s="35" t="s">
        <v>13</v>
      </c>
      <c r="B70" s="16">
        <v>0</v>
      </c>
      <c r="C70" s="16">
        <v>0</v>
      </c>
      <c r="D70" s="16">
        <v>0</v>
      </c>
      <c r="E70" s="16">
        <v>0</v>
      </c>
      <c r="F70" s="16">
        <v>0</v>
      </c>
      <c r="G70" s="16">
        <v>0</v>
      </c>
      <c r="H70" s="16">
        <v>0</v>
      </c>
      <c r="I70" s="16">
        <v>0</v>
      </c>
      <c r="J70" s="16">
        <v>0</v>
      </c>
      <c r="K70" s="16">
        <v>0</v>
      </c>
      <c r="L70" s="16">
        <v>0</v>
      </c>
      <c r="M70" s="16">
        <v>0</v>
      </c>
      <c r="N70" s="16">
        <v>0</v>
      </c>
      <c r="O70" s="16">
        <v>0</v>
      </c>
      <c r="P70" s="16">
        <v>0</v>
      </c>
      <c r="Q70" s="16">
        <v>873</v>
      </c>
      <c r="R70" s="16">
        <v>873</v>
      </c>
      <c r="S70" s="16">
        <v>873</v>
      </c>
      <c r="T70" s="16">
        <v>873</v>
      </c>
      <c r="U70" s="16">
        <v>873</v>
      </c>
      <c r="V70" s="16">
        <v>873</v>
      </c>
      <c r="W70" s="16">
        <v>873</v>
      </c>
      <c r="X70" s="16">
        <v>873</v>
      </c>
      <c r="Y70" s="16">
        <v>873</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30</v>
      </c>
      <c r="AX70" s="16">
        <v>30</v>
      </c>
      <c r="AY70" s="16">
        <v>30</v>
      </c>
      <c r="AZ70" s="16">
        <v>30</v>
      </c>
      <c r="BA70" s="16">
        <v>80</v>
      </c>
      <c r="BB70" s="16">
        <v>80</v>
      </c>
      <c r="BC70" s="16">
        <v>80</v>
      </c>
      <c r="BD70" s="16">
        <v>108</v>
      </c>
      <c r="BE70" s="16">
        <v>108</v>
      </c>
      <c r="BF70" s="16">
        <v>138</v>
      </c>
      <c r="BG70" s="16">
        <v>138</v>
      </c>
      <c r="BH70" s="16">
        <v>138</v>
      </c>
      <c r="BI70" s="16">
        <v>108</v>
      </c>
      <c r="BJ70" s="16">
        <v>148</v>
      </c>
      <c r="BK70" s="16">
        <v>28148</v>
      </c>
      <c r="BL70" s="16">
        <v>47018</v>
      </c>
      <c r="BM70" s="16">
        <v>50759</v>
      </c>
      <c r="BN70" s="16">
        <v>56009</v>
      </c>
      <c r="BO70" s="16">
        <v>91438</v>
      </c>
      <c r="BP70" s="16">
        <v>40431</v>
      </c>
      <c r="BQ70" s="16">
        <v>51680</v>
      </c>
      <c r="BR70" s="16">
        <v>47715</v>
      </c>
      <c r="BS70" s="16">
        <v>14063</v>
      </c>
      <c r="BT70" s="16">
        <v>40465</v>
      </c>
      <c r="BU70" s="16">
        <v>20351</v>
      </c>
      <c r="BV70" s="16">
        <v>8492</v>
      </c>
      <c r="BW70" s="16">
        <v>15846</v>
      </c>
      <c r="BX70" s="16">
        <v>41851</v>
      </c>
      <c r="BY70" s="16">
        <v>20928</v>
      </c>
      <c r="BZ70" s="16">
        <v>19813</v>
      </c>
      <c r="CA70" s="16">
        <v>24244</v>
      </c>
      <c r="CB70" s="16">
        <v>41841</v>
      </c>
      <c r="CC70" s="16">
        <v>24535</v>
      </c>
      <c r="CD70" s="16">
        <v>22116</v>
      </c>
      <c r="CE70" s="16">
        <v>25274</v>
      </c>
      <c r="CF70" s="16">
        <v>4787</v>
      </c>
      <c r="CG70" s="16">
        <v>3128</v>
      </c>
      <c r="CH70" s="16">
        <v>8144</v>
      </c>
      <c r="CI70" s="16">
        <v>3358</v>
      </c>
      <c r="CJ70" s="16">
        <v>42218</v>
      </c>
      <c r="CK70" s="16">
        <v>1632</v>
      </c>
      <c r="CL70" s="16">
        <v>167</v>
      </c>
      <c r="CM70" s="16">
        <v>1832</v>
      </c>
      <c r="CN70" s="16">
        <v>2454</v>
      </c>
      <c r="CO70" s="16">
        <v>5231</v>
      </c>
      <c r="CP70" s="7">
        <v>2929</v>
      </c>
      <c r="CQ70" s="7">
        <v>6399</v>
      </c>
      <c r="CR70" s="7">
        <v>7253</v>
      </c>
      <c r="CS70" s="7">
        <v>8156</v>
      </c>
      <c r="CT70" s="7">
        <v>8332</v>
      </c>
      <c r="CU70" s="7">
        <v>8998</v>
      </c>
      <c r="CV70" s="7">
        <v>15990</v>
      </c>
      <c r="CW70" s="7">
        <v>14784</v>
      </c>
      <c r="CX70" s="7">
        <v>19243</v>
      </c>
      <c r="CY70" s="7">
        <v>22528</v>
      </c>
      <c r="CZ70" s="7">
        <v>29394</v>
      </c>
      <c r="DA70" s="7">
        <v>26265</v>
      </c>
      <c r="DB70" s="7">
        <v>31406</v>
      </c>
      <c r="DC70" s="7">
        <v>21063</v>
      </c>
      <c r="DD70" s="7">
        <v>28964</v>
      </c>
      <c r="DE70" s="7">
        <v>57846</v>
      </c>
      <c r="DF70" s="7">
        <v>56961</v>
      </c>
      <c r="DG70" s="7">
        <v>61972</v>
      </c>
      <c r="DH70" s="7">
        <v>68301</v>
      </c>
      <c r="DI70" s="7">
        <v>59789</v>
      </c>
      <c r="DJ70" s="13">
        <v>61449</v>
      </c>
      <c r="DK70" s="13">
        <v>61796</v>
      </c>
      <c r="DL70" s="13">
        <v>62873</v>
      </c>
      <c r="DM70" s="13">
        <v>82600</v>
      </c>
      <c r="DN70" s="13">
        <v>83335</v>
      </c>
      <c r="DO70" s="13">
        <v>113177</v>
      </c>
      <c r="DP70" s="13">
        <v>67157</v>
      </c>
      <c r="DQ70" s="13">
        <v>57680</v>
      </c>
      <c r="DR70" s="13">
        <v>63348</v>
      </c>
      <c r="DS70" s="13">
        <v>72306</v>
      </c>
      <c r="DT70" s="13">
        <v>53656</v>
      </c>
      <c r="DU70" s="13">
        <v>54490</v>
      </c>
      <c r="DV70" s="13">
        <v>56159</v>
      </c>
      <c r="DW70" s="13">
        <v>59155</v>
      </c>
      <c r="DX70" s="13">
        <v>78317</v>
      </c>
      <c r="DY70" s="13">
        <v>64450</v>
      </c>
      <c r="DZ70" s="13">
        <v>78803</v>
      </c>
      <c r="EA70" s="13">
        <v>109762</v>
      </c>
      <c r="EB70" s="13">
        <v>93737</v>
      </c>
      <c r="EC70" s="13">
        <v>102267</v>
      </c>
      <c r="ED70" s="13">
        <v>104272</v>
      </c>
      <c r="EE70" s="13">
        <v>105395</v>
      </c>
      <c r="EF70" s="13">
        <v>30240</v>
      </c>
      <c r="EG70" s="13">
        <v>116079</v>
      </c>
      <c r="EH70" s="13">
        <v>170813</v>
      </c>
      <c r="EI70" s="13">
        <v>234506</v>
      </c>
      <c r="EJ70" s="13">
        <v>217461</v>
      </c>
      <c r="EK70" s="25">
        <f t="shared" si="0"/>
        <v>-46740</v>
      </c>
      <c r="EL70" s="13">
        <v>170721</v>
      </c>
      <c r="EM70" s="25">
        <f t="shared" si="1"/>
        <v>-52763</v>
      </c>
      <c r="EN70" s="13">
        <v>117958</v>
      </c>
      <c r="EO70" s="25">
        <f t="shared" si="2"/>
        <v>45688</v>
      </c>
      <c r="EP70" s="13">
        <v>163646</v>
      </c>
      <c r="EQ70" s="25">
        <f t="shared" si="3"/>
        <v>-55186</v>
      </c>
      <c r="ER70" s="13">
        <v>108460</v>
      </c>
      <c r="ES70" s="25">
        <f t="shared" si="4"/>
        <v>-14562</v>
      </c>
      <c r="ET70" s="13">
        <v>93898</v>
      </c>
      <c r="EU70" s="25">
        <f t="shared" si="5"/>
        <v>183840</v>
      </c>
      <c r="EV70" s="13">
        <v>277738</v>
      </c>
      <c r="EW70" s="13">
        <v>276837</v>
      </c>
      <c r="EX70" s="13">
        <v>299026</v>
      </c>
      <c r="EY70" s="13">
        <v>299978</v>
      </c>
      <c r="EZ70" s="13">
        <v>293393</v>
      </c>
      <c r="FA70" s="13">
        <v>337081</v>
      </c>
      <c r="FB70" s="13">
        <v>321514</v>
      </c>
      <c r="FC70" s="13">
        <v>336358</v>
      </c>
      <c r="FD70" s="13">
        <v>381834</v>
      </c>
      <c r="FE70" s="13">
        <v>316831</v>
      </c>
      <c r="FF70" s="13">
        <v>340308</v>
      </c>
      <c r="FG70" s="13">
        <v>266614</v>
      </c>
      <c r="FH70" s="13">
        <v>250033</v>
      </c>
      <c r="FI70" s="13">
        <v>264446</v>
      </c>
    </row>
    <row r="71" spans="1:165" x14ac:dyDescent="0.4">
      <c r="A71" s="35" t="s">
        <v>14</v>
      </c>
      <c r="B71" s="16">
        <v>1001997</v>
      </c>
      <c r="C71" s="16">
        <v>1007218</v>
      </c>
      <c r="D71" s="16">
        <v>1041685</v>
      </c>
      <c r="E71" s="16">
        <v>1093155</v>
      </c>
      <c r="F71" s="16">
        <v>1107160</v>
      </c>
      <c r="G71" s="16">
        <v>1111270</v>
      </c>
      <c r="H71" s="16">
        <v>1125622</v>
      </c>
      <c r="I71" s="16">
        <v>1130032</v>
      </c>
      <c r="J71" s="16">
        <v>1164413</v>
      </c>
      <c r="K71" s="16">
        <v>1206301</v>
      </c>
      <c r="L71" s="16">
        <v>1246197</v>
      </c>
      <c r="M71" s="16">
        <v>1251091</v>
      </c>
      <c r="N71" s="16">
        <v>1258019</v>
      </c>
      <c r="O71" s="16">
        <v>1371849</v>
      </c>
      <c r="P71" s="16">
        <v>1425934</v>
      </c>
      <c r="Q71" s="16">
        <v>1384861</v>
      </c>
      <c r="R71" s="16">
        <v>1423541</v>
      </c>
      <c r="S71" s="16">
        <v>1410388</v>
      </c>
      <c r="T71" s="16">
        <v>1398790</v>
      </c>
      <c r="U71" s="16">
        <v>1597109</v>
      </c>
      <c r="V71" s="16">
        <v>1576599</v>
      </c>
      <c r="W71" s="16">
        <v>1565633</v>
      </c>
      <c r="X71" s="16">
        <v>1552609</v>
      </c>
      <c r="Y71" s="16">
        <v>1552182</v>
      </c>
      <c r="Z71" s="16">
        <v>1638546</v>
      </c>
      <c r="AA71" s="16">
        <v>1652048</v>
      </c>
      <c r="AB71" s="16">
        <v>1668148</v>
      </c>
      <c r="AC71" s="16">
        <v>1682024</v>
      </c>
      <c r="AD71" s="16">
        <v>1709247</v>
      </c>
      <c r="AE71" s="16">
        <v>1741792</v>
      </c>
      <c r="AF71" s="16">
        <v>1748164</v>
      </c>
      <c r="AG71" s="16">
        <v>1792975</v>
      </c>
      <c r="AH71" s="16">
        <v>1826517</v>
      </c>
      <c r="AI71" s="16">
        <v>1844856</v>
      </c>
      <c r="AJ71" s="16">
        <v>1883278</v>
      </c>
      <c r="AK71" s="16">
        <v>1916626</v>
      </c>
      <c r="AL71" s="16">
        <v>1936289</v>
      </c>
      <c r="AM71" s="16">
        <v>1952581</v>
      </c>
      <c r="AN71" s="16">
        <v>1958827</v>
      </c>
      <c r="AO71" s="16">
        <v>1980550</v>
      </c>
      <c r="AP71" s="16">
        <v>2099877</v>
      </c>
      <c r="AQ71" s="16">
        <v>2122890</v>
      </c>
      <c r="AR71" s="16">
        <v>2119380</v>
      </c>
      <c r="AS71" s="16">
        <v>2123806</v>
      </c>
      <c r="AT71" s="16">
        <v>2122477</v>
      </c>
      <c r="AU71" s="16">
        <v>2132128</v>
      </c>
      <c r="AV71" s="16">
        <v>2184584</v>
      </c>
      <c r="AW71" s="16">
        <v>2180625</v>
      </c>
      <c r="AX71" s="16">
        <v>2209182</v>
      </c>
      <c r="AY71" s="16">
        <v>2220446</v>
      </c>
      <c r="AZ71" s="16">
        <v>2246569</v>
      </c>
      <c r="BA71" s="16">
        <v>2260085</v>
      </c>
      <c r="BB71" s="16">
        <v>2282616</v>
      </c>
      <c r="BC71" s="16">
        <v>2294625</v>
      </c>
      <c r="BD71" s="16">
        <v>2430665</v>
      </c>
      <c r="BE71" s="16">
        <v>2417650</v>
      </c>
      <c r="BF71" s="16">
        <v>2485288</v>
      </c>
      <c r="BG71" s="16">
        <v>2454749</v>
      </c>
      <c r="BH71" s="16">
        <v>2440178</v>
      </c>
      <c r="BI71" s="16">
        <v>2435903</v>
      </c>
      <c r="BJ71" s="16">
        <v>2411384</v>
      </c>
      <c r="BK71" s="16">
        <v>2382846</v>
      </c>
      <c r="BL71" s="16">
        <v>2371160</v>
      </c>
      <c r="BM71" s="16">
        <v>2451655</v>
      </c>
      <c r="BN71" s="16">
        <v>2401097</v>
      </c>
      <c r="BO71" s="16">
        <v>2428015</v>
      </c>
      <c r="BP71" s="16">
        <v>2435604</v>
      </c>
      <c r="BQ71" s="16">
        <v>2356487</v>
      </c>
      <c r="BR71" s="16">
        <v>2308298</v>
      </c>
      <c r="BS71" s="16">
        <v>2261795</v>
      </c>
      <c r="BT71" s="16">
        <v>2264949</v>
      </c>
      <c r="BU71" s="16">
        <v>2233510</v>
      </c>
      <c r="BV71" s="16">
        <v>2293805</v>
      </c>
      <c r="BW71" s="16">
        <v>2376635</v>
      </c>
      <c r="BX71" s="16">
        <v>2395683</v>
      </c>
      <c r="BY71" s="16">
        <v>2490122</v>
      </c>
      <c r="BZ71" s="16">
        <v>2447768</v>
      </c>
      <c r="CA71" s="16">
        <v>2517217</v>
      </c>
      <c r="CB71" s="16">
        <v>2542175</v>
      </c>
      <c r="CC71" s="16">
        <v>2539866</v>
      </c>
      <c r="CD71" s="16">
        <v>2435057</v>
      </c>
      <c r="CE71" s="16">
        <v>2473283</v>
      </c>
      <c r="CF71" s="16">
        <v>2547763</v>
      </c>
      <c r="CG71" s="16">
        <v>2494137</v>
      </c>
      <c r="CH71" s="16">
        <v>2656786</v>
      </c>
      <c r="CI71" s="16">
        <v>2632008</v>
      </c>
      <c r="CJ71" s="16">
        <v>2846067</v>
      </c>
      <c r="CK71" s="16">
        <v>2678223</v>
      </c>
      <c r="CL71" s="16">
        <v>2700260</v>
      </c>
      <c r="CM71" s="16">
        <v>2681950</v>
      </c>
      <c r="CN71" s="16">
        <v>2711273</v>
      </c>
      <c r="CO71" s="16">
        <v>2757470</v>
      </c>
      <c r="CP71" s="7">
        <v>2736738</v>
      </c>
      <c r="CQ71" s="7">
        <v>2749547</v>
      </c>
      <c r="CR71" s="7">
        <v>2689583</v>
      </c>
      <c r="CS71" s="7">
        <v>2825108</v>
      </c>
      <c r="CT71" s="7">
        <v>3173764</v>
      </c>
      <c r="CU71" s="7">
        <v>3143673</v>
      </c>
      <c r="CV71" s="7">
        <v>3123928</v>
      </c>
      <c r="CW71" s="7">
        <v>3078503</v>
      </c>
      <c r="CX71" s="7">
        <v>3140735</v>
      </c>
      <c r="CY71" s="7">
        <v>3236952</v>
      </c>
      <c r="CZ71" s="7">
        <v>2999124</v>
      </c>
      <c r="DA71" s="7">
        <v>3008280</v>
      </c>
      <c r="DB71" s="7">
        <v>3036944</v>
      </c>
      <c r="DC71" s="7">
        <v>3131257</v>
      </c>
      <c r="DD71" s="7">
        <v>3164214</v>
      </c>
      <c r="DE71" s="7">
        <v>3259245</v>
      </c>
      <c r="DF71" s="7">
        <v>3515235</v>
      </c>
      <c r="DG71" s="7">
        <v>3467611</v>
      </c>
      <c r="DH71" s="7">
        <v>3338912</v>
      </c>
      <c r="DI71" s="7">
        <v>3228995</v>
      </c>
      <c r="DJ71" s="13">
        <v>3236104</v>
      </c>
      <c r="DK71" s="13">
        <v>3407189</v>
      </c>
      <c r="DL71" s="13">
        <v>3425962</v>
      </c>
      <c r="DM71" s="13">
        <v>3528493</v>
      </c>
      <c r="DN71" s="13">
        <v>3711429</v>
      </c>
      <c r="DO71" s="13">
        <v>3741708</v>
      </c>
      <c r="DP71" s="13">
        <v>3797361</v>
      </c>
      <c r="DQ71" s="13">
        <v>4067172</v>
      </c>
      <c r="DR71" s="13">
        <v>4449990</v>
      </c>
      <c r="DS71" s="13">
        <v>4437711</v>
      </c>
      <c r="DT71" s="13">
        <v>4414705</v>
      </c>
      <c r="DU71" s="13">
        <v>4444115</v>
      </c>
      <c r="DV71" s="13">
        <v>4709344</v>
      </c>
      <c r="DW71" s="13">
        <v>4715161</v>
      </c>
      <c r="DX71" s="13">
        <v>4771643</v>
      </c>
      <c r="DY71" s="13">
        <v>5141737</v>
      </c>
      <c r="DZ71" s="13">
        <v>5622707</v>
      </c>
      <c r="EA71" s="13">
        <v>5742739</v>
      </c>
      <c r="EB71" s="13">
        <v>5707608</v>
      </c>
      <c r="EC71" s="13">
        <v>5783255</v>
      </c>
      <c r="ED71" s="13">
        <v>6918103</v>
      </c>
      <c r="EE71" s="13">
        <v>6954452</v>
      </c>
      <c r="EF71" s="13">
        <v>7053781</v>
      </c>
      <c r="EG71" s="13">
        <v>7107184</v>
      </c>
      <c r="EH71" s="13">
        <v>7169163</v>
      </c>
      <c r="EI71" s="13">
        <v>7374481</v>
      </c>
      <c r="EJ71" s="13">
        <v>7392043</v>
      </c>
      <c r="EK71" s="25">
        <f t="shared" si="0"/>
        <v>286401</v>
      </c>
      <c r="EL71" s="13">
        <v>7678444</v>
      </c>
      <c r="EM71" s="25">
        <f t="shared" si="1"/>
        <v>177266</v>
      </c>
      <c r="EN71" s="13">
        <v>7855710</v>
      </c>
      <c r="EO71" s="25">
        <f t="shared" si="2"/>
        <v>374754</v>
      </c>
      <c r="EP71" s="13">
        <v>8230464</v>
      </c>
      <c r="EQ71" s="25">
        <f t="shared" si="3"/>
        <v>211326</v>
      </c>
      <c r="ER71" s="13">
        <v>8441790</v>
      </c>
      <c r="ES71" s="25">
        <f t="shared" si="4"/>
        <v>-121988</v>
      </c>
      <c r="ET71" s="13">
        <v>8319802</v>
      </c>
      <c r="EU71" s="25">
        <f t="shared" si="5"/>
        <v>1235601</v>
      </c>
      <c r="EV71" s="13">
        <v>9555403</v>
      </c>
      <c r="EW71" s="13">
        <v>9720370</v>
      </c>
      <c r="EX71" s="13">
        <v>9759325</v>
      </c>
      <c r="EY71" s="13">
        <v>9883550</v>
      </c>
      <c r="EZ71" s="13">
        <v>10358717</v>
      </c>
      <c r="FA71" s="13">
        <v>10292069</v>
      </c>
      <c r="FB71" s="13">
        <v>10220997</v>
      </c>
      <c r="FC71" s="13">
        <v>10675090</v>
      </c>
      <c r="FD71" s="13">
        <v>10885599</v>
      </c>
      <c r="FE71" s="13">
        <v>10933906</v>
      </c>
      <c r="FF71" s="13">
        <v>11069082</v>
      </c>
      <c r="FG71" s="13">
        <v>11274660</v>
      </c>
      <c r="FH71" s="13">
        <v>12345750</v>
      </c>
      <c r="FI71" s="13">
        <v>12328285</v>
      </c>
    </row>
    <row r="72" spans="1:165" x14ac:dyDescent="0.4">
      <c r="A72" s="35" t="s">
        <v>27</v>
      </c>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v>114285</v>
      </c>
      <c r="BW72" s="16">
        <v>108097</v>
      </c>
      <c r="BX72" s="16">
        <v>111684</v>
      </c>
      <c r="BY72" s="16">
        <v>110159</v>
      </c>
      <c r="BZ72" s="16">
        <v>108400</v>
      </c>
      <c r="CA72" s="16">
        <v>103413</v>
      </c>
      <c r="CB72" s="16">
        <v>131044</v>
      </c>
      <c r="CC72" s="16">
        <v>121338</v>
      </c>
      <c r="CD72" s="16">
        <v>108961</v>
      </c>
      <c r="CE72" s="16">
        <v>112836</v>
      </c>
      <c r="CF72" s="16">
        <v>147591</v>
      </c>
      <c r="CG72" s="16">
        <v>121483</v>
      </c>
      <c r="CH72" s="16">
        <v>121807</v>
      </c>
      <c r="CI72" s="16">
        <v>121715</v>
      </c>
      <c r="CJ72" s="16">
        <v>130499</v>
      </c>
      <c r="CK72" s="16">
        <v>162145</v>
      </c>
      <c r="CL72" s="16">
        <v>184942</v>
      </c>
      <c r="CM72" s="16">
        <v>174806</v>
      </c>
      <c r="CN72" s="16">
        <v>407531</v>
      </c>
      <c r="CO72" s="16">
        <v>403173</v>
      </c>
      <c r="CP72" s="7">
        <v>420125</v>
      </c>
      <c r="CQ72" s="7">
        <v>420394</v>
      </c>
      <c r="CR72" s="7">
        <v>389735</v>
      </c>
      <c r="CS72" s="7">
        <v>385467</v>
      </c>
      <c r="CT72" s="7">
        <v>402584</v>
      </c>
      <c r="CU72" s="7">
        <v>403574</v>
      </c>
      <c r="CV72" s="7">
        <v>401343</v>
      </c>
      <c r="CW72" s="7">
        <v>395230</v>
      </c>
      <c r="CX72" s="7">
        <v>401163</v>
      </c>
      <c r="CY72" s="7">
        <v>401221</v>
      </c>
      <c r="CZ72" s="7">
        <v>173794</v>
      </c>
      <c r="DA72" s="7">
        <v>176136</v>
      </c>
      <c r="DB72" s="7">
        <v>157476</v>
      </c>
      <c r="DC72" s="7">
        <v>146428</v>
      </c>
      <c r="DD72" s="7">
        <v>141063</v>
      </c>
      <c r="DE72" s="7">
        <v>136696</v>
      </c>
      <c r="DF72" s="7">
        <v>145800</v>
      </c>
      <c r="DG72" s="7">
        <v>155015</v>
      </c>
      <c r="DH72" s="7">
        <v>148997</v>
      </c>
      <c r="DI72" s="7">
        <v>138482</v>
      </c>
      <c r="DJ72" s="13">
        <v>116151</v>
      </c>
      <c r="DK72" s="13">
        <v>124745</v>
      </c>
      <c r="DL72" s="13">
        <v>133029</v>
      </c>
      <c r="DM72" s="13">
        <v>166331</v>
      </c>
      <c r="DN72" s="13">
        <v>166674</v>
      </c>
      <c r="DO72" s="13">
        <v>161772</v>
      </c>
      <c r="DP72" s="13">
        <v>154741</v>
      </c>
      <c r="DQ72" s="13">
        <v>166366</v>
      </c>
      <c r="DR72" s="13">
        <v>162527</v>
      </c>
      <c r="DS72" s="13">
        <v>162592</v>
      </c>
      <c r="DT72" s="13">
        <v>172213</v>
      </c>
      <c r="DU72" s="13">
        <v>180300</v>
      </c>
      <c r="DV72" s="13">
        <v>196301</v>
      </c>
      <c r="DW72" s="13">
        <v>195587</v>
      </c>
      <c r="DX72" s="13">
        <v>153657</v>
      </c>
      <c r="DY72" s="13">
        <v>192054</v>
      </c>
      <c r="DZ72" s="13">
        <v>232640</v>
      </c>
      <c r="EA72" s="13">
        <v>231746</v>
      </c>
      <c r="EB72" s="13">
        <v>229502</v>
      </c>
      <c r="EC72" s="13">
        <v>223689</v>
      </c>
      <c r="ED72" s="13">
        <v>234102</v>
      </c>
      <c r="EE72" s="13">
        <v>221947</v>
      </c>
      <c r="EF72" s="13">
        <v>244761</v>
      </c>
      <c r="EG72" s="13">
        <v>245170</v>
      </c>
      <c r="EH72" s="13">
        <v>244218</v>
      </c>
      <c r="EI72" s="13">
        <v>286858</v>
      </c>
      <c r="EJ72" s="13">
        <v>312419</v>
      </c>
      <c r="EK72" s="25">
        <f t="shared" ref="EK72:EK130" si="6">EL72-EJ72</f>
        <v>-48219</v>
      </c>
      <c r="EL72" s="13">
        <v>264200</v>
      </c>
      <c r="EM72" s="25">
        <f t="shared" ref="EM72:EM130" si="7">EN72-EL72</f>
        <v>88834</v>
      </c>
      <c r="EN72" s="13">
        <v>353034</v>
      </c>
      <c r="EO72" s="25">
        <f t="shared" ref="EO72:EO130" si="8">EP72-EN72</f>
        <v>22341</v>
      </c>
      <c r="EP72" s="13">
        <v>375375</v>
      </c>
      <c r="EQ72" s="25">
        <f t="shared" ref="EQ72:EQ130" si="9">ER72-EP72</f>
        <v>23575</v>
      </c>
      <c r="ER72" s="13">
        <v>398950</v>
      </c>
      <c r="ES72" s="25">
        <f t="shared" ref="ES72:ES130" si="10">ET72-ER72</f>
        <v>29925</v>
      </c>
      <c r="ET72" s="13">
        <v>428875</v>
      </c>
      <c r="EU72" s="25">
        <f t="shared" ref="EU72:EU130" si="11">EV72-ET72</f>
        <v>-12613</v>
      </c>
      <c r="EV72" s="13">
        <v>416262</v>
      </c>
      <c r="EW72" s="13">
        <v>415082</v>
      </c>
      <c r="EX72" s="13">
        <v>417327</v>
      </c>
      <c r="EY72" s="13">
        <v>414208</v>
      </c>
      <c r="EZ72" s="13">
        <v>508729</v>
      </c>
      <c r="FA72" s="13">
        <v>477377</v>
      </c>
      <c r="FB72" s="13">
        <v>480243</v>
      </c>
      <c r="FC72" s="13">
        <v>638721</v>
      </c>
      <c r="FD72" s="13">
        <v>770386</v>
      </c>
      <c r="FE72" s="13">
        <v>779216</v>
      </c>
      <c r="FF72" s="13">
        <v>894322</v>
      </c>
      <c r="FG72" s="13">
        <v>871045</v>
      </c>
      <c r="FH72" s="13">
        <v>802978</v>
      </c>
      <c r="FI72" s="13">
        <v>782291</v>
      </c>
    </row>
    <row r="73" spans="1:165" x14ac:dyDescent="0.4">
      <c r="A73" s="35" t="s">
        <v>30</v>
      </c>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v>2179520</v>
      </c>
      <c r="BW73" s="16">
        <v>2268538</v>
      </c>
      <c r="BX73" s="16">
        <v>2283999</v>
      </c>
      <c r="BY73" s="16">
        <v>2379964</v>
      </c>
      <c r="BZ73" s="16">
        <v>2339368</v>
      </c>
      <c r="CA73" s="16">
        <v>2413804</v>
      </c>
      <c r="CB73" s="16">
        <v>2411131</v>
      </c>
      <c r="CC73" s="16">
        <v>2418528</v>
      </c>
      <c r="CD73" s="16">
        <v>2326096</v>
      </c>
      <c r="CE73" s="16">
        <v>2360447</v>
      </c>
      <c r="CF73" s="16">
        <v>2400172</v>
      </c>
      <c r="CG73" s="16">
        <v>2372654</v>
      </c>
      <c r="CH73" s="16">
        <v>2534979</v>
      </c>
      <c r="CI73" s="16">
        <v>2510293</v>
      </c>
      <c r="CJ73" s="16">
        <v>2715567</v>
      </c>
      <c r="CK73" s="16">
        <v>2516078</v>
      </c>
      <c r="CL73" s="16">
        <v>2515319</v>
      </c>
      <c r="CM73" s="16">
        <v>2507145</v>
      </c>
      <c r="CN73" s="16">
        <v>2303742</v>
      </c>
      <c r="CO73" s="16">
        <v>2354297</v>
      </c>
      <c r="CP73" s="7">
        <v>2316612</v>
      </c>
      <c r="CQ73" s="7">
        <v>2329153</v>
      </c>
      <c r="CR73" s="7">
        <v>2299848</v>
      </c>
      <c r="CS73" s="7">
        <v>2439641</v>
      </c>
      <c r="CT73" s="7">
        <v>2771180</v>
      </c>
      <c r="CU73" s="7">
        <v>2740099</v>
      </c>
      <c r="CV73" s="7">
        <v>2722585</v>
      </c>
      <c r="CW73" s="7">
        <v>2683273</v>
      </c>
      <c r="CX73" s="7">
        <v>2739573</v>
      </c>
      <c r="CY73" s="7">
        <v>2835731</v>
      </c>
      <c r="CZ73" s="7">
        <v>2825330</v>
      </c>
      <c r="DA73" s="7">
        <v>2832143</v>
      </c>
      <c r="DB73" s="7">
        <v>2879467</v>
      </c>
      <c r="DC73" s="7">
        <v>2984829</v>
      </c>
      <c r="DD73" s="7">
        <v>3023151</v>
      </c>
      <c r="DE73" s="7">
        <v>3122550</v>
      </c>
      <c r="DF73" s="7">
        <v>3369435</v>
      </c>
      <c r="DG73" s="7">
        <v>3312596</v>
      </c>
      <c r="DH73" s="7">
        <v>3189915</v>
      </c>
      <c r="DI73" s="7">
        <v>3090513</v>
      </c>
      <c r="DJ73" s="13">
        <v>3119953</v>
      </c>
      <c r="DK73" s="13">
        <v>3282443</v>
      </c>
      <c r="DL73" s="13">
        <v>3292933</v>
      </c>
      <c r="DM73" s="13">
        <v>3362162</v>
      </c>
      <c r="DN73" s="13">
        <v>3544755</v>
      </c>
      <c r="DO73" s="13">
        <v>3579936</v>
      </c>
      <c r="DP73" s="13">
        <v>3642620</v>
      </c>
      <c r="DQ73" s="13">
        <v>3900806</v>
      </c>
      <c r="DR73" s="13">
        <v>4287463</v>
      </c>
      <c r="DS73" s="13">
        <v>4275118</v>
      </c>
      <c r="DT73" s="13">
        <v>4242492</v>
      </c>
      <c r="DU73" s="13">
        <v>4263814</v>
      </c>
      <c r="DV73" s="13">
        <v>4513043</v>
      </c>
      <c r="DW73" s="13">
        <v>4519574</v>
      </c>
      <c r="DX73" s="13">
        <v>4617986</v>
      </c>
      <c r="DY73" s="13">
        <v>4949684</v>
      </c>
      <c r="DZ73" s="13">
        <v>5390067</v>
      </c>
      <c r="EA73" s="13">
        <v>5510993</v>
      </c>
      <c r="EB73" s="13">
        <v>5478106</v>
      </c>
      <c r="EC73" s="13">
        <v>5559566</v>
      </c>
      <c r="ED73" s="13">
        <v>6684001</v>
      </c>
      <c r="EE73" s="13">
        <v>6732505</v>
      </c>
      <c r="EF73" s="13">
        <v>6809020</v>
      </c>
      <c r="EG73" s="13">
        <v>6862014</v>
      </c>
      <c r="EH73" s="13">
        <v>6924946</v>
      </c>
      <c r="EI73" s="13">
        <v>7087624</v>
      </c>
      <c r="EJ73" s="13">
        <v>7079624</v>
      </c>
      <c r="EK73" s="25">
        <f t="shared" si="6"/>
        <v>334619</v>
      </c>
      <c r="EL73" s="13">
        <v>7414243</v>
      </c>
      <c r="EM73" s="25">
        <f t="shared" si="7"/>
        <v>88432</v>
      </c>
      <c r="EN73" s="13">
        <v>7502675</v>
      </c>
      <c r="EO73" s="25">
        <f t="shared" si="8"/>
        <v>352414</v>
      </c>
      <c r="EP73" s="13">
        <v>7855089</v>
      </c>
      <c r="EQ73" s="25">
        <f t="shared" si="9"/>
        <v>187751</v>
      </c>
      <c r="ER73" s="13">
        <v>8042840</v>
      </c>
      <c r="ES73" s="25">
        <f t="shared" si="10"/>
        <v>-151913</v>
      </c>
      <c r="ET73" s="13">
        <v>7890927</v>
      </c>
      <c r="EU73" s="25">
        <f t="shared" si="11"/>
        <v>1248214</v>
      </c>
      <c r="EV73" s="13">
        <v>9139141</v>
      </c>
      <c r="EW73" s="13">
        <v>9305288</v>
      </c>
      <c r="EX73" s="13">
        <v>9341998</v>
      </c>
      <c r="EY73" s="13">
        <v>9469342</v>
      </c>
      <c r="EZ73" s="13">
        <v>9849988</v>
      </c>
      <c r="FA73" s="13">
        <v>9814692</v>
      </c>
      <c r="FB73" s="13">
        <v>9740754</v>
      </c>
      <c r="FC73" s="13">
        <v>10036369</v>
      </c>
      <c r="FD73" s="13">
        <v>10115213</v>
      </c>
      <c r="FE73" s="13">
        <v>10154690</v>
      </c>
      <c r="FF73" s="13">
        <v>10174760</v>
      </c>
      <c r="FG73" s="13">
        <v>10403614</v>
      </c>
      <c r="FH73" s="13">
        <v>11542771</v>
      </c>
      <c r="FI73" s="13">
        <v>11545994</v>
      </c>
    </row>
    <row r="74" spans="1:165" x14ac:dyDescent="0.4">
      <c r="A74" s="34" t="s">
        <v>6</v>
      </c>
      <c r="B74" s="16">
        <v>4414257</v>
      </c>
      <c r="C74" s="16">
        <v>4335634</v>
      </c>
      <c r="D74" s="16">
        <v>4282403</v>
      </c>
      <c r="E74" s="16">
        <v>4233274</v>
      </c>
      <c r="F74" s="16">
        <v>4369000</v>
      </c>
      <c r="G74" s="16">
        <v>4407631</v>
      </c>
      <c r="H74" s="16">
        <v>4415712</v>
      </c>
      <c r="I74" s="16">
        <v>4450124</v>
      </c>
      <c r="J74" s="16">
        <v>4510771</v>
      </c>
      <c r="K74" s="16">
        <v>4569162</v>
      </c>
      <c r="L74" s="16">
        <v>4695398</v>
      </c>
      <c r="M74" s="16">
        <v>4794914</v>
      </c>
      <c r="N74" s="16">
        <v>4859751</v>
      </c>
      <c r="O74" s="16">
        <v>4871518</v>
      </c>
      <c r="P74" s="16">
        <v>4897365</v>
      </c>
      <c r="Q74" s="16">
        <v>4857140</v>
      </c>
      <c r="R74" s="16">
        <v>4845399</v>
      </c>
      <c r="S74" s="16">
        <v>4872632</v>
      </c>
      <c r="T74" s="16">
        <v>4896539</v>
      </c>
      <c r="U74" s="16">
        <v>4940402</v>
      </c>
      <c r="V74" s="16">
        <v>4891647</v>
      </c>
      <c r="W74" s="16">
        <v>4892619</v>
      </c>
      <c r="X74" s="16">
        <v>4941666</v>
      </c>
      <c r="Y74" s="16">
        <v>4850684</v>
      </c>
      <c r="Z74" s="16">
        <v>5892743</v>
      </c>
      <c r="AA74" s="16">
        <v>5896090</v>
      </c>
      <c r="AB74" s="16">
        <v>5945218</v>
      </c>
      <c r="AC74" s="16">
        <v>5791168</v>
      </c>
      <c r="AD74" s="16">
        <v>5922546</v>
      </c>
      <c r="AE74" s="16">
        <v>6002123</v>
      </c>
      <c r="AF74" s="16">
        <v>5864372</v>
      </c>
      <c r="AG74" s="16">
        <v>6001942</v>
      </c>
      <c r="AH74" s="16">
        <v>5797610</v>
      </c>
      <c r="AI74" s="16">
        <v>5829353</v>
      </c>
      <c r="AJ74" s="16">
        <v>5928899</v>
      </c>
      <c r="AK74" s="16">
        <v>5962523</v>
      </c>
      <c r="AL74" s="16">
        <v>6012760</v>
      </c>
      <c r="AM74" s="16">
        <v>5987965</v>
      </c>
      <c r="AN74" s="16">
        <v>6014974</v>
      </c>
      <c r="AO74" s="16">
        <v>6117163</v>
      </c>
      <c r="AP74" s="16">
        <v>6213669</v>
      </c>
      <c r="AQ74" s="16">
        <v>6185050</v>
      </c>
      <c r="AR74" s="16">
        <v>6258021</v>
      </c>
      <c r="AS74" s="16">
        <v>6327842</v>
      </c>
      <c r="AT74" s="16">
        <v>6234177</v>
      </c>
      <c r="AU74" s="16">
        <v>6272802</v>
      </c>
      <c r="AV74" s="16">
        <v>6304948</v>
      </c>
      <c r="AW74" s="16">
        <v>6452684</v>
      </c>
      <c r="AX74" s="16">
        <v>6586035</v>
      </c>
      <c r="AY74" s="16">
        <v>6705803</v>
      </c>
      <c r="AZ74" s="16">
        <v>6798908</v>
      </c>
      <c r="BA74" s="16">
        <v>6947083</v>
      </c>
      <c r="BB74" s="16">
        <v>6955356</v>
      </c>
      <c r="BC74" s="16">
        <v>7120151</v>
      </c>
      <c r="BD74" s="16">
        <v>7116831</v>
      </c>
      <c r="BE74" s="16">
        <v>7247298</v>
      </c>
      <c r="BF74" s="16">
        <v>7400303</v>
      </c>
      <c r="BG74" s="16">
        <v>7572861</v>
      </c>
      <c r="BH74" s="16">
        <v>7703990</v>
      </c>
      <c r="BI74" s="16">
        <v>7841254</v>
      </c>
      <c r="BJ74" s="16">
        <v>7820146</v>
      </c>
      <c r="BK74" s="16">
        <v>7803508</v>
      </c>
      <c r="BL74" s="16">
        <v>7931789</v>
      </c>
      <c r="BM74" s="16">
        <v>7879971</v>
      </c>
      <c r="BN74" s="16">
        <v>7940867</v>
      </c>
      <c r="BO74" s="16">
        <v>8029824</v>
      </c>
      <c r="BP74" s="16">
        <v>8135309</v>
      </c>
      <c r="BQ74" s="16">
        <v>8263828</v>
      </c>
      <c r="BR74" s="16">
        <v>8261190</v>
      </c>
      <c r="BS74" s="16">
        <v>8261275</v>
      </c>
      <c r="BT74" s="16">
        <v>8332030</v>
      </c>
      <c r="BU74" s="16">
        <v>8386079</v>
      </c>
      <c r="BV74" s="16">
        <v>8462574</v>
      </c>
      <c r="BW74" s="16">
        <v>8526295</v>
      </c>
      <c r="BX74" s="16">
        <v>8535611</v>
      </c>
      <c r="BY74" s="16">
        <v>8804502</v>
      </c>
      <c r="BZ74" s="16">
        <v>9216443</v>
      </c>
      <c r="CA74" s="16">
        <v>9347918</v>
      </c>
      <c r="CB74" s="16">
        <v>9456789</v>
      </c>
      <c r="CC74" s="16">
        <v>9761157</v>
      </c>
      <c r="CD74" s="16">
        <v>9838512</v>
      </c>
      <c r="CE74" s="16">
        <v>9945470</v>
      </c>
      <c r="CF74" s="16">
        <v>10055393</v>
      </c>
      <c r="CG74" s="16">
        <v>10172539</v>
      </c>
      <c r="CH74" s="16">
        <v>10146562</v>
      </c>
      <c r="CI74" s="16">
        <v>10080651</v>
      </c>
      <c r="CJ74" s="16">
        <v>10546866</v>
      </c>
      <c r="CK74" s="16">
        <v>10571931</v>
      </c>
      <c r="CL74" s="16">
        <v>10890323</v>
      </c>
      <c r="CM74" s="16">
        <v>11057824</v>
      </c>
      <c r="CN74" s="16">
        <v>11480294</v>
      </c>
      <c r="CO74" s="16">
        <v>11761318</v>
      </c>
      <c r="CP74" s="7">
        <v>11943343</v>
      </c>
      <c r="CQ74" s="7">
        <v>12796005</v>
      </c>
      <c r="CR74" s="7">
        <v>14292454</v>
      </c>
      <c r="CS74" s="7">
        <v>15161436</v>
      </c>
      <c r="CT74" s="7">
        <v>15325835</v>
      </c>
      <c r="CU74" s="7">
        <v>15362638</v>
      </c>
      <c r="CV74" s="7">
        <v>15450620</v>
      </c>
      <c r="CW74" s="7">
        <v>16012522</v>
      </c>
      <c r="CX74" s="7">
        <v>16398078</v>
      </c>
      <c r="CY74" s="7">
        <v>16634732</v>
      </c>
      <c r="CZ74" s="7">
        <v>16847854</v>
      </c>
      <c r="DA74" s="7">
        <v>17016983</v>
      </c>
      <c r="DB74" s="7">
        <v>17161723</v>
      </c>
      <c r="DC74" s="7">
        <v>17352866</v>
      </c>
      <c r="DD74" s="7">
        <v>17355733</v>
      </c>
      <c r="DE74" s="7">
        <v>17391259</v>
      </c>
      <c r="DF74" s="7">
        <v>17081503</v>
      </c>
      <c r="DG74" s="7">
        <v>17094014</v>
      </c>
      <c r="DH74" s="7">
        <v>17207907</v>
      </c>
      <c r="DI74" s="7">
        <v>17205947</v>
      </c>
      <c r="DJ74" s="13">
        <v>17188490</v>
      </c>
      <c r="DK74" s="13">
        <v>17239628</v>
      </c>
      <c r="DL74" s="13">
        <v>17255435</v>
      </c>
      <c r="DM74" s="13">
        <v>16846975</v>
      </c>
      <c r="DN74" s="13">
        <v>16837031</v>
      </c>
      <c r="DO74" s="13">
        <v>16828191</v>
      </c>
      <c r="DP74" s="13">
        <v>16981939</v>
      </c>
      <c r="DQ74" s="13">
        <v>18001707</v>
      </c>
      <c r="DR74" s="13">
        <v>19559128</v>
      </c>
      <c r="DS74" s="13">
        <v>19643066</v>
      </c>
      <c r="DT74" s="13">
        <v>19920345</v>
      </c>
      <c r="DU74" s="13">
        <v>20118883</v>
      </c>
      <c r="DV74" s="13">
        <v>20356187</v>
      </c>
      <c r="DW74" s="13">
        <v>20568001</v>
      </c>
      <c r="DX74" s="13">
        <v>21002129</v>
      </c>
      <c r="DY74" s="13">
        <v>21156861</v>
      </c>
      <c r="DZ74" s="13">
        <v>21205518</v>
      </c>
      <c r="EA74" s="13">
        <v>21322717</v>
      </c>
      <c r="EB74" s="13">
        <v>21352758</v>
      </c>
      <c r="EC74" s="13">
        <v>21712808</v>
      </c>
      <c r="ED74" s="13">
        <v>21852925</v>
      </c>
      <c r="EE74" s="13">
        <v>22037778</v>
      </c>
      <c r="EF74" s="13">
        <v>22175359</v>
      </c>
      <c r="EG74" s="13">
        <v>22333044</v>
      </c>
      <c r="EH74" s="13">
        <v>22236397</v>
      </c>
      <c r="EI74" s="13">
        <v>22401262</v>
      </c>
      <c r="EJ74" s="13">
        <v>22436962</v>
      </c>
      <c r="EK74" s="25">
        <f t="shared" si="6"/>
        <v>-255543</v>
      </c>
      <c r="EL74" s="13">
        <v>22181419</v>
      </c>
      <c r="EM74" s="25">
        <f t="shared" si="7"/>
        <v>410443</v>
      </c>
      <c r="EN74" s="13">
        <v>22591862</v>
      </c>
      <c r="EO74" s="25">
        <f t="shared" si="8"/>
        <v>166860</v>
      </c>
      <c r="EP74" s="13">
        <v>22758722</v>
      </c>
      <c r="EQ74" s="25">
        <f t="shared" si="9"/>
        <v>-237343</v>
      </c>
      <c r="ER74" s="13">
        <v>22521379</v>
      </c>
      <c r="ES74" s="25">
        <f t="shared" si="10"/>
        <v>161828</v>
      </c>
      <c r="ET74" s="13">
        <v>22683207</v>
      </c>
      <c r="EU74" s="25">
        <f t="shared" si="11"/>
        <v>2135510</v>
      </c>
      <c r="EV74" s="13">
        <v>24818717</v>
      </c>
      <c r="EW74" s="13">
        <v>24554436</v>
      </c>
      <c r="EX74" s="13">
        <v>25405725</v>
      </c>
      <c r="EY74" s="13">
        <v>25835272</v>
      </c>
      <c r="EZ74" s="13">
        <v>26134404</v>
      </c>
      <c r="FA74" s="13">
        <v>26735362</v>
      </c>
      <c r="FB74" s="13">
        <v>27296405</v>
      </c>
      <c r="FC74" s="13">
        <v>27678251</v>
      </c>
      <c r="FD74" s="13">
        <v>28219408</v>
      </c>
      <c r="FE74" s="13">
        <v>28414190</v>
      </c>
      <c r="FF74" s="13">
        <v>29352681</v>
      </c>
      <c r="FG74" s="13">
        <v>31155449</v>
      </c>
      <c r="FH74" s="13">
        <v>31655502</v>
      </c>
      <c r="FI74" s="13">
        <v>31873954</v>
      </c>
    </row>
    <row r="75" spans="1:165" x14ac:dyDescent="0.4">
      <c r="A75" s="35" t="s">
        <v>13</v>
      </c>
      <c r="B75" s="16">
        <v>0</v>
      </c>
      <c r="C75" s="16">
        <v>0</v>
      </c>
      <c r="D75" s="16">
        <v>0</v>
      </c>
      <c r="E75" s="16">
        <v>0</v>
      </c>
      <c r="F75" s="16">
        <v>0</v>
      </c>
      <c r="G75" s="16">
        <v>0</v>
      </c>
      <c r="H75" s="16">
        <v>0</v>
      </c>
      <c r="I75" s="16">
        <v>0</v>
      </c>
      <c r="J75" s="16">
        <v>0</v>
      </c>
      <c r="K75" s="16">
        <v>0</v>
      </c>
      <c r="L75" s="16">
        <v>0</v>
      </c>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3000</v>
      </c>
      <c r="BU75" s="16">
        <v>3000</v>
      </c>
      <c r="BV75" s="16">
        <v>3000</v>
      </c>
      <c r="BW75" s="16">
        <v>3000</v>
      </c>
      <c r="BX75" s="16">
        <v>3000</v>
      </c>
      <c r="BY75" s="16">
        <v>3000</v>
      </c>
      <c r="BZ75" s="16">
        <v>3000</v>
      </c>
      <c r="CA75" s="16">
        <v>3000</v>
      </c>
      <c r="CB75" s="16">
        <v>3000</v>
      </c>
      <c r="CC75" s="16">
        <v>3000</v>
      </c>
      <c r="CD75" s="16">
        <v>3000</v>
      </c>
      <c r="CE75" s="16">
        <v>3000</v>
      </c>
      <c r="CF75" s="16">
        <v>0</v>
      </c>
      <c r="CG75" s="16">
        <v>0</v>
      </c>
      <c r="CH75" s="16">
        <v>0</v>
      </c>
      <c r="CI75" s="16">
        <v>0</v>
      </c>
      <c r="CJ75" s="16">
        <v>0</v>
      </c>
      <c r="CK75" s="16">
        <v>0</v>
      </c>
      <c r="CL75" s="16">
        <v>0</v>
      </c>
      <c r="CM75" s="16">
        <v>0</v>
      </c>
      <c r="CN75" s="16">
        <v>0</v>
      </c>
      <c r="CO75" s="16">
        <v>0</v>
      </c>
      <c r="CP75" s="16">
        <v>0</v>
      </c>
      <c r="CQ75" s="16">
        <v>0</v>
      </c>
      <c r="CR75" s="16">
        <v>0</v>
      </c>
      <c r="CS75" s="16">
        <v>0</v>
      </c>
      <c r="CT75" s="16">
        <v>0</v>
      </c>
      <c r="CU75" s="16">
        <v>0</v>
      </c>
      <c r="CV75" s="16">
        <v>0</v>
      </c>
      <c r="CW75" s="16">
        <v>0</v>
      </c>
      <c r="CX75" s="16">
        <v>0</v>
      </c>
      <c r="CY75" s="16">
        <v>0</v>
      </c>
      <c r="CZ75" s="16">
        <v>0</v>
      </c>
      <c r="DA75" s="16">
        <v>0</v>
      </c>
      <c r="DB75" s="16">
        <v>0</v>
      </c>
      <c r="DC75" s="16">
        <v>0</v>
      </c>
      <c r="DD75" s="16">
        <v>0</v>
      </c>
      <c r="DE75" s="16">
        <v>0</v>
      </c>
      <c r="DF75" s="16">
        <v>0</v>
      </c>
      <c r="DG75" s="16">
        <v>0</v>
      </c>
      <c r="DH75" s="16">
        <v>5363</v>
      </c>
      <c r="DI75" s="7">
        <v>5416</v>
      </c>
      <c r="DJ75" s="13">
        <v>5467</v>
      </c>
      <c r="DK75" s="13">
        <v>5519</v>
      </c>
      <c r="DL75" s="13">
        <v>5570</v>
      </c>
      <c r="DM75" s="13">
        <v>5623</v>
      </c>
      <c r="DN75" s="13">
        <v>5366</v>
      </c>
      <c r="DO75" s="13">
        <v>5417</v>
      </c>
      <c r="DP75" s="13">
        <v>5470</v>
      </c>
      <c r="DQ75" s="13">
        <v>5521</v>
      </c>
      <c r="DR75" s="13">
        <v>5574</v>
      </c>
      <c r="DS75" s="13">
        <v>5626</v>
      </c>
      <c r="DT75" s="13">
        <v>0</v>
      </c>
      <c r="DU75" s="13">
        <v>0</v>
      </c>
      <c r="DV75" s="13">
        <v>0</v>
      </c>
      <c r="DW75" s="13">
        <v>0</v>
      </c>
      <c r="DX75" s="13">
        <v>0</v>
      </c>
      <c r="DY75" s="13">
        <v>0</v>
      </c>
      <c r="DZ75" s="13">
        <v>0</v>
      </c>
      <c r="EA75" s="13">
        <v>15052</v>
      </c>
      <c r="EB75" s="13">
        <v>32994</v>
      </c>
      <c r="EC75" s="13">
        <v>59478</v>
      </c>
      <c r="ED75" s="13">
        <v>60200</v>
      </c>
      <c r="EE75" s="13">
        <v>59454</v>
      </c>
      <c r="EF75" s="13">
        <v>59206</v>
      </c>
      <c r="EG75" s="13">
        <v>59928</v>
      </c>
      <c r="EH75" s="13">
        <v>5413</v>
      </c>
      <c r="EI75" s="13">
        <v>9388</v>
      </c>
      <c r="EJ75" s="13">
        <v>6363</v>
      </c>
      <c r="EK75" s="25">
        <f t="shared" si="6"/>
        <v>-2969</v>
      </c>
      <c r="EL75" s="13">
        <v>3394</v>
      </c>
      <c r="EM75" s="25">
        <f t="shared" si="7"/>
        <v>-80</v>
      </c>
      <c r="EN75" s="13">
        <v>3314</v>
      </c>
      <c r="EO75" s="25">
        <f t="shared" si="8"/>
        <v>1049</v>
      </c>
      <c r="EP75" s="13">
        <v>4363</v>
      </c>
      <c r="EQ75" s="25">
        <f t="shared" si="9"/>
        <v>-970</v>
      </c>
      <c r="ER75" s="13">
        <v>3393</v>
      </c>
      <c r="ES75" s="25">
        <f t="shared" si="10"/>
        <v>-3393</v>
      </c>
      <c r="ET75" s="13">
        <v>0</v>
      </c>
      <c r="EU75" s="25">
        <f t="shared" si="11"/>
        <v>0</v>
      </c>
      <c r="EV75" s="13">
        <v>0</v>
      </c>
      <c r="EW75" s="13">
        <v>0</v>
      </c>
      <c r="EX75" s="13">
        <v>2532</v>
      </c>
      <c r="EY75" s="13">
        <v>0</v>
      </c>
      <c r="EZ75" s="13">
        <v>0</v>
      </c>
      <c r="FA75" s="13">
        <v>2013</v>
      </c>
      <c r="FB75" s="13">
        <v>0</v>
      </c>
      <c r="FC75" s="13">
        <v>0</v>
      </c>
      <c r="FD75" s="13">
        <v>0</v>
      </c>
      <c r="FE75" s="13">
        <v>0</v>
      </c>
      <c r="FF75" s="13">
        <v>0</v>
      </c>
      <c r="FG75" s="13">
        <v>0</v>
      </c>
      <c r="FH75" s="13">
        <v>0</v>
      </c>
      <c r="FI75" s="13">
        <v>0</v>
      </c>
    </row>
    <row r="76" spans="1:165" x14ac:dyDescent="0.4">
      <c r="A76" s="35" t="s">
        <v>14</v>
      </c>
      <c r="B76" s="16">
        <v>4414257</v>
      </c>
      <c r="C76" s="16">
        <v>4335634</v>
      </c>
      <c r="D76" s="16">
        <v>4282403</v>
      </c>
      <c r="E76" s="16">
        <v>4233274</v>
      </c>
      <c r="F76" s="16">
        <v>4369000</v>
      </c>
      <c r="G76" s="16">
        <v>4407631</v>
      </c>
      <c r="H76" s="16">
        <v>4415712</v>
      </c>
      <c r="I76" s="16">
        <v>4450124</v>
      </c>
      <c r="J76" s="16">
        <v>4510771</v>
      </c>
      <c r="K76" s="16">
        <v>4569162</v>
      </c>
      <c r="L76" s="16">
        <v>4695398</v>
      </c>
      <c r="M76" s="16">
        <v>4794914</v>
      </c>
      <c r="N76" s="16">
        <v>4859751</v>
      </c>
      <c r="O76" s="16">
        <v>4871518</v>
      </c>
      <c r="P76" s="16">
        <v>4897365</v>
      </c>
      <c r="Q76" s="16">
        <v>4857140</v>
      </c>
      <c r="R76" s="16">
        <v>4845399</v>
      </c>
      <c r="S76" s="16">
        <v>4872632</v>
      </c>
      <c r="T76" s="16">
        <v>4896539</v>
      </c>
      <c r="U76" s="16">
        <v>4940402</v>
      </c>
      <c r="V76" s="16">
        <v>4891647</v>
      </c>
      <c r="W76" s="16">
        <v>4892619</v>
      </c>
      <c r="X76" s="16">
        <v>4941666</v>
      </c>
      <c r="Y76" s="16">
        <v>4850684</v>
      </c>
      <c r="Z76" s="16">
        <v>5892743</v>
      </c>
      <c r="AA76" s="16">
        <v>5896090</v>
      </c>
      <c r="AB76" s="16">
        <v>5945218</v>
      </c>
      <c r="AC76" s="16">
        <v>5791168</v>
      </c>
      <c r="AD76" s="16">
        <v>5922546</v>
      </c>
      <c r="AE76" s="16">
        <v>6002123</v>
      </c>
      <c r="AF76" s="16">
        <v>5864372</v>
      </c>
      <c r="AG76" s="16">
        <v>6001942</v>
      </c>
      <c r="AH76" s="16">
        <v>5797610</v>
      </c>
      <c r="AI76" s="16">
        <v>5829353</v>
      </c>
      <c r="AJ76" s="16">
        <v>5928899</v>
      </c>
      <c r="AK76" s="16">
        <v>5962523</v>
      </c>
      <c r="AL76" s="16">
        <v>6012760</v>
      </c>
      <c r="AM76" s="16">
        <v>5987965</v>
      </c>
      <c r="AN76" s="16">
        <v>6014974</v>
      </c>
      <c r="AO76" s="16">
        <v>6117163</v>
      </c>
      <c r="AP76" s="16">
        <v>6213669</v>
      </c>
      <c r="AQ76" s="16">
        <v>6185050</v>
      </c>
      <c r="AR76" s="16">
        <v>6258021</v>
      </c>
      <c r="AS76" s="16">
        <v>6327842</v>
      </c>
      <c r="AT76" s="16">
        <v>6234177</v>
      </c>
      <c r="AU76" s="16">
        <v>6272802</v>
      </c>
      <c r="AV76" s="16">
        <v>6304948</v>
      </c>
      <c r="AW76" s="16">
        <v>6452684</v>
      </c>
      <c r="AX76" s="16">
        <v>6586035</v>
      </c>
      <c r="AY76" s="16">
        <v>6705803</v>
      </c>
      <c r="AZ76" s="16">
        <v>6798908</v>
      </c>
      <c r="BA76" s="16">
        <v>6947083</v>
      </c>
      <c r="BB76" s="16">
        <v>6955356</v>
      </c>
      <c r="BC76" s="16">
        <v>7120151</v>
      </c>
      <c r="BD76" s="16">
        <v>7116831</v>
      </c>
      <c r="BE76" s="16">
        <v>7247298</v>
      </c>
      <c r="BF76" s="16">
        <v>7400303</v>
      </c>
      <c r="BG76" s="16">
        <v>7572861</v>
      </c>
      <c r="BH76" s="16">
        <v>7703990</v>
      </c>
      <c r="BI76" s="16">
        <v>7841254</v>
      </c>
      <c r="BJ76" s="16">
        <v>7820146</v>
      </c>
      <c r="BK76" s="16">
        <v>7803508</v>
      </c>
      <c r="BL76" s="16">
        <v>7931789</v>
      </c>
      <c r="BM76" s="16">
        <v>7879971</v>
      </c>
      <c r="BN76" s="16">
        <v>7940867</v>
      </c>
      <c r="BO76" s="16">
        <v>8029824</v>
      </c>
      <c r="BP76" s="16">
        <v>8135309</v>
      </c>
      <c r="BQ76" s="16">
        <v>8263828</v>
      </c>
      <c r="BR76" s="16">
        <v>8261190</v>
      </c>
      <c r="BS76" s="16">
        <v>8261275</v>
      </c>
      <c r="BT76" s="16">
        <v>8329030</v>
      </c>
      <c r="BU76" s="16">
        <v>8383079</v>
      </c>
      <c r="BV76" s="16">
        <v>8459574</v>
      </c>
      <c r="BW76" s="16">
        <v>8523295</v>
      </c>
      <c r="BX76" s="16">
        <v>8532611</v>
      </c>
      <c r="BY76" s="16">
        <v>8801502</v>
      </c>
      <c r="BZ76" s="16">
        <v>9213443</v>
      </c>
      <c r="CA76" s="16">
        <v>9344918</v>
      </c>
      <c r="CB76" s="16">
        <v>9453789</v>
      </c>
      <c r="CC76" s="16">
        <v>9758157</v>
      </c>
      <c r="CD76" s="16">
        <v>9835512</v>
      </c>
      <c r="CE76" s="16">
        <v>9942470</v>
      </c>
      <c r="CF76" s="16">
        <v>10055393</v>
      </c>
      <c r="CG76" s="16">
        <v>10172539</v>
      </c>
      <c r="CH76" s="16">
        <v>10146562</v>
      </c>
      <c r="CI76" s="16">
        <v>10080651</v>
      </c>
      <c r="CJ76" s="16">
        <v>10546866</v>
      </c>
      <c r="CK76" s="16">
        <v>10571931</v>
      </c>
      <c r="CL76" s="16">
        <v>10890323</v>
      </c>
      <c r="CM76" s="16">
        <v>11057824</v>
      </c>
      <c r="CN76" s="16">
        <v>11480294</v>
      </c>
      <c r="CO76" s="16">
        <v>11761318</v>
      </c>
      <c r="CP76" s="7">
        <v>11943343</v>
      </c>
      <c r="CQ76" s="7">
        <v>12796005</v>
      </c>
      <c r="CR76" s="7">
        <v>14292454</v>
      </c>
      <c r="CS76" s="7">
        <v>15161436</v>
      </c>
      <c r="CT76" s="7">
        <v>15325835</v>
      </c>
      <c r="CU76" s="7">
        <v>15362638</v>
      </c>
      <c r="CV76" s="7">
        <v>15450620</v>
      </c>
      <c r="CW76" s="7">
        <v>16012522</v>
      </c>
      <c r="CX76" s="7">
        <v>16398078</v>
      </c>
      <c r="CY76" s="7">
        <v>16634732</v>
      </c>
      <c r="CZ76" s="7">
        <v>16847854</v>
      </c>
      <c r="DA76" s="7">
        <v>17016983</v>
      </c>
      <c r="DB76" s="7">
        <v>17161723</v>
      </c>
      <c r="DC76" s="7">
        <v>17352866</v>
      </c>
      <c r="DD76" s="7">
        <v>17355733</v>
      </c>
      <c r="DE76" s="7">
        <v>17391259</v>
      </c>
      <c r="DF76" s="7">
        <v>17081503</v>
      </c>
      <c r="DG76" s="7">
        <v>17094014</v>
      </c>
      <c r="DH76" s="7">
        <v>17202544</v>
      </c>
      <c r="DI76" s="7">
        <v>17200532</v>
      </c>
      <c r="DJ76" s="13">
        <v>17183023</v>
      </c>
      <c r="DK76" s="13">
        <v>17234109</v>
      </c>
      <c r="DL76" s="13">
        <v>17249865</v>
      </c>
      <c r="DM76" s="13">
        <v>16841352</v>
      </c>
      <c r="DN76" s="13">
        <v>16831664</v>
      </c>
      <c r="DO76" s="13">
        <v>16822774</v>
      </c>
      <c r="DP76" s="13">
        <v>16976469</v>
      </c>
      <c r="DQ76" s="13">
        <v>17996186</v>
      </c>
      <c r="DR76" s="13">
        <v>19553554</v>
      </c>
      <c r="DS76" s="13">
        <v>19637439</v>
      </c>
      <c r="DT76" s="13">
        <v>19920345</v>
      </c>
      <c r="DU76" s="13">
        <v>20118883</v>
      </c>
      <c r="DV76" s="13">
        <v>20356187</v>
      </c>
      <c r="DW76" s="13">
        <v>20568001</v>
      </c>
      <c r="DX76" s="13">
        <v>21002129</v>
      </c>
      <c r="DY76" s="13">
        <v>21156861</v>
      </c>
      <c r="DZ76" s="13">
        <v>21205518</v>
      </c>
      <c r="EA76" s="13">
        <v>21307665</v>
      </c>
      <c r="EB76" s="13">
        <v>21319764</v>
      </c>
      <c r="EC76" s="13">
        <v>21653330</v>
      </c>
      <c r="ED76" s="13">
        <v>21792726</v>
      </c>
      <c r="EE76" s="13">
        <v>21978324</v>
      </c>
      <c r="EF76" s="13">
        <v>22116152</v>
      </c>
      <c r="EG76" s="13">
        <v>22273116</v>
      </c>
      <c r="EH76" s="13">
        <v>22230985</v>
      </c>
      <c r="EI76" s="13">
        <v>22391875</v>
      </c>
      <c r="EJ76" s="13">
        <v>22430599</v>
      </c>
      <c r="EK76" s="25">
        <f t="shared" si="6"/>
        <v>-252574</v>
      </c>
      <c r="EL76" s="13">
        <v>22178025</v>
      </c>
      <c r="EM76" s="25">
        <f t="shared" si="7"/>
        <v>410523</v>
      </c>
      <c r="EN76" s="13">
        <v>22588548</v>
      </c>
      <c r="EO76" s="25">
        <f t="shared" si="8"/>
        <v>165811</v>
      </c>
      <c r="EP76" s="13">
        <v>22754359</v>
      </c>
      <c r="EQ76" s="25">
        <f t="shared" si="9"/>
        <v>-236373</v>
      </c>
      <c r="ER76" s="13">
        <v>22517986</v>
      </c>
      <c r="ES76" s="25">
        <f t="shared" si="10"/>
        <v>165221</v>
      </c>
      <c r="ET76" s="13">
        <v>22683207</v>
      </c>
      <c r="EU76" s="25">
        <f t="shared" si="11"/>
        <v>2135510</v>
      </c>
      <c r="EV76" s="13">
        <v>24818717</v>
      </c>
      <c r="EW76" s="13">
        <v>24554436</v>
      </c>
      <c r="EX76" s="13">
        <v>25403193</v>
      </c>
      <c r="EY76" s="13">
        <v>25835272</v>
      </c>
      <c r="EZ76" s="13">
        <v>26134404</v>
      </c>
      <c r="FA76" s="13">
        <v>26733349</v>
      </c>
      <c r="FB76" s="13">
        <v>27296405</v>
      </c>
      <c r="FC76" s="13">
        <v>27678251</v>
      </c>
      <c r="FD76" s="13">
        <v>28219408</v>
      </c>
      <c r="FE76" s="13">
        <v>28414190</v>
      </c>
      <c r="FF76" s="13">
        <v>29352681</v>
      </c>
      <c r="FG76" s="13">
        <v>31155449</v>
      </c>
      <c r="FH76" s="13">
        <v>31655502</v>
      </c>
      <c r="FI76" s="13">
        <v>31873954</v>
      </c>
    </row>
    <row r="77" spans="1:165" x14ac:dyDescent="0.4">
      <c r="A77" s="35" t="s">
        <v>27</v>
      </c>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v>728232</v>
      </c>
      <c r="BW77" s="16">
        <v>971271</v>
      </c>
      <c r="BX77" s="16">
        <v>821267</v>
      </c>
      <c r="BY77" s="16">
        <v>818588</v>
      </c>
      <c r="BZ77" s="16">
        <v>825948</v>
      </c>
      <c r="CA77" s="16">
        <v>809482</v>
      </c>
      <c r="CB77" s="16">
        <v>807334</v>
      </c>
      <c r="CC77" s="16">
        <v>809741</v>
      </c>
      <c r="CD77" s="16">
        <v>816015</v>
      </c>
      <c r="CE77" s="16">
        <v>824086</v>
      </c>
      <c r="CF77" s="16">
        <v>708528</v>
      </c>
      <c r="CG77" s="16">
        <v>713564</v>
      </c>
      <c r="CH77" s="16">
        <v>565997</v>
      </c>
      <c r="CI77" s="16">
        <v>315994</v>
      </c>
      <c r="CJ77" s="16">
        <v>394526</v>
      </c>
      <c r="CK77" s="16">
        <v>413026</v>
      </c>
      <c r="CL77" s="16">
        <v>537026</v>
      </c>
      <c r="CM77" s="16">
        <v>301248</v>
      </c>
      <c r="CN77" s="16">
        <v>310002</v>
      </c>
      <c r="CO77" s="16">
        <v>309218</v>
      </c>
      <c r="CP77" s="7">
        <v>596083</v>
      </c>
      <c r="CQ77" s="7">
        <v>583059</v>
      </c>
      <c r="CR77" s="7">
        <v>587781</v>
      </c>
      <c r="CS77" s="7">
        <v>627815</v>
      </c>
      <c r="CT77" s="7">
        <v>1037677</v>
      </c>
      <c r="CU77" s="7">
        <v>1043104</v>
      </c>
      <c r="CV77" s="7">
        <v>961285</v>
      </c>
      <c r="CW77" s="7">
        <v>948081</v>
      </c>
      <c r="CX77" s="7">
        <v>790535</v>
      </c>
      <c r="CY77" s="7">
        <v>792489</v>
      </c>
      <c r="CZ77" s="7">
        <v>809296</v>
      </c>
      <c r="DA77" s="7">
        <v>1259298</v>
      </c>
      <c r="DB77" s="7">
        <v>970760</v>
      </c>
      <c r="DC77" s="7">
        <v>977403</v>
      </c>
      <c r="DD77" s="7">
        <v>1001853</v>
      </c>
      <c r="DE77" s="7">
        <v>1177707</v>
      </c>
      <c r="DF77" s="7">
        <v>1111038</v>
      </c>
      <c r="DG77" s="7">
        <v>1258775</v>
      </c>
      <c r="DH77" s="7">
        <v>1264273</v>
      </c>
      <c r="DI77" s="7">
        <v>1270470</v>
      </c>
      <c r="DJ77" s="13">
        <v>1270266</v>
      </c>
      <c r="DK77" s="13">
        <v>1311769</v>
      </c>
      <c r="DL77" s="13">
        <v>1282520</v>
      </c>
      <c r="DM77" s="13">
        <v>838743</v>
      </c>
      <c r="DN77" s="13">
        <v>1326772</v>
      </c>
      <c r="DO77" s="13">
        <v>1331627</v>
      </c>
      <c r="DP77" s="13">
        <v>1470601</v>
      </c>
      <c r="DQ77" s="13">
        <v>1258869</v>
      </c>
      <c r="DR77" s="13">
        <v>901307</v>
      </c>
      <c r="DS77" s="13">
        <v>746340</v>
      </c>
      <c r="DT77" s="13">
        <v>1116333</v>
      </c>
      <c r="DU77" s="13">
        <v>1129081</v>
      </c>
      <c r="DV77" s="13">
        <v>1473449</v>
      </c>
      <c r="DW77" s="13">
        <v>1449121</v>
      </c>
      <c r="DX77" s="13">
        <v>1471083</v>
      </c>
      <c r="DY77" s="13">
        <v>1862535</v>
      </c>
      <c r="DZ77" s="13">
        <v>1367181</v>
      </c>
      <c r="EA77" s="13">
        <v>1374332</v>
      </c>
      <c r="EB77" s="13">
        <v>1574288</v>
      </c>
      <c r="EC77" s="13">
        <v>1584283</v>
      </c>
      <c r="ED77" s="13">
        <v>1584551</v>
      </c>
      <c r="EE77" s="13">
        <v>1959524</v>
      </c>
      <c r="EF77" s="13">
        <v>1586947</v>
      </c>
      <c r="EG77" s="13">
        <v>1624414</v>
      </c>
      <c r="EH77" s="13">
        <v>1266256</v>
      </c>
      <c r="EI77" s="13">
        <v>1294852</v>
      </c>
      <c r="EJ77" s="13">
        <v>1309235</v>
      </c>
      <c r="EK77" s="25">
        <f t="shared" si="6"/>
        <v>69532</v>
      </c>
      <c r="EL77" s="13">
        <v>1378767</v>
      </c>
      <c r="EM77" s="25">
        <f t="shared" si="7"/>
        <v>-5971</v>
      </c>
      <c r="EN77" s="13">
        <v>1372796</v>
      </c>
      <c r="EO77" s="25">
        <f t="shared" si="8"/>
        <v>52377</v>
      </c>
      <c r="EP77" s="13">
        <v>1425173</v>
      </c>
      <c r="EQ77" s="25">
        <f t="shared" si="9"/>
        <v>-361813</v>
      </c>
      <c r="ER77" s="13">
        <v>1063360</v>
      </c>
      <c r="ES77" s="25">
        <f t="shared" si="10"/>
        <v>440744</v>
      </c>
      <c r="ET77" s="13">
        <v>1504104</v>
      </c>
      <c r="EU77" s="25">
        <f t="shared" si="11"/>
        <v>10170</v>
      </c>
      <c r="EV77" s="13">
        <v>1514274</v>
      </c>
      <c r="EW77" s="13">
        <v>1089744</v>
      </c>
      <c r="EX77" s="13">
        <v>1095809</v>
      </c>
      <c r="EY77" s="13">
        <v>1521987</v>
      </c>
      <c r="EZ77" s="13">
        <v>1543496</v>
      </c>
      <c r="FA77" s="13">
        <v>1537973</v>
      </c>
      <c r="FB77" s="13">
        <v>1538813</v>
      </c>
      <c r="FC77" s="13">
        <v>1090268</v>
      </c>
      <c r="FD77" s="13">
        <v>1122571</v>
      </c>
      <c r="FE77" s="13">
        <v>1463511</v>
      </c>
      <c r="FF77" s="13">
        <v>1815209</v>
      </c>
      <c r="FG77" s="13">
        <v>1372486</v>
      </c>
      <c r="FH77" s="13">
        <v>1515317</v>
      </c>
      <c r="FI77" s="13">
        <v>1523588</v>
      </c>
    </row>
    <row r="78" spans="1:165" x14ac:dyDescent="0.4">
      <c r="A78" s="35" t="s">
        <v>30</v>
      </c>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v>7731342</v>
      </c>
      <c r="BW78" s="16">
        <v>7552024</v>
      </c>
      <c r="BX78" s="16">
        <v>7711344</v>
      </c>
      <c r="BY78" s="16">
        <v>7982915</v>
      </c>
      <c r="BZ78" s="16">
        <v>8387495</v>
      </c>
      <c r="CA78" s="16">
        <v>8535435</v>
      </c>
      <c r="CB78" s="16">
        <v>8646455</v>
      </c>
      <c r="CC78" s="16">
        <v>8948416</v>
      </c>
      <c r="CD78" s="16">
        <v>9019497</v>
      </c>
      <c r="CE78" s="16">
        <v>9118384</v>
      </c>
      <c r="CF78" s="16">
        <v>9346865</v>
      </c>
      <c r="CG78" s="16">
        <v>9458975</v>
      </c>
      <c r="CH78" s="16">
        <v>9580565</v>
      </c>
      <c r="CI78" s="16">
        <v>9764657</v>
      </c>
      <c r="CJ78" s="16">
        <v>10152340</v>
      </c>
      <c r="CK78" s="16">
        <v>10158905</v>
      </c>
      <c r="CL78" s="16">
        <v>10353297</v>
      </c>
      <c r="CM78" s="16">
        <v>10756576</v>
      </c>
      <c r="CN78" s="16">
        <v>11170292</v>
      </c>
      <c r="CO78" s="16">
        <v>11452100</v>
      </c>
      <c r="CP78" s="7">
        <v>11347260</v>
      </c>
      <c r="CQ78" s="7">
        <v>12212945</v>
      </c>
      <c r="CR78" s="7">
        <v>13704673</v>
      </c>
      <c r="CS78" s="7">
        <v>14533621</v>
      </c>
      <c r="CT78" s="7">
        <v>14288158</v>
      </c>
      <c r="CU78" s="7">
        <v>14319533</v>
      </c>
      <c r="CV78" s="7">
        <v>14489334</v>
      </c>
      <c r="CW78" s="7">
        <v>15064441</v>
      </c>
      <c r="CX78" s="7">
        <v>15607543</v>
      </c>
      <c r="CY78" s="7">
        <v>15842243</v>
      </c>
      <c r="CZ78" s="7">
        <v>16038558</v>
      </c>
      <c r="DA78" s="7">
        <v>15757685</v>
      </c>
      <c r="DB78" s="7">
        <v>16190963</v>
      </c>
      <c r="DC78" s="7">
        <v>16375463</v>
      </c>
      <c r="DD78" s="7">
        <v>16353880</v>
      </c>
      <c r="DE78" s="7">
        <v>16213552</v>
      </c>
      <c r="DF78" s="7">
        <v>15970465</v>
      </c>
      <c r="DG78" s="7">
        <v>15835239</v>
      </c>
      <c r="DH78" s="7">
        <v>15938271</v>
      </c>
      <c r="DI78" s="7">
        <v>15930062</v>
      </c>
      <c r="DJ78" s="13">
        <v>15912758</v>
      </c>
      <c r="DK78" s="13">
        <v>15922341</v>
      </c>
      <c r="DL78" s="13">
        <v>15967345</v>
      </c>
      <c r="DM78" s="13">
        <v>16002608</v>
      </c>
      <c r="DN78" s="13">
        <v>15504892</v>
      </c>
      <c r="DO78" s="13">
        <v>15491147</v>
      </c>
      <c r="DP78" s="13">
        <v>15505868</v>
      </c>
      <c r="DQ78" s="13">
        <v>16737317</v>
      </c>
      <c r="DR78" s="13">
        <v>18652247</v>
      </c>
      <c r="DS78" s="13">
        <v>18891099</v>
      </c>
      <c r="DT78" s="13">
        <v>18804012</v>
      </c>
      <c r="DU78" s="13">
        <v>18989802</v>
      </c>
      <c r="DV78" s="13">
        <v>18882738</v>
      </c>
      <c r="DW78" s="13">
        <v>19118881</v>
      </c>
      <c r="DX78" s="13">
        <v>19531046</v>
      </c>
      <c r="DY78" s="13">
        <v>19294326</v>
      </c>
      <c r="DZ78" s="13">
        <v>19838337</v>
      </c>
      <c r="EA78" s="13">
        <v>19933333</v>
      </c>
      <c r="EB78" s="13">
        <v>19745476</v>
      </c>
      <c r="EC78" s="13">
        <v>20069046</v>
      </c>
      <c r="ED78" s="13">
        <v>20208174</v>
      </c>
      <c r="EE78" s="13">
        <v>20018800</v>
      </c>
      <c r="EF78" s="13">
        <v>20529206</v>
      </c>
      <c r="EG78" s="13">
        <v>20648702</v>
      </c>
      <c r="EH78" s="13">
        <v>20964729</v>
      </c>
      <c r="EI78" s="13">
        <v>21097023</v>
      </c>
      <c r="EJ78" s="13">
        <v>21121364</v>
      </c>
      <c r="EK78" s="25">
        <f t="shared" si="6"/>
        <v>-322105</v>
      </c>
      <c r="EL78" s="13">
        <v>20799259</v>
      </c>
      <c r="EM78" s="25">
        <f t="shared" si="7"/>
        <v>416494</v>
      </c>
      <c r="EN78" s="13">
        <v>21215753</v>
      </c>
      <c r="EO78" s="25">
        <f t="shared" si="8"/>
        <v>113434</v>
      </c>
      <c r="EP78" s="13">
        <v>21329187</v>
      </c>
      <c r="EQ78" s="25">
        <f t="shared" si="9"/>
        <v>125439</v>
      </c>
      <c r="ER78" s="13">
        <v>21454626</v>
      </c>
      <c r="ES78" s="25">
        <f t="shared" si="10"/>
        <v>-275523</v>
      </c>
      <c r="ET78" s="13">
        <v>21179103</v>
      </c>
      <c r="EU78" s="25">
        <f t="shared" si="11"/>
        <v>2125339</v>
      </c>
      <c r="EV78" s="13">
        <v>23304442</v>
      </c>
      <c r="EW78" s="13">
        <v>23464692</v>
      </c>
      <c r="EX78" s="13">
        <v>24307384</v>
      </c>
      <c r="EY78" s="13">
        <v>24313285</v>
      </c>
      <c r="EZ78" s="13">
        <v>24590908</v>
      </c>
      <c r="FA78" s="13">
        <v>25195376</v>
      </c>
      <c r="FB78" s="13">
        <v>25757592</v>
      </c>
      <c r="FC78" s="13">
        <v>26587983</v>
      </c>
      <c r="FD78" s="13">
        <v>27096837</v>
      </c>
      <c r="FE78" s="13">
        <v>26950679</v>
      </c>
      <c r="FF78" s="13">
        <v>27537472</v>
      </c>
      <c r="FG78" s="13">
        <v>29782962</v>
      </c>
      <c r="FH78" s="13">
        <v>30140186</v>
      </c>
      <c r="FI78" s="13">
        <v>30350366</v>
      </c>
    </row>
    <row r="79" spans="1:165" x14ac:dyDescent="0.4">
      <c r="A79" s="34" t="s">
        <v>7</v>
      </c>
      <c r="B79" s="16">
        <v>1838806</v>
      </c>
      <c r="C79" s="16">
        <v>1817095</v>
      </c>
      <c r="D79" s="16">
        <v>1877482</v>
      </c>
      <c r="E79" s="16">
        <v>1946070</v>
      </c>
      <c r="F79" s="16">
        <v>1936513</v>
      </c>
      <c r="G79" s="16">
        <v>1931038</v>
      </c>
      <c r="H79" s="16">
        <v>2009239</v>
      </c>
      <c r="I79" s="16">
        <v>2028613</v>
      </c>
      <c r="J79" s="16">
        <v>2017485</v>
      </c>
      <c r="K79" s="16">
        <v>2051738</v>
      </c>
      <c r="L79" s="16">
        <v>2043224</v>
      </c>
      <c r="M79" s="16">
        <v>2127696</v>
      </c>
      <c r="N79" s="16">
        <v>2130393</v>
      </c>
      <c r="O79" s="16">
        <v>2189168</v>
      </c>
      <c r="P79" s="16">
        <v>2210883</v>
      </c>
      <c r="Q79" s="16">
        <v>2141043</v>
      </c>
      <c r="R79" s="16">
        <v>2114139</v>
      </c>
      <c r="S79" s="16">
        <v>2111418</v>
      </c>
      <c r="T79" s="16">
        <v>2136203</v>
      </c>
      <c r="U79" s="16">
        <v>2113383</v>
      </c>
      <c r="V79" s="16">
        <v>2098723</v>
      </c>
      <c r="W79" s="16">
        <v>2118221</v>
      </c>
      <c r="X79" s="16">
        <v>2180573</v>
      </c>
      <c r="Y79" s="16">
        <v>2147575</v>
      </c>
      <c r="Z79" s="16">
        <v>2730955</v>
      </c>
      <c r="AA79" s="16">
        <v>3117056</v>
      </c>
      <c r="AB79" s="16">
        <v>3113463</v>
      </c>
      <c r="AC79" s="16">
        <v>3146386</v>
      </c>
      <c r="AD79" s="16">
        <v>3169314</v>
      </c>
      <c r="AE79" s="16">
        <v>3284415</v>
      </c>
      <c r="AF79" s="16">
        <v>3350885</v>
      </c>
      <c r="AG79" s="16">
        <v>3445087</v>
      </c>
      <c r="AH79" s="16">
        <v>3474152</v>
      </c>
      <c r="AI79" s="16">
        <v>3471126</v>
      </c>
      <c r="AJ79" s="16">
        <v>3519799</v>
      </c>
      <c r="AK79" s="16">
        <v>3567386</v>
      </c>
      <c r="AL79" s="16">
        <v>3557366</v>
      </c>
      <c r="AM79" s="16">
        <v>3577007</v>
      </c>
      <c r="AN79" s="16">
        <v>3517820</v>
      </c>
      <c r="AO79" s="16">
        <v>3536208</v>
      </c>
      <c r="AP79" s="16">
        <v>3648667</v>
      </c>
      <c r="AQ79" s="16">
        <v>3710929</v>
      </c>
      <c r="AR79" s="16">
        <v>3787763</v>
      </c>
      <c r="AS79" s="16">
        <v>3797091</v>
      </c>
      <c r="AT79" s="16">
        <v>3855072</v>
      </c>
      <c r="AU79" s="16">
        <v>3964607</v>
      </c>
      <c r="AV79" s="16">
        <v>4015358</v>
      </c>
      <c r="AW79" s="16">
        <v>4054972</v>
      </c>
      <c r="AX79" s="16">
        <v>4755783</v>
      </c>
      <c r="AY79" s="16">
        <v>4755363</v>
      </c>
      <c r="AZ79" s="16">
        <v>4806041</v>
      </c>
      <c r="BA79" s="16">
        <v>4873063</v>
      </c>
      <c r="BB79" s="16">
        <v>4970247</v>
      </c>
      <c r="BC79" s="16">
        <v>5124861</v>
      </c>
      <c r="BD79" s="16">
        <v>5125247</v>
      </c>
      <c r="BE79" s="16">
        <v>5404782</v>
      </c>
      <c r="BF79" s="16">
        <v>5440008</v>
      </c>
      <c r="BG79" s="16">
        <v>5441952</v>
      </c>
      <c r="BH79" s="16">
        <v>5553068</v>
      </c>
      <c r="BI79" s="16">
        <v>5551068</v>
      </c>
      <c r="BJ79" s="16">
        <v>6221968</v>
      </c>
      <c r="BK79" s="16">
        <v>6200112</v>
      </c>
      <c r="BL79" s="16">
        <v>6288731</v>
      </c>
      <c r="BM79" s="16">
        <v>6373153</v>
      </c>
      <c r="BN79" s="16">
        <v>6374406</v>
      </c>
      <c r="BO79" s="16">
        <v>6296439</v>
      </c>
      <c r="BP79" s="16">
        <v>6305842</v>
      </c>
      <c r="BQ79" s="16">
        <v>6291088</v>
      </c>
      <c r="BR79" s="16">
        <v>6239213</v>
      </c>
      <c r="BS79" s="16">
        <v>6190564</v>
      </c>
      <c r="BT79" s="16">
        <v>6163598</v>
      </c>
      <c r="BU79" s="16">
        <v>6246427</v>
      </c>
      <c r="BV79" s="16">
        <v>6236123</v>
      </c>
      <c r="BW79" s="16">
        <v>6254895</v>
      </c>
      <c r="BX79" s="16">
        <v>6323407</v>
      </c>
      <c r="BY79" s="16">
        <v>6383574</v>
      </c>
      <c r="BZ79" s="16">
        <v>6530380</v>
      </c>
      <c r="CA79" s="16">
        <v>6515147</v>
      </c>
      <c r="CB79" s="16">
        <v>6577747</v>
      </c>
      <c r="CC79" s="16">
        <v>6690455</v>
      </c>
      <c r="CD79" s="16">
        <v>6677639</v>
      </c>
      <c r="CE79" s="16">
        <v>6638301</v>
      </c>
      <c r="CF79" s="16">
        <v>6781141</v>
      </c>
      <c r="CG79" s="16">
        <v>6917134</v>
      </c>
      <c r="CH79" s="16">
        <v>7076204</v>
      </c>
      <c r="CI79" s="16">
        <v>7098541</v>
      </c>
      <c r="CJ79" s="16">
        <v>7272389</v>
      </c>
      <c r="CK79" s="16">
        <v>7217721</v>
      </c>
      <c r="CL79" s="16">
        <v>7327293</v>
      </c>
      <c r="CM79" s="16">
        <v>7435699</v>
      </c>
      <c r="CN79" s="16">
        <v>7424081</v>
      </c>
      <c r="CO79" s="16">
        <v>7477621</v>
      </c>
      <c r="CP79" s="7">
        <v>7546608</v>
      </c>
      <c r="CQ79" s="7">
        <v>7506998</v>
      </c>
      <c r="CR79" s="7">
        <v>7595753</v>
      </c>
      <c r="CS79" s="7">
        <v>8511640</v>
      </c>
      <c r="CT79" s="7">
        <v>8684921</v>
      </c>
      <c r="CU79" s="7">
        <v>8255461</v>
      </c>
      <c r="CV79" s="7">
        <v>8336911</v>
      </c>
      <c r="CW79" s="7">
        <v>8357551</v>
      </c>
      <c r="CX79" s="7">
        <v>8306446</v>
      </c>
      <c r="CY79" s="7">
        <v>8289747</v>
      </c>
      <c r="CZ79" s="7">
        <v>8258508</v>
      </c>
      <c r="DA79" s="7">
        <v>8301883</v>
      </c>
      <c r="DB79" s="7">
        <v>8397986</v>
      </c>
      <c r="DC79" s="7">
        <v>8426397</v>
      </c>
      <c r="DD79" s="7">
        <v>8390548</v>
      </c>
      <c r="DE79" s="7">
        <v>8362472</v>
      </c>
      <c r="DF79" s="7">
        <v>8381796</v>
      </c>
      <c r="DG79" s="7">
        <v>8296850</v>
      </c>
      <c r="DH79" s="7">
        <v>8137126</v>
      </c>
      <c r="DI79" s="7">
        <v>8039116</v>
      </c>
      <c r="DJ79" s="13">
        <v>8076094</v>
      </c>
      <c r="DK79" s="13">
        <v>8089197</v>
      </c>
      <c r="DL79" s="13">
        <v>8211825</v>
      </c>
      <c r="DM79" s="13">
        <v>8255379</v>
      </c>
      <c r="DN79" s="13">
        <v>8332317</v>
      </c>
      <c r="DO79" s="13">
        <v>8362232</v>
      </c>
      <c r="DP79" s="13">
        <v>8385254</v>
      </c>
      <c r="DQ79" s="13">
        <v>8277215</v>
      </c>
      <c r="DR79" s="13">
        <v>8237017</v>
      </c>
      <c r="DS79" s="13">
        <v>8197582</v>
      </c>
      <c r="DT79" s="13">
        <v>8184507</v>
      </c>
      <c r="DU79" s="13">
        <v>8189526</v>
      </c>
      <c r="DV79" s="13">
        <v>8290691</v>
      </c>
      <c r="DW79" s="13">
        <v>8353099</v>
      </c>
      <c r="DX79" s="13">
        <v>8297496</v>
      </c>
      <c r="DY79" s="13">
        <v>8349960</v>
      </c>
      <c r="DZ79" s="13">
        <v>8098358</v>
      </c>
      <c r="EA79" s="13">
        <v>8036936</v>
      </c>
      <c r="EB79" s="13">
        <v>8052405</v>
      </c>
      <c r="EC79" s="13">
        <v>8107043</v>
      </c>
      <c r="ED79" s="13">
        <v>8269543</v>
      </c>
      <c r="EE79" s="13">
        <v>8228817</v>
      </c>
      <c r="EF79" s="13">
        <v>8270370</v>
      </c>
      <c r="EG79" s="13">
        <v>8360366</v>
      </c>
      <c r="EH79" s="13">
        <v>8371679</v>
      </c>
      <c r="EI79" s="13">
        <v>8281954</v>
      </c>
      <c r="EJ79" s="13">
        <v>8429755</v>
      </c>
      <c r="EK79" s="25">
        <f t="shared" si="6"/>
        <v>57258</v>
      </c>
      <c r="EL79" s="13">
        <v>8487013</v>
      </c>
      <c r="EM79" s="25">
        <f t="shared" si="7"/>
        <v>126189</v>
      </c>
      <c r="EN79" s="13">
        <v>8613202</v>
      </c>
      <c r="EO79" s="25">
        <f t="shared" si="8"/>
        <v>110894</v>
      </c>
      <c r="EP79" s="13">
        <v>8724096</v>
      </c>
      <c r="EQ79" s="25">
        <f t="shared" si="9"/>
        <v>79312</v>
      </c>
      <c r="ER79" s="13">
        <v>8803408</v>
      </c>
      <c r="ES79" s="25">
        <f t="shared" si="10"/>
        <v>481891</v>
      </c>
      <c r="ET79" s="13">
        <v>9285299</v>
      </c>
      <c r="EU79" s="25">
        <f t="shared" si="11"/>
        <v>502449</v>
      </c>
      <c r="EV79" s="13">
        <v>9787748</v>
      </c>
      <c r="EW79" s="13">
        <v>10175343</v>
      </c>
      <c r="EX79" s="13">
        <v>10392338</v>
      </c>
      <c r="EY79" s="13">
        <v>10814099</v>
      </c>
      <c r="EZ79" s="13">
        <v>11336423</v>
      </c>
      <c r="FA79" s="13">
        <v>11378987</v>
      </c>
      <c r="FB79" s="13">
        <v>11702889</v>
      </c>
      <c r="FC79" s="13">
        <v>11893564</v>
      </c>
      <c r="FD79" s="13">
        <v>12182137</v>
      </c>
      <c r="FE79" s="13">
        <v>12226255</v>
      </c>
      <c r="FF79" s="13">
        <v>12402175</v>
      </c>
      <c r="FG79" s="13">
        <v>12392491</v>
      </c>
      <c r="FH79" s="13">
        <v>12601151</v>
      </c>
      <c r="FI79" s="13">
        <v>12751609</v>
      </c>
    </row>
    <row r="80" spans="1:165" x14ac:dyDescent="0.4">
      <c r="A80" s="35" t="s">
        <v>13</v>
      </c>
      <c r="B80" s="16">
        <v>0</v>
      </c>
      <c r="C80" s="16">
        <v>0</v>
      </c>
      <c r="D80" s="16">
        <v>2000</v>
      </c>
      <c r="E80" s="16">
        <v>2000</v>
      </c>
      <c r="F80" s="16">
        <v>2000</v>
      </c>
      <c r="G80" s="16">
        <v>2000</v>
      </c>
      <c r="H80" s="16">
        <v>2000</v>
      </c>
      <c r="I80" s="16">
        <v>2000</v>
      </c>
      <c r="J80" s="16">
        <v>2000</v>
      </c>
      <c r="K80" s="16">
        <v>2000</v>
      </c>
      <c r="L80" s="16">
        <v>2000</v>
      </c>
      <c r="M80" s="16">
        <v>2000</v>
      </c>
      <c r="N80" s="16">
        <v>2000</v>
      </c>
      <c r="O80" s="16">
        <v>0</v>
      </c>
      <c r="P80" s="16">
        <v>0</v>
      </c>
      <c r="Q80" s="16">
        <v>0</v>
      </c>
      <c r="R80" s="16">
        <v>0</v>
      </c>
      <c r="S80" s="16">
        <v>15038</v>
      </c>
      <c r="T80" s="16">
        <v>15077</v>
      </c>
      <c r="U80" s="16">
        <v>15008</v>
      </c>
      <c r="V80" s="16">
        <v>15014</v>
      </c>
      <c r="W80" s="16">
        <v>14982</v>
      </c>
      <c r="X80" s="16">
        <v>29949</v>
      </c>
      <c r="Y80" s="16">
        <v>29741</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100</v>
      </c>
      <c r="AV80" s="16">
        <v>100</v>
      </c>
      <c r="AW80" s="16">
        <v>100</v>
      </c>
      <c r="AX80" s="16">
        <v>100</v>
      </c>
      <c r="AY80" s="16">
        <v>100</v>
      </c>
      <c r="AZ80" s="16">
        <v>100</v>
      </c>
      <c r="BA80" s="16">
        <v>100</v>
      </c>
      <c r="BB80" s="16">
        <v>130</v>
      </c>
      <c r="BC80" s="16">
        <v>130</v>
      </c>
      <c r="BD80" s="16">
        <v>130</v>
      </c>
      <c r="BE80" s="16">
        <v>130</v>
      </c>
      <c r="BF80" s="16">
        <v>130</v>
      </c>
      <c r="BG80" s="16">
        <v>60</v>
      </c>
      <c r="BH80" s="16">
        <v>560</v>
      </c>
      <c r="BI80" s="16">
        <v>560</v>
      </c>
      <c r="BJ80" s="16">
        <v>10049</v>
      </c>
      <c r="BK80" s="16">
        <v>15080</v>
      </c>
      <c r="BL80" s="16">
        <v>10119</v>
      </c>
      <c r="BM80" s="16">
        <v>11839</v>
      </c>
      <c r="BN80" s="16">
        <v>10097</v>
      </c>
      <c r="BO80" s="16">
        <v>10840</v>
      </c>
      <c r="BP80" s="16">
        <v>11025</v>
      </c>
      <c r="BQ80" s="16">
        <v>10998</v>
      </c>
      <c r="BR80" s="16">
        <v>11001</v>
      </c>
      <c r="BS80" s="16">
        <v>10958</v>
      </c>
      <c r="BT80" s="16">
        <v>10957</v>
      </c>
      <c r="BU80" s="16">
        <v>10206</v>
      </c>
      <c r="BV80" s="16">
        <v>207</v>
      </c>
      <c r="BW80" s="16">
        <v>208</v>
      </c>
      <c r="BX80" s="16">
        <v>209</v>
      </c>
      <c r="BY80" s="16">
        <v>200</v>
      </c>
      <c r="BZ80" s="16">
        <v>0</v>
      </c>
      <c r="CA80" s="16">
        <v>0</v>
      </c>
      <c r="CB80" s="16">
        <v>0</v>
      </c>
      <c r="CC80" s="16">
        <v>0</v>
      </c>
      <c r="CD80" s="16">
        <v>0</v>
      </c>
      <c r="CE80" s="16">
        <v>50</v>
      </c>
      <c r="CF80" s="16">
        <v>50</v>
      </c>
      <c r="CG80" s="16">
        <v>90</v>
      </c>
      <c r="CH80" s="16">
        <v>90</v>
      </c>
      <c r="CI80" s="16">
        <v>190</v>
      </c>
      <c r="CJ80" s="16">
        <v>195</v>
      </c>
      <c r="CK80" s="16">
        <v>192</v>
      </c>
      <c r="CL80" s="16">
        <v>194</v>
      </c>
      <c r="CM80" s="16">
        <v>195</v>
      </c>
      <c r="CN80" s="16">
        <v>191</v>
      </c>
      <c r="CO80" s="16">
        <v>195</v>
      </c>
      <c r="CP80" s="7">
        <v>196</v>
      </c>
      <c r="CQ80" s="7">
        <v>142</v>
      </c>
      <c r="CR80" s="7">
        <v>164</v>
      </c>
      <c r="CS80" s="7">
        <v>334</v>
      </c>
      <c r="CT80" s="7">
        <v>371</v>
      </c>
      <c r="CU80" s="7">
        <v>373</v>
      </c>
      <c r="CV80" s="7">
        <v>373</v>
      </c>
      <c r="CW80" s="7">
        <v>369</v>
      </c>
      <c r="CX80" s="7">
        <v>370</v>
      </c>
      <c r="CY80" s="7">
        <v>370</v>
      </c>
      <c r="CZ80" s="7">
        <v>406</v>
      </c>
      <c r="DA80" s="7">
        <v>387</v>
      </c>
      <c r="DB80" s="7">
        <v>386</v>
      </c>
      <c r="DC80" s="7">
        <v>215</v>
      </c>
      <c r="DD80" s="7">
        <v>133</v>
      </c>
      <c r="DE80" s="7">
        <v>94</v>
      </c>
      <c r="DF80" s="7">
        <v>40</v>
      </c>
      <c r="DG80" s="7">
        <v>41</v>
      </c>
      <c r="DH80" s="7">
        <v>41</v>
      </c>
      <c r="DI80" s="7">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166</v>
      </c>
      <c r="EA80" s="13">
        <v>212</v>
      </c>
      <c r="EB80" s="13">
        <v>214</v>
      </c>
      <c r="EC80" s="13">
        <v>217</v>
      </c>
      <c r="ED80" s="13">
        <v>2122</v>
      </c>
      <c r="EE80" s="13">
        <v>2144</v>
      </c>
      <c r="EF80" s="13">
        <v>2135</v>
      </c>
      <c r="EG80" s="13">
        <v>2124</v>
      </c>
      <c r="EH80" s="13">
        <v>2123</v>
      </c>
      <c r="EI80" s="13">
        <v>2097</v>
      </c>
      <c r="EJ80" s="13">
        <v>2086</v>
      </c>
      <c r="EK80" s="25">
        <f t="shared" si="6"/>
        <v>1</v>
      </c>
      <c r="EL80" s="13">
        <v>2087</v>
      </c>
      <c r="EM80" s="25">
        <f t="shared" si="7"/>
        <v>-7</v>
      </c>
      <c r="EN80" s="13">
        <v>2080</v>
      </c>
      <c r="EO80" s="25">
        <f t="shared" si="8"/>
        <v>56</v>
      </c>
      <c r="EP80" s="13">
        <v>2136</v>
      </c>
      <c r="EQ80" s="25">
        <f t="shared" si="9"/>
        <v>-14</v>
      </c>
      <c r="ER80" s="13">
        <v>2122</v>
      </c>
      <c r="ES80" s="25">
        <f t="shared" si="10"/>
        <v>18065</v>
      </c>
      <c r="ET80" s="13">
        <v>20187</v>
      </c>
      <c r="EU80" s="25">
        <f t="shared" si="11"/>
        <v>1257</v>
      </c>
      <c r="EV80" s="13">
        <v>21444</v>
      </c>
      <c r="EW80" s="13">
        <v>28198</v>
      </c>
      <c r="EX80" s="13">
        <v>28578</v>
      </c>
      <c r="EY80" s="13">
        <v>28631</v>
      </c>
      <c r="EZ80" s="13">
        <v>28620</v>
      </c>
      <c r="FA80" s="13">
        <v>28627</v>
      </c>
      <c r="FB80" s="13">
        <v>28465</v>
      </c>
      <c r="FC80" s="13">
        <v>28489</v>
      </c>
      <c r="FD80" s="13">
        <v>28427</v>
      </c>
      <c r="FE80" s="13">
        <v>28199</v>
      </c>
      <c r="FF80" s="13">
        <v>30497</v>
      </c>
      <c r="FG80" s="13">
        <v>10491</v>
      </c>
      <c r="FH80" s="13">
        <v>8221</v>
      </c>
      <c r="FI80" s="13">
        <v>3313</v>
      </c>
    </row>
    <row r="81" spans="1:165" x14ac:dyDescent="0.4">
      <c r="A81" s="35" t="s">
        <v>14</v>
      </c>
      <c r="B81" s="16">
        <v>1838806</v>
      </c>
      <c r="C81" s="16">
        <v>1817095</v>
      </c>
      <c r="D81" s="16">
        <v>1875482</v>
      </c>
      <c r="E81" s="16">
        <v>1944070</v>
      </c>
      <c r="F81" s="16">
        <v>1934513</v>
      </c>
      <c r="G81" s="16">
        <v>1929038</v>
      </c>
      <c r="H81" s="16">
        <v>2007239</v>
      </c>
      <c r="I81" s="16">
        <v>2026613</v>
      </c>
      <c r="J81" s="16">
        <v>2015485</v>
      </c>
      <c r="K81" s="16">
        <v>2049738</v>
      </c>
      <c r="L81" s="16">
        <v>2041224</v>
      </c>
      <c r="M81" s="16">
        <v>2125696</v>
      </c>
      <c r="N81" s="16">
        <v>2128393</v>
      </c>
      <c r="O81" s="16">
        <v>2189168</v>
      </c>
      <c r="P81" s="16">
        <v>2210883</v>
      </c>
      <c r="Q81" s="16">
        <v>2141043</v>
      </c>
      <c r="R81" s="16">
        <v>2114139</v>
      </c>
      <c r="S81" s="16">
        <v>2096381</v>
      </c>
      <c r="T81" s="16">
        <v>2121126</v>
      </c>
      <c r="U81" s="16">
        <v>2098375</v>
      </c>
      <c r="V81" s="16">
        <v>2083710</v>
      </c>
      <c r="W81" s="16">
        <v>2103239</v>
      </c>
      <c r="X81" s="16">
        <v>2150624</v>
      </c>
      <c r="Y81" s="16">
        <v>2117834</v>
      </c>
      <c r="Z81" s="16">
        <v>2730955</v>
      </c>
      <c r="AA81" s="16">
        <v>3117056</v>
      </c>
      <c r="AB81" s="16">
        <v>3113463</v>
      </c>
      <c r="AC81" s="16">
        <v>3146386</v>
      </c>
      <c r="AD81" s="16">
        <v>3169314</v>
      </c>
      <c r="AE81" s="16">
        <v>3284415</v>
      </c>
      <c r="AF81" s="16">
        <v>3350885</v>
      </c>
      <c r="AG81" s="16">
        <v>3445087</v>
      </c>
      <c r="AH81" s="16">
        <v>3474152</v>
      </c>
      <c r="AI81" s="16">
        <v>3471126</v>
      </c>
      <c r="AJ81" s="16">
        <v>3519799</v>
      </c>
      <c r="AK81" s="16">
        <v>3567386</v>
      </c>
      <c r="AL81" s="16">
        <v>3557366</v>
      </c>
      <c r="AM81" s="16">
        <v>3577007</v>
      </c>
      <c r="AN81" s="16">
        <v>3517820</v>
      </c>
      <c r="AO81" s="16">
        <v>3536208</v>
      </c>
      <c r="AP81" s="16">
        <v>3648667</v>
      </c>
      <c r="AQ81" s="16">
        <v>3710929</v>
      </c>
      <c r="AR81" s="16">
        <v>3787763</v>
      </c>
      <c r="AS81" s="16">
        <v>3797091</v>
      </c>
      <c r="AT81" s="16">
        <v>3855072</v>
      </c>
      <c r="AU81" s="16">
        <v>3964507</v>
      </c>
      <c r="AV81" s="16">
        <v>4015258</v>
      </c>
      <c r="AW81" s="16">
        <v>4054872</v>
      </c>
      <c r="AX81" s="16">
        <v>4755683</v>
      </c>
      <c r="AY81" s="16">
        <v>4755263</v>
      </c>
      <c r="AZ81" s="16">
        <v>4805941</v>
      </c>
      <c r="BA81" s="16">
        <v>4872963</v>
      </c>
      <c r="BB81" s="16">
        <v>4970117</v>
      </c>
      <c r="BC81" s="16">
        <v>5124731</v>
      </c>
      <c r="BD81" s="16">
        <v>5125117</v>
      </c>
      <c r="BE81" s="16">
        <v>5404652</v>
      </c>
      <c r="BF81" s="16">
        <v>5439878</v>
      </c>
      <c r="BG81" s="16">
        <v>5441892</v>
      </c>
      <c r="BH81" s="16">
        <v>5552508</v>
      </c>
      <c r="BI81" s="16">
        <v>5550508</v>
      </c>
      <c r="BJ81" s="16">
        <v>6211919</v>
      </c>
      <c r="BK81" s="16">
        <v>6185032</v>
      </c>
      <c r="BL81" s="16">
        <v>6278612</v>
      </c>
      <c r="BM81" s="16">
        <v>6361314</v>
      </c>
      <c r="BN81" s="16">
        <v>6364309</v>
      </c>
      <c r="BO81" s="16">
        <v>6285599</v>
      </c>
      <c r="BP81" s="16">
        <v>6294817</v>
      </c>
      <c r="BQ81" s="16">
        <v>6280090</v>
      </c>
      <c r="BR81" s="16">
        <v>6228211</v>
      </c>
      <c r="BS81" s="16">
        <v>6179606</v>
      </c>
      <c r="BT81" s="16">
        <v>6152641</v>
      </c>
      <c r="BU81" s="16">
        <v>6236221</v>
      </c>
      <c r="BV81" s="16">
        <v>6235915</v>
      </c>
      <c r="BW81" s="16">
        <v>6254687</v>
      </c>
      <c r="BX81" s="16">
        <v>6323198</v>
      </c>
      <c r="BY81" s="16">
        <v>6383374</v>
      </c>
      <c r="BZ81" s="16">
        <v>6530380</v>
      </c>
      <c r="CA81" s="16">
        <v>6515147</v>
      </c>
      <c r="CB81" s="16">
        <v>6577747</v>
      </c>
      <c r="CC81" s="16">
        <v>6690455</v>
      </c>
      <c r="CD81" s="16">
        <v>6677639</v>
      </c>
      <c r="CE81" s="16">
        <v>6638251</v>
      </c>
      <c r="CF81" s="16">
        <v>6781091</v>
      </c>
      <c r="CG81" s="16">
        <v>6917044</v>
      </c>
      <c r="CH81" s="16">
        <v>7076114</v>
      </c>
      <c r="CI81" s="16">
        <v>7098351</v>
      </c>
      <c r="CJ81" s="16">
        <v>7272193</v>
      </c>
      <c r="CK81" s="16">
        <v>7217529</v>
      </c>
      <c r="CL81" s="16">
        <v>7327099</v>
      </c>
      <c r="CM81" s="16">
        <v>7435504</v>
      </c>
      <c r="CN81" s="16">
        <v>7423890</v>
      </c>
      <c r="CO81" s="16">
        <v>7477427</v>
      </c>
      <c r="CP81" s="7">
        <v>7546411</v>
      </c>
      <c r="CQ81" s="7">
        <v>7506856</v>
      </c>
      <c r="CR81" s="7">
        <v>7595589</v>
      </c>
      <c r="CS81" s="7">
        <v>8511306</v>
      </c>
      <c r="CT81" s="7">
        <v>8684550</v>
      </c>
      <c r="CU81" s="7">
        <v>8255089</v>
      </c>
      <c r="CV81" s="7">
        <v>8336538</v>
      </c>
      <c r="CW81" s="7">
        <v>8357182</v>
      </c>
      <c r="CX81" s="7">
        <v>8306076</v>
      </c>
      <c r="CY81" s="7">
        <v>8289377</v>
      </c>
      <c r="CZ81" s="7">
        <v>8258102</v>
      </c>
      <c r="DA81" s="7">
        <v>8301496</v>
      </c>
      <c r="DB81" s="7">
        <v>8397600</v>
      </c>
      <c r="DC81" s="7">
        <v>8426182</v>
      </c>
      <c r="DD81" s="7">
        <v>8390416</v>
      </c>
      <c r="DE81" s="7">
        <v>8362379</v>
      </c>
      <c r="DF81" s="7">
        <v>8381756</v>
      </c>
      <c r="DG81" s="7">
        <v>8296809</v>
      </c>
      <c r="DH81" s="7">
        <v>8137085</v>
      </c>
      <c r="DI81" s="7">
        <v>8039116</v>
      </c>
      <c r="DJ81" s="13">
        <v>8076094</v>
      </c>
      <c r="DK81" s="13">
        <v>8089197</v>
      </c>
      <c r="DL81" s="13">
        <v>8211825</v>
      </c>
      <c r="DM81" s="13">
        <v>8255379</v>
      </c>
      <c r="DN81" s="13">
        <v>8332317</v>
      </c>
      <c r="DO81" s="13">
        <v>8362232</v>
      </c>
      <c r="DP81" s="13">
        <v>8385254</v>
      </c>
      <c r="DQ81" s="13">
        <v>8277215</v>
      </c>
      <c r="DR81" s="13">
        <v>8237017</v>
      </c>
      <c r="DS81" s="13">
        <v>8197582</v>
      </c>
      <c r="DT81" s="13">
        <v>8184507</v>
      </c>
      <c r="DU81" s="13">
        <v>8189526</v>
      </c>
      <c r="DV81" s="13">
        <v>8290691</v>
      </c>
      <c r="DW81" s="13">
        <v>8353099</v>
      </c>
      <c r="DX81" s="13">
        <v>8297496</v>
      </c>
      <c r="DY81" s="13">
        <v>8349960</v>
      </c>
      <c r="DZ81" s="13">
        <v>8098192</v>
      </c>
      <c r="EA81" s="13">
        <v>8036723</v>
      </c>
      <c r="EB81" s="13">
        <v>8052190</v>
      </c>
      <c r="EC81" s="13">
        <v>8106826</v>
      </c>
      <c r="ED81" s="13">
        <v>8267421</v>
      </c>
      <c r="EE81" s="13">
        <v>8226673</v>
      </c>
      <c r="EF81" s="13">
        <v>8268235</v>
      </c>
      <c r="EG81" s="13">
        <v>8358242</v>
      </c>
      <c r="EH81" s="13">
        <v>8369556</v>
      </c>
      <c r="EI81" s="13">
        <v>8279857</v>
      </c>
      <c r="EJ81" s="13">
        <v>8427670</v>
      </c>
      <c r="EK81" s="25">
        <f t="shared" si="6"/>
        <v>57257</v>
      </c>
      <c r="EL81" s="13">
        <v>8484927</v>
      </c>
      <c r="EM81" s="25">
        <f t="shared" si="7"/>
        <v>126194</v>
      </c>
      <c r="EN81" s="13">
        <v>8611121</v>
      </c>
      <c r="EO81" s="25">
        <f t="shared" si="8"/>
        <v>110839</v>
      </c>
      <c r="EP81" s="13">
        <v>8721960</v>
      </c>
      <c r="EQ81" s="25">
        <f t="shared" si="9"/>
        <v>79326</v>
      </c>
      <c r="ER81" s="13">
        <v>8801286</v>
      </c>
      <c r="ES81" s="25">
        <f t="shared" si="10"/>
        <v>463826</v>
      </c>
      <c r="ET81" s="13">
        <v>9265112</v>
      </c>
      <c r="EU81" s="25">
        <f t="shared" si="11"/>
        <v>501192</v>
      </c>
      <c r="EV81" s="13">
        <v>9766304</v>
      </c>
      <c r="EW81" s="13">
        <v>10147145</v>
      </c>
      <c r="EX81" s="13">
        <v>10363760</v>
      </c>
      <c r="EY81" s="13">
        <v>10785468</v>
      </c>
      <c r="EZ81" s="13">
        <v>11307803</v>
      </c>
      <c r="FA81" s="13">
        <v>11350359</v>
      </c>
      <c r="FB81" s="13">
        <v>11674424</v>
      </c>
      <c r="FC81" s="13">
        <v>11865074</v>
      </c>
      <c r="FD81" s="13">
        <v>12153710</v>
      </c>
      <c r="FE81" s="13">
        <v>12198055</v>
      </c>
      <c r="FF81" s="13">
        <v>12371678</v>
      </c>
      <c r="FG81" s="13">
        <v>12382000</v>
      </c>
      <c r="FH81" s="13">
        <v>12592930</v>
      </c>
      <c r="FI81" s="13">
        <v>12748296</v>
      </c>
    </row>
    <row r="82" spans="1:165" x14ac:dyDescent="0.4">
      <c r="A82" s="35" t="s">
        <v>27</v>
      </c>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v>220923</v>
      </c>
      <c r="BW82" s="16">
        <v>220799</v>
      </c>
      <c r="BX82" s="16">
        <v>231821</v>
      </c>
      <c r="BY82" s="16">
        <v>283842</v>
      </c>
      <c r="BZ82" s="16">
        <v>252670</v>
      </c>
      <c r="CA82" s="16">
        <v>268356</v>
      </c>
      <c r="CB82" s="16">
        <v>263777</v>
      </c>
      <c r="CC82" s="16">
        <v>256403</v>
      </c>
      <c r="CD82" s="16">
        <v>258596</v>
      </c>
      <c r="CE82" s="16">
        <v>203919</v>
      </c>
      <c r="CF82" s="16">
        <v>260162</v>
      </c>
      <c r="CG82" s="16">
        <v>303597</v>
      </c>
      <c r="CH82" s="16">
        <v>729469</v>
      </c>
      <c r="CI82" s="16">
        <v>1139104</v>
      </c>
      <c r="CJ82" s="16">
        <v>1181644</v>
      </c>
      <c r="CK82" s="16">
        <v>1155546</v>
      </c>
      <c r="CL82" s="16">
        <v>1173087</v>
      </c>
      <c r="CM82" s="16">
        <v>1152976</v>
      </c>
      <c r="CN82" s="16">
        <v>1175383</v>
      </c>
      <c r="CO82" s="16">
        <v>1159524</v>
      </c>
      <c r="CP82" s="7">
        <v>1180190</v>
      </c>
      <c r="CQ82" s="7">
        <v>1149453</v>
      </c>
      <c r="CR82" s="7">
        <v>1109316</v>
      </c>
      <c r="CS82" s="7">
        <v>1093550</v>
      </c>
      <c r="CT82" s="7">
        <v>666857</v>
      </c>
      <c r="CU82" s="7">
        <v>292194</v>
      </c>
      <c r="CV82" s="7">
        <v>314929</v>
      </c>
      <c r="CW82" s="7">
        <v>291076</v>
      </c>
      <c r="CX82" s="7">
        <v>324874</v>
      </c>
      <c r="CY82" s="7">
        <v>339101</v>
      </c>
      <c r="CZ82" s="7">
        <v>334516</v>
      </c>
      <c r="DA82" s="7">
        <v>389005</v>
      </c>
      <c r="DB82" s="7">
        <v>381164</v>
      </c>
      <c r="DC82" s="7">
        <v>393467</v>
      </c>
      <c r="DD82" s="7">
        <v>455354</v>
      </c>
      <c r="DE82" s="7">
        <v>447714</v>
      </c>
      <c r="DF82" s="7">
        <v>487705</v>
      </c>
      <c r="DG82" s="7">
        <v>518919</v>
      </c>
      <c r="DH82" s="7">
        <v>485241</v>
      </c>
      <c r="DI82" s="7">
        <v>565019</v>
      </c>
      <c r="DJ82" s="13">
        <v>524720</v>
      </c>
      <c r="DK82" s="13">
        <v>582374</v>
      </c>
      <c r="DL82" s="13">
        <v>634026</v>
      </c>
      <c r="DM82" s="13">
        <v>590024</v>
      </c>
      <c r="DN82" s="13">
        <v>634930</v>
      </c>
      <c r="DO82" s="13">
        <v>599850</v>
      </c>
      <c r="DP82" s="13">
        <v>558718</v>
      </c>
      <c r="DQ82" s="13">
        <v>564353</v>
      </c>
      <c r="DR82" s="13">
        <v>590111</v>
      </c>
      <c r="DS82" s="13">
        <v>575926</v>
      </c>
      <c r="DT82" s="13">
        <v>591196</v>
      </c>
      <c r="DU82" s="13">
        <v>582387</v>
      </c>
      <c r="DV82" s="13">
        <v>582779</v>
      </c>
      <c r="DW82" s="13">
        <v>548027</v>
      </c>
      <c r="DX82" s="13">
        <v>472623</v>
      </c>
      <c r="DY82" s="13">
        <v>486534</v>
      </c>
      <c r="DZ82" s="13">
        <v>487728</v>
      </c>
      <c r="EA82" s="13">
        <v>519443</v>
      </c>
      <c r="EB82" s="13">
        <v>491878</v>
      </c>
      <c r="EC82" s="13">
        <v>744156</v>
      </c>
      <c r="ED82" s="13">
        <v>760877</v>
      </c>
      <c r="EE82" s="13">
        <v>726994</v>
      </c>
      <c r="EF82" s="13">
        <v>737409</v>
      </c>
      <c r="EG82" s="13">
        <v>759431</v>
      </c>
      <c r="EH82" s="13">
        <v>822638</v>
      </c>
      <c r="EI82" s="13">
        <v>810497</v>
      </c>
      <c r="EJ82" s="13">
        <v>873069</v>
      </c>
      <c r="EK82" s="25">
        <f t="shared" si="6"/>
        <v>-4481</v>
      </c>
      <c r="EL82" s="13">
        <v>868588</v>
      </c>
      <c r="EM82" s="25">
        <f t="shared" si="7"/>
        <v>-33866</v>
      </c>
      <c r="EN82" s="13">
        <v>834722</v>
      </c>
      <c r="EO82" s="25">
        <f t="shared" si="8"/>
        <v>-17044</v>
      </c>
      <c r="EP82" s="13">
        <v>817678</v>
      </c>
      <c r="EQ82" s="25">
        <f t="shared" si="9"/>
        <v>108522</v>
      </c>
      <c r="ER82" s="13">
        <v>926200</v>
      </c>
      <c r="ES82" s="25">
        <f t="shared" si="10"/>
        <v>-209092</v>
      </c>
      <c r="ET82" s="13">
        <v>717108</v>
      </c>
      <c r="EU82" s="25">
        <f t="shared" si="11"/>
        <v>32264</v>
      </c>
      <c r="EV82" s="13">
        <v>749372</v>
      </c>
      <c r="EW82" s="13">
        <v>816466</v>
      </c>
      <c r="EX82" s="13">
        <v>788387</v>
      </c>
      <c r="EY82" s="13">
        <v>775630</v>
      </c>
      <c r="EZ82" s="13">
        <v>840157</v>
      </c>
      <c r="FA82" s="13">
        <v>931024</v>
      </c>
      <c r="FB82" s="13">
        <v>1013537</v>
      </c>
      <c r="FC82" s="13">
        <v>1105223</v>
      </c>
      <c r="FD82" s="13">
        <v>1219905</v>
      </c>
      <c r="FE82" s="13">
        <v>1403824</v>
      </c>
      <c r="FF82" s="13">
        <v>1350216</v>
      </c>
      <c r="FG82" s="13">
        <v>1968533</v>
      </c>
      <c r="FH82" s="13">
        <v>2035202</v>
      </c>
      <c r="FI82" s="13">
        <v>1967071</v>
      </c>
    </row>
    <row r="83" spans="1:165" x14ac:dyDescent="0.4">
      <c r="A83" s="35" t="s">
        <v>30</v>
      </c>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v>6014992</v>
      </c>
      <c r="BW83" s="16">
        <v>6033888</v>
      </c>
      <c r="BX83" s="16">
        <v>6091377</v>
      </c>
      <c r="BY83" s="16">
        <v>6099531</v>
      </c>
      <c r="BZ83" s="16">
        <v>6277710</v>
      </c>
      <c r="CA83" s="16">
        <v>6246791</v>
      </c>
      <c r="CB83" s="16">
        <v>6313969</v>
      </c>
      <c r="CC83" s="16">
        <v>6434052</v>
      </c>
      <c r="CD83" s="16">
        <v>6419042</v>
      </c>
      <c r="CE83" s="16">
        <v>6434332</v>
      </c>
      <c r="CF83" s="16">
        <v>6520929</v>
      </c>
      <c r="CG83" s="16">
        <v>6613447</v>
      </c>
      <c r="CH83" s="16">
        <v>6346645</v>
      </c>
      <c r="CI83" s="16">
        <v>5959246</v>
      </c>
      <c r="CJ83" s="16">
        <v>6090550</v>
      </c>
      <c r="CK83" s="16">
        <v>6061983</v>
      </c>
      <c r="CL83" s="16">
        <v>6154012</v>
      </c>
      <c r="CM83" s="16">
        <v>6282528</v>
      </c>
      <c r="CN83" s="16">
        <v>6248507</v>
      </c>
      <c r="CO83" s="16">
        <v>6317903</v>
      </c>
      <c r="CP83" s="7">
        <v>6366221</v>
      </c>
      <c r="CQ83" s="7">
        <v>6357402</v>
      </c>
      <c r="CR83" s="7">
        <v>6486273</v>
      </c>
      <c r="CS83" s="7">
        <v>7417757</v>
      </c>
      <c r="CT83" s="7">
        <v>8017693</v>
      </c>
      <c r="CU83" s="7">
        <v>7962894</v>
      </c>
      <c r="CV83" s="7">
        <v>8021610</v>
      </c>
      <c r="CW83" s="7">
        <v>8066106</v>
      </c>
      <c r="CX83" s="7">
        <v>7981202</v>
      </c>
      <c r="CY83" s="7">
        <v>7950277</v>
      </c>
      <c r="CZ83" s="7">
        <v>7923587</v>
      </c>
      <c r="DA83" s="7">
        <v>7912491</v>
      </c>
      <c r="DB83" s="7">
        <v>8016436</v>
      </c>
      <c r="DC83" s="7">
        <v>8032715</v>
      </c>
      <c r="DD83" s="7">
        <v>7935061</v>
      </c>
      <c r="DE83" s="7">
        <v>7914665</v>
      </c>
      <c r="DF83" s="7">
        <v>7894051</v>
      </c>
      <c r="DG83" s="7">
        <v>7777890</v>
      </c>
      <c r="DH83" s="7">
        <v>7651844</v>
      </c>
      <c r="DI83" s="7">
        <v>7474096</v>
      </c>
      <c r="DJ83" s="13">
        <v>7551374</v>
      </c>
      <c r="DK83" s="13">
        <v>7506823</v>
      </c>
      <c r="DL83" s="13">
        <v>7577799</v>
      </c>
      <c r="DM83" s="13">
        <v>7665355</v>
      </c>
      <c r="DN83" s="13">
        <v>7697387</v>
      </c>
      <c r="DO83" s="13">
        <v>7762382</v>
      </c>
      <c r="DP83" s="13">
        <v>7826536</v>
      </c>
      <c r="DQ83" s="13">
        <v>7712863</v>
      </c>
      <c r="DR83" s="13">
        <v>7646906</v>
      </c>
      <c r="DS83" s="13">
        <v>7621657</v>
      </c>
      <c r="DT83" s="13">
        <v>7593311</v>
      </c>
      <c r="DU83" s="13">
        <v>7607139</v>
      </c>
      <c r="DV83" s="13">
        <v>7707912</v>
      </c>
      <c r="DW83" s="13">
        <v>7805072</v>
      </c>
      <c r="DX83" s="13">
        <v>7824873</v>
      </c>
      <c r="DY83" s="13">
        <v>7863426</v>
      </c>
      <c r="DZ83" s="13">
        <v>7610464</v>
      </c>
      <c r="EA83" s="13">
        <v>7517281</v>
      </c>
      <c r="EB83" s="13">
        <v>7560312</v>
      </c>
      <c r="EC83" s="13">
        <v>7362670</v>
      </c>
      <c r="ED83" s="13">
        <v>7506545</v>
      </c>
      <c r="EE83" s="13">
        <v>7499678</v>
      </c>
      <c r="EF83" s="13">
        <v>7530827</v>
      </c>
      <c r="EG83" s="13">
        <v>7598811</v>
      </c>
      <c r="EH83" s="13">
        <v>7546918</v>
      </c>
      <c r="EI83" s="13">
        <v>7469360</v>
      </c>
      <c r="EJ83" s="13">
        <v>7554601</v>
      </c>
      <c r="EK83" s="25">
        <f t="shared" si="6"/>
        <v>61738</v>
      </c>
      <c r="EL83" s="13">
        <v>7616339</v>
      </c>
      <c r="EM83" s="25">
        <f t="shared" si="7"/>
        <v>160060</v>
      </c>
      <c r="EN83" s="13">
        <v>7776399</v>
      </c>
      <c r="EO83" s="25">
        <f t="shared" si="8"/>
        <v>127883</v>
      </c>
      <c r="EP83" s="13">
        <v>7904282</v>
      </c>
      <c r="EQ83" s="25">
        <f t="shared" si="9"/>
        <v>-29196</v>
      </c>
      <c r="ER83" s="13">
        <v>7875086</v>
      </c>
      <c r="ES83" s="25">
        <f t="shared" si="10"/>
        <v>672918</v>
      </c>
      <c r="ET83" s="13">
        <v>8548004</v>
      </c>
      <c r="EU83" s="25">
        <f t="shared" si="11"/>
        <v>468928</v>
      </c>
      <c r="EV83" s="13">
        <v>9016932</v>
      </c>
      <c r="EW83" s="13">
        <v>9330678</v>
      </c>
      <c r="EX83" s="13">
        <v>9575373</v>
      </c>
      <c r="EY83" s="13">
        <v>10009838</v>
      </c>
      <c r="EZ83" s="13">
        <v>10467646</v>
      </c>
      <c r="FA83" s="13">
        <v>10419336</v>
      </c>
      <c r="FB83" s="13">
        <v>10660887</v>
      </c>
      <c r="FC83" s="13">
        <v>10759851</v>
      </c>
      <c r="FD83" s="13">
        <v>10933804</v>
      </c>
      <c r="FE83" s="13">
        <v>10794231</v>
      </c>
      <c r="FF83" s="13">
        <v>11021463</v>
      </c>
      <c r="FG83" s="13">
        <v>10413467</v>
      </c>
      <c r="FH83" s="13">
        <v>10557727</v>
      </c>
      <c r="FI83" s="13">
        <v>10781225</v>
      </c>
    </row>
    <row r="84" spans="1:165" x14ac:dyDescent="0.4">
      <c r="A84" s="34" t="s">
        <v>8</v>
      </c>
      <c r="B84" s="16">
        <v>70482</v>
      </c>
      <c r="C84" s="16">
        <v>70535</v>
      </c>
      <c r="D84" s="16">
        <v>70524</v>
      </c>
      <c r="E84" s="16">
        <v>70554</v>
      </c>
      <c r="F84" s="16">
        <v>70575</v>
      </c>
      <c r="G84" s="16">
        <v>70512</v>
      </c>
      <c r="H84" s="16">
        <v>70540</v>
      </c>
      <c r="I84" s="16">
        <v>70541</v>
      </c>
      <c r="J84" s="16">
        <v>70525</v>
      </c>
      <c r="K84" s="16">
        <v>88005</v>
      </c>
      <c r="L84" s="16">
        <v>102983</v>
      </c>
      <c r="M84" s="16">
        <v>103032</v>
      </c>
      <c r="N84" s="16">
        <v>102981</v>
      </c>
      <c r="O84" s="16">
        <v>102945</v>
      </c>
      <c r="P84" s="16">
        <v>102926</v>
      </c>
      <c r="Q84" s="16">
        <v>102786</v>
      </c>
      <c r="R84" s="16">
        <v>99580</v>
      </c>
      <c r="S84" s="16">
        <v>99361</v>
      </c>
      <c r="T84" s="16">
        <v>100939</v>
      </c>
      <c r="U84" s="16">
        <v>100850</v>
      </c>
      <c r="V84" s="16">
        <v>100530</v>
      </c>
      <c r="W84" s="16">
        <v>100694</v>
      </c>
      <c r="X84" s="16">
        <v>100644</v>
      </c>
      <c r="Y84" s="16">
        <v>100762</v>
      </c>
      <c r="Z84" s="16">
        <v>104592</v>
      </c>
      <c r="AA84" s="16">
        <v>103942</v>
      </c>
      <c r="AB84" s="16">
        <v>103560</v>
      </c>
      <c r="AC84" s="16">
        <v>104139</v>
      </c>
      <c r="AD84" s="16">
        <v>107516</v>
      </c>
      <c r="AE84" s="16">
        <v>107789</v>
      </c>
      <c r="AF84" s="16">
        <v>107943</v>
      </c>
      <c r="AG84" s="16">
        <v>108021</v>
      </c>
      <c r="AH84" s="16">
        <v>108317</v>
      </c>
      <c r="AI84" s="16">
        <v>108313</v>
      </c>
      <c r="AJ84" s="16">
        <v>106283</v>
      </c>
      <c r="AK84" s="16">
        <v>111425</v>
      </c>
      <c r="AL84" s="16">
        <v>111446</v>
      </c>
      <c r="AM84" s="16">
        <v>111521</v>
      </c>
      <c r="AN84" s="16">
        <v>114157</v>
      </c>
      <c r="AO84" s="16">
        <v>114411</v>
      </c>
      <c r="AP84" s="16">
        <v>114513</v>
      </c>
      <c r="AQ84" s="16">
        <v>114525</v>
      </c>
      <c r="AR84" s="16">
        <v>113656</v>
      </c>
      <c r="AS84" s="16">
        <v>113925</v>
      </c>
      <c r="AT84" s="16">
        <v>114261</v>
      </c>
      <c r="AU84" s="16">
        <v>114399</v>
      </c>
      <c r="AV84" s="16">
        <v>108977</v>
      </c>
      <c r="AW84" s="16">
        <v>109412</v>
      </c>
      <c r="AX84" s="16">
        <v>109409</v>
      </c>
      <c r="AY84" s="16">
        <v>109399</v>
      </c>
      <c r="AZ84" s="16">
        <v>109412</v>
      </c>
      <c r="BA84" s="16">
        <v>109305</v>
      </c>
      <c r="BB84" s="16">
        <v>109226</v>
      </c>
      <c r="BC84" s="16">
        <v>109274</v>
      </c>
      <c r="BD84" s="16">
        <v>119606</v>
      </c>
      <c r="BE84" s="16">
        <v>119516</v>
      </c>
      <c r="BF84" s="16">
        <v>119765</v>
      </c>
      <c r="BG84" s="16">
        <v>119728</v>
      </c>
      <c r="BH84" s="16">
        <v>119833</v>
      </c>
      <c r="BI84" s="16">
        <v>106980</v>
      </c>
      <c r="BJ84" s="16">
        <v>107091</v>
      </c>
      <c r="BK84" s="16">
        <v>107149</v>
      </c>
      <c r="BL84" s="16">
        <v>107389</v>
      </c>
      <c r="BM84" s="16">
        <v>107541</v>
      </c>
      <c r="BN84" s="16">
        <v>107641</v>
      </c>
      <c r="BO84" s="16">
        <v>107886</v>
      </c>
      <c r="BP84" s="16">
        <v>107203</v>
      </c>
      <c r="BQ84" s="16">
        <v>117113</v>
      </c>
      <c r="BR84" s="16">
        <v>116693</v>
      </c>
      <c r="BS84" s="16">
        <v>109543</v>
      </c>
      <c r="BT84" s="16">
        <v>102602</v>
      </c>
      <c r="BU84" s="16">
        <v>107566</v>
      </c>
      <c r="BV84" s="16">
        <v>107636</v>
      </c>
      <c r="BW84" s="16">
        <v>102541</v>
      </c>
      <c r="BX84" s="16">
        <v>97719</v>
      </c>
      <c r="BY84" s="16">
        <v>102856</v>
      </c>
      <c r="BZ84" s="16">
        <v>102934</v>
      </c>
      <c r="CA84" s="16">
        <v>102923</v>
      </c>
      <c r="CB84" s="16">
        <v>102974</v>
      </c>
      <c r="CC84" s="16">
        <v>108079</v>
      </c>
      <c r="CD84" s="16">
        <v>108073</v>
      </c>
      <c r="CE84" s="16">
        <v>110300</v>
      </c>
      <c r="CF84" s="16">
        <v>117588</v>
      </c>
      <c r="CG84" s="16">
        <v>111744</v>
      </c>
      <c r="CH84" s="16">
        <v>122960</v>
      </c>
      <c r="CI84" s="16">
        <v>123001</v>
      </c>
      <c r="CJ84" s="16">
        <v>122153</v>
      </c>
      <c r="CK84" s="16">
        <v>120856</v>
      </c>
      <c r="CL84" s="16">
        <v>131670</v>
      </c>
      <c r="CM84" s="16">
        <v>156086</v>
      </c>
      <c r="CN84" s="16">
        <v>161911</v>
      </c>
      <c r="CO84" s="16">
        <v>156959</v>
      </c>
      <c r="CP84" s="7">
        <v>155444</v>
      </c>
      <c r="CQ84" s="7">
        <v>151388</v>
      </c>
      <c r="CR84" s="7">
        <v>145227</v>
      </c>
      <c r="CS84" s="7">
        <v>132216</v>
      </c>
      <c r="CT84" s="7">
        <v>134901</v>
      </c>
      <c r="CU84" s="7">
        <v>134218</v>
      </c>
      <c r="CV84" s="7">
        <v>134047</v>
      </c>
      <c r="CW84" s="7">
        <v>130661</v>
      </c>
      <c r="CX84" s="7">
        <v>131787</v>
      </c>
      <c r="CY84" s="7">
        <v>121434</v>
      </c>
      <c r="CZ84" s="7">
        <v>121063</v>
      </c>
      <c r="DA84" s="7">
        <v>120288</v>
      </c>
      <c r="DB84" s="7">
        <v>120415</v>
      </c>
      <c r="DC84" s="7">
        <v>120463</v>
      </c>
      <c r="DD84" s="7">
        <v>119972</v>
      </c>
      <c r="DE84" s="7">
        <v>104994</v>
      </c>
      <c r="DF84" s="7">
        <v>104581</v>
      </c>
      <c r="DG84" s="7">
        <v>103996</v>
      </c>
      <c r="DH84" s="7">
        <v>103948</v>
      </c>
      <c r="DI84" s="7">
        <v>102294</v>
      </c>
      <c r="DJ84" s="13">
        <v>102481</v>
      </c>
      <c r="DK84" s="13">
        <v>109949</v>
      </c>
      <c r="DL84" s="13">
        <v>111040</v>
      </c>
      <c r="DM84" s="13">
        <v>111291</v>
      </c>
      <c r="DN84" s="13">
        <v>164729</v>
      </c>
      <c r="DO84" s="13">
        <v>165004</v>
      </c>
      <c r="DP84" s="13">
        <v>165328</v>
      </c>
      <c r="DQ84" s="13">
        <v>166986</v>
      </c>
      <c r="DR84" s="13">
        <v>172263</v>
      </c>
      <c r="DS84" s="13">
        <v>165327</v>
      </c>
      <c r="DT84" s="13">
        <v>128820</v>
      </c>
      <c r="DU84" s="13">
        <v>122792</v>
      </c>
      <c r="DV84" s="13">
        <v>117456</v>
      </c>
      <c r="DW84" s="13">
        <v>125903</v>
      </c>
      <c r="DX84" s="13">
        <v>112062</v>
      </c>
      <c r="DY84" s="13">
        <v>117704</v>
      </c>
      <c r="DZ84" s="13">
        <v>116884</v>
      </c>
      <c r="EA84" s="13">
        <v>116906</v>
      </c>
      <c r="EB84" s="13">
        <v>115577</v>
      </c>
      <c r="EC84" s="13">
        <v>116008</v>
      </c>
      <c r="ED84" s="13">
        <v>132258</v>
      </c>
      <c r="EE84" s="13">
        <v>132300</v>
      </c>
      <c r="EF84" s="13">
        <v>136622</v>
      </c>
      <c r="EG84" s="13">
        <v>137481</v>
      </c>
      <c r="EH84" s="13">
        <v>134227</v>
      </c>
      <c r="EI84" s="13">
        <v>125051</v>
      </c>
      <c r="EJ84" s="13">
        <v>128844</v>
      </c>
      <c r="EK84" s="25">
        <f t="shared" si="6"/>
        <v>-147</v>
      </c>
      <c r="EL84" s="13">
        <v>128697</v>
      </c>
      <c r="EM84" s="25">
        <f t="shared" si="7"/>
        <v>508</v>
      </c>
      <c r="EN84" s="13">
        <v>129205</v>
      </c>
      <c r="EO84" s="25">
        <f t="shared" si="8"/>
        <v>-305</v>
      </c>
      <c r="EP84" s="13">
        <v>128900</v>
      </c>
      <c r="EQ84" s="25">
        <f t="shared" si="9"/>
        <v>-2226</v>
      </c>
      <c r="ER84" s="13">
        <v>126674</v>
      </c>
      <c r="ES84" s="25">
        <f t="shared" si="10"/>
        <v>797</v>
      </c>
      <c r="ET84" s="13">
        <v>127471</v>
      </c>
      <c r="EU84" s="25">
        <f t="shared" si="11"/>
        <v>-66</v>
      </c>
      <c r="EV84" s="13">
        <v>127405</v>
      </c>
      <c r="EW84" s="13">
        <v>121510</v>
      </c>
      <c r="EX84" s="13">
        <v>122727</v>
      </c>
      <c r="EY84" s="13">
        <v>122769</v>
      </c>
      <c r="EZ84" s="13">
        <v>108537</v>
      </c>
      <c r="FA84" s="13">
        <v>110581</v>
      </c>
      <c r="FB84" s="13">
        <v>109680</v>
      </c>
      <c r="FC84" s="13">
        <v>101331</v>
      </c>
      <c r="FD84" s="13">
        <v>102708</v>
      </c>
      <c r="FE84" s="13">
        <v>108335</v>
      </c>
      <c r="FF84" s="13">
        <v>107845</v>
      </c>
      <c r="FG84" s="13">
        <v>105176</v>
      </c>
      <c r="FH84" s="13">
        <v>103969</v>
      </c>
      <c r="FI84" s="13">
        <v>104191</v>
      </c>
    </row>
    <row r="85" spans="1:165" x14ac:dyDescent="0.4">
      <c r="A85" s="34" t="s">
        <v>13</v>
      </c>
      <c r="B85" s="16">
        <v>13090</v>
      </c>
      <c r="C85" s="16">
        <v>13088</v>
      </c>
      <c r="D85" s="16">
        <v>13082</v>
      </c>
      <c r="E85" s="16">
        <v>13075</v>
      </c>
      <c r="F85" s="16">
        <v>13075</v>
      </c>
      <c r="G85" s="16">
        <v>13008</v>
      </c>
      <c r="H85" s="16">
        <v>13034</v>
      </c>
      <c r="I85" s="16">
        <v>13038</v>
      </c>
      <c r="J85" s="16">
        <v>13038</v>
      </c>
      <c r="K85" s="16">
        <v>13038</v>
      </c>
      <c r="L85" s="16">
        <v>0</v>
      </c>
      <c r="M85" s="16">
        <v>0</v>
      </c>
      <c r="N85" s="16">
        <v>0</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3000</v>
      </c>
      <c r="AN85" s="16">
        <v>3000</v>
      </c>
      <c r="AO85" s="16">
        <v>3000</v>
      </c>
      <c r="AP85" s="16">
        <v>3000</v>
      </c>
      <c r="AQ85" s="16">
        <v>3000</v>
      </c>
      <c r="AR85" s="16">
        <v>3000</v>
      </c>
      <c r="AS85" s="16">
        <v>3000</v>
      </c>
      <c r="AT85" s="16">
        <v>3000</v>
      </c>
      <c r="AU85" s="16">
        <v>3000</v>
      </c>
      <c r="AV85" s="16">
        <v>3000</v>
      </c>
      <c r="AW85" s="16">
        <v>3000</v>
      </c>
      <c r="AX85" s="16">
        <v>3000</v>
      </c>
      <c r="AY85" s="16">
        <v>3000</v>
      </c>
      <c r="AZ85" s="16">
        <v>3000</v>
      </c>
      <c r="BA85" s="16">
        <v>13000</v>
      </c>
      <c r="BB85" s="16">
        <v>13000</v>
      </c>
      <c r="BC85" s="16">
        <v>13000</v>
      </c>
      <c r="BD85" s="16">
        <v>0</v>
      </c>
      <c r="BE85" s="16">
        <v>3000</v>
      </c>
      <c r="BF85" s="16">
        <v>3000</v>
      </c>
      <c r="BG85" s="16">
        <v>3000</v>
      </c>
      <c r="BH85" s="16">
        <v>0</v>
      </c>
      <c r="BI85" s="16">
        <v>0</v>
      </c>
      <c r="BJ85" s="16">
        <v>0</v>
      </c>
      <c r="BK85" s="16">
        <v>0</v>
      </c>
      <c r="BL85" s="16">
        <v>0</v>
      </c>
      <c r="BM85" s="16">
        <v>0</v>
      </c>
      <c r="BN85" s="16">
        <v>0</v>
      </c>
      <c r="BO85" s="16">
        <v>0</v>
      </c>
      <c r="BP85" s="16">
        <v>0</v>
      </c>
      <c r="BQ85" s="16">
        <v>0</v>
      </c>
      <c r="BR85" s="16">
        <v>0</v>
      </c>
      <c r="BS85" s="16">
        <v>0</v>
      </c>
      <c r="BT85" s="16">
        <v>0</v>
      </c>
      <c r="BU85" s="16">
        <v>0</v>
      </c>
      <c r="BV85" s="16">
        <v>0</v>
      </c>
      <c r="BW85" s="16">
        <v>0</v>
      </c>
      <c r="BX85" s="16">
        <v>0</v>
      </c>
      <c r="BY85" s="16">
        <v>0</v>
      </c>
      <c r="BZ85" s="16">
        <v>0</v>
      </c>
      <c r="CA85" s="16">
        <v>0</v>
      </c>
      <c r="CB85" s="16">
        <v>0</v>
      </c>
      <c r="CC85" s="16">
        <v>0</v>
      </c>
      <c r="CD85" s="16">
        <v>0</v>
      </c>
      <c r="CE85" s="16">
        <v>2000</v>
      </c>
      <c r="CF85" s="16">
        <v>2000</v>
      </c>
      <c r="CG85" s="16">
        <v>0</v>
      </c>
      <c r="CH85" s="16">
        <v>3000</v>
      </c>
      <c r="CI85" s="16">
        <v>3000</v>
      </c>
      <c r="CJ85" s="16">
        <v>0</v>
      </c>
      <c r="CK85" s="16">
        <v>0</v>
      </c>
      <c r="CL85" s="16">
        <v>0</v>
      </c>
      <c r="CM85" s="16">
        <v>0</v>
      </c>
      <c r="CN85" s="16">
        <v>0</v>
      </c>
      <c r="CO85" s="16">
        <v>0</v>
      </c>
      <c r="CP85" s="16">
        <v>0</v>
      </c>
      <c r="CQ85" s="16">
        <v>0</v>
      </c>
      <c r="CR85" s="16">
        <v>0</v>
      </c>
      <c r="CS85" s="16">
        <v>0</v>
      </c>
      <c r="CT85" s="16">
        <v>0</v>
      </c>
      <c r="CU85" s="16">
        <v>0</v>
      </c>
      <c r="CV85" s="16">
        <v>0</v>
      </c>
      <c r="CW85" s="16">
        <v>0</v>
      </c>
      <c r="CX85" s="16">
        <v>0</v>
      </c>
      <c r="CY85" s="16">
        <v>0</v>
      </c>
      <c r="CZ85" s="16">
        <v>0</v>
      </c>
      <c r="DA85" s="16">
        <v>0</v>
      </c>
      <c r="DB85" s="16">
        <v>0</v>
      </c>
      <c r="DC85" s="16">
        <v>0</v>
      </c>
      <c r="DD85" s="16">
        <v>0</v>
      </c>
      <c r="DE85" s="16">
        <v>0</v>
      </c>
      <c r="DF85" s="16">
        <v>0</v>
      </c>
      <c r="DG85" s="16">
        <v>0</v>
      </c>
      <c r="DH85" s="16">
        <v>0</v>
      </c>
      <c r="DI85" s="16">
        <v>0</v>
      </c>
      <c r="DJ85" s="13">
        <v>0</v>
      </c>
      <c r="DK85" s="13">
        <v>0</v>
      </c>
      <c r="DL85" s="13">
        <v>0</v>
      </c>
      <c r="DM85" s="13">
        <v>0</v>
      </c>
      <c r="DN85" s="13">
        <v>43091</v>
      </c>
      <c r="DO85" s="13">
        <v>43395</v>
      </c>
      <c r="DP85" s="13">
        <v>43709</v>
      </c>
      <c r="DQ85" s="13">
        <v>44013</v>
      </c>
      <c r="DR85" s="13">
        <v>44327</v>
      </c>
      <c r="DS85" s="13">
        <v>44641</v>
      </c>
      <c r="DT85" s="13">
        <v>0</v>
      </c>
      <c r="DU85" s="13">
        <v>0</v>
      </c>
      <c r="DV85" s="13">
        <v>0</v>
      </c>
      <c r="DW85" s="13">
        <v>0</v>
      </c>
      <c r="DX85" s="13">
        <v>0</v>
      </c>
      <c r="DY85" s="13">
        <v>0</v>
      </c>
      <c r="DZ85" s="13">
        <v>0</v>
      </c>
      <c r="EA85" s="13">
        <v>0</v>
      </c>
      <c r="EB85" s="13">
        <v>0</v>
      </c>
      <c r="EC85" s="13">
        <v>0</v>
      </c>
      <c r="ED85" s="13">
        <v>0</v>
      </c>
      <c r="EE85" s="13">
        <v>0</v>
      </c>
      <c r="EF85" s="13">
        <v>0</v>
      </c>
      <c r="EG85" s="13">
        <v>0</v>
      </c>
      <c r="EH85" s="13">
        <v>0</v>
      </c>
      <c r="EI85" s="13">
        <v>0</v>
      </c>
      <c r="EJ85" s="13">
        <v>0</v>
      </c>
      <c r="EK85" s="25">
        <f t="shared" si="6"/>
        <v>0</v>
      </c>
      <c r="EL85" s="13">
        <v>0</v>
      </c>
      <c r="EM85" s="25">
        <f t="shared" si="7"/>
        <v>0</v>
      </c>
      <c r="EN85" s="13">
        <v>0</v>
      </c>
      <c r="EO85" s="25">
        <f t="shared" si="8"/>
        <v>0</v>
      </c>
      <c r="EP85" s="13">
        <v>0</v>
      </c>
      <c r="EQ85" s="25">
        <f t="shared" si="9"/>
        <v>0</v>
      </c>
      <c r="ER85" s="13">
        <v>0</v>
      </c>
      <c r="ES85" s="25">
        <f t="shared" si="10"/>
        <v>0</v>
      </c>
      <c r="ET85" s="13">
        <v>0</v>
      </c>
      <c r="EU85" s="25">
        <f t="shared" si="11"/>
        <v>0</v>
      </c>
      <c r="EV85" s="13">
        <v>0</v>
      </c>
      <c r="EW85" s="13">
        <v>0</v>
      </c>
      <c r="EX85" s="13">
        <v>0</v>
      </c>
      <c r="EY85" s="13">
        <v>0</v>
      </c>
      <c r="EZ85" s="13">
        <v>0</v>
      </c>
      <c r="FA85" s="13">
        <v>0</v>
      </c>
      <c r="FB85" s="13">
        <v>0</v>
      </c>
      <c r="FC85" s="13">
        <v>0</v>
      </c>
      <c r="FD85" s="13">
        <v>0</v>
      </c>
      <c r="FE85" s="13">
        <v>0</v>
      </c>
      <c r="FF85" s="13">
        <v>0</v>
      </c>
      <c r="FG85" s="13">
        <v>0</v>
      </c>
      <c r="FH85" s="13">
        <v>0</v>
      </c>
      <c r="FI85" s="13">
        <v>0</v>
      </c>
    </row>
    <row r="86" spans="1:165" x14ac:dyDescent="0.4">
      <c r="A86" s="34" t="s">
        <v>14</v>
      </c>
      <c r="B86" s="16">
        <v>57392</v>
      </c>
      <c r="C86" s="16">
        <v>57447</v>
      </c>
      <c r="D86" s="16">
        <v>57442</v>
      </c>
      <c r="E86" s="16">
        <v>57479</v>
      </c>
      <c r="F86" s="16">
        <v>57500</v>
      </c>
      <c r="G86" s="16">
        <v>57504</v>
      </c>
      <c r="H86" s="16">
        <v>57507</v>
      </c>
      <c r="I86" s="16">
        <v>57503</v>
      </c>
      <c r="J86" s="16">
        <v>57487</v>
      </c>
      <c r="K86" s="16">
        <v>74968</v>
      </c>
      <c r="L86" s="16">
        <v>102983</v>
      </c>
      <c r="M86" s="16">
        <v>103032</v>
      </c>
      <c r="N86" s="16">
        <v>102981</v>
      </c>
      <c r="O86" s="16">
        <v>102945</v>
      </c>
      <c r="P86" s="16">
        <v>102926</v>
      </c>
      <c r="Q86" s="16">
        <v>102786</v>
      </c>
      <c r="R86" s="16">
        <v>99580</v>
      </c>
      <c r="S86" s="16">
        <v>99361</v>
      </c>
      <c r="T86" s="16">
        <v>100939</v>
      </c>
      <c r="U86" s="16">
        <v>100850</v>
      </c>
      <c r="V86" s="16">
        <v>100530</v>
      </c>
      <c r="W86" s="16">
        <v>100694</v>
      </c>
      <c r="X86" s="16">
        <v>100644</v>
      </c>
      <c r="Y86" s="16">
        <v>100762</v>
      </c>
      <c r="Z86" s="16">
        <v>104592</v>
      </c>
      <c r="AA86" s="16">
        <v>103942</v>
      </c>
      <c r="AB86" s="16">
        <v>103560</v>
      </c>
      <c r="AC86" s="16">
        <v>104139</v>
      </c>
      <c r="AD86" s="16">
        <v>107516</v>
      </c>
      <c r="AE86" s="16">
        <v>107789</v>
      </c>
      <c r="AF86" s="16">
        <v>107943</v>
      </c>
      <c r="AG86" s="16">
        <v>108021</v>
      </c>
      <c r="AH86" s="16">
        <v>108317</v>
      </c>
      <c r="AI86" s="16">
        <v>108313</v>
      </c>
      <c r="AJ86" s="16">
        <v>106283</v>
      </c>
      <c r="AK86" s="16">
        <v>111425</v>
      </c>
      <c r="AL86" s="16">
        <v>111446</v>
      </c>
      <c r="AM86" s="16">
        <v>108521</v>
      </c>
      <c r="AN86" s="16">
        <v>111157</v>
      </c>
      <c r="AO86" s="16">
        <v>111411</v>
      </c>
      <c r="AP86" s="16">
        <v>111513</v>
      </c>
      <c r="AQ86" s="16">
        <v>111525</v>
      </c>
      <c r="AR86" s="16">
        <v>110656</v>
      </c>
      <c r="AS86" s="16">
        <v>110925</v>
      </c>
      <c r="AT86" s="16">
        <v>111261</v>
      </c>
      <c r="AU86" s="16">
        <v>111399</v>
      </c>
      <c r="AV86" s="16">
        <v>105977</v>
      </c>
      <c r="AW86" s="16">
        <v>106412</v>
      </c>
      <c r="AX86" s="16">
        <v>106409</v>
      </c>
      <c r="AY86" s="16">
        <v>106399</v>
      </c>
      <c r="AZ86" s="16">
        <v>106412</v>
      </c>
      <c r="BA86" s="16">
        <v>96305</v>
      </c>
      <c r="BB86" s="16">
        <v>96226</v>
      </c>
      <c r="BC86" s="16">
        <v>96274</v>
      </c>
      <c r="BD86" s="16">
        <v>119606</v>
      </c>
      <c r="BE86" s="16">
        <v>116516</v>
      </c>
      <c r="BF86" s="16">
        <v>116765</v>
      </c>
      <c r="BG86" s="16">
        <v>116728</v>
      </c>
      <c r="BH86" s="16">
        <v>119833</v>
      </c>
      <c r="BI86" s="16">
        <v>106980</v>
      </c>
      <c r="BJ86" s="16">
        <v>107091</v>
      </c>
      <c r="BK86" s="16">
        <v>107149</v>
      </c>
      <c r="BL86" s="16">
        <v>107389</v>
      </c>
      <c r="BM86" s="16">
        <v>107541</v>
      </c>
      <c r="BN86" s="16">
        <v>107641</v>
      </c>
      <c r="BO86" s="16">
        <v>107886</v>
      </c>
      <c r="BP86" s="16">
        <v>107203</v>
      </c>
      <c r="BQ86" s="16">
        <v>117113</v>
      </c>
      <c r="BR86" s="16">
        <v>116693</v>
      </c>
      <c r="BS86" s="16">
        <v>109543</v>
      </c>
      <c r="BT86" s="16">
        <v>102602</v>
      </c>
      <c r="BU86" s="16">
        <v>107566</v>
      </c>
      <c r="BV86" s="16">
        <v>107636</v>
      </c>
      <c r="BW86" s="16">
        <v>102541</v>
      </c>
      <c r="BX86" s="16">
        <v>97719</v>
      </c>
      <c r="BY86" s="16">
        <v>102856</v>
      </c>
      <c r="BZ86" s="16">
        <v>102934</v>
      </c>
      <c r="CA86" s="16">
        <v>102923</v>
      </c>
      <c r="CB86" s="16">
        <v>102974</v>
      </c>
      <c r="CC86" s="16">
        <v>108079</v>
      </c>
      <c r="CD86" s="16">
        <v>108073</v>
      </c>
      <c r="CE86" s="16">
        <v>108300</v>
      </c>
      <c r="CF86" s="16">
        <v>115588</v>
      </c>
      <c r="CG86" s="16">
        <v>111744</v>
      </c>
      <c r="CH86" s="16">
        <v>119960</v>
      </c>
      <c r="CI86" s="16">
        <v>120001</v>
      </c>
      <c r="CJ86" s="16">
        <v>122153</v>
      </c>
      <c r="CK86" s="16">
        <v>120856</v>
      </c>
      <c r="CL86" s="16">
        <v>131670</v>
      </c>
      <c r="CM86" s="16">
        <v>156086</v>
      </c>
      <c r="CN86" s="16">
        <v>161911</v>
      </c>
      <c r="CO86" s="16">
        <v>156959</v>
      </c>
      <c r="CP86" s="7">
        <v>155444</v>
      </c>
      <c r="CQ86" s="7">
        <v>151388</v>
      </c>
      <c r="CR86" s="7">
        <v>145227</v>
      </c>
      <c r="CS86" s="7">
        <v>132216</v>
      </c>
      <c r="CT86" s="7">
        <v>134901</v>
      </c>
      <c r="CU86" s="7">
        <v>134218</v>
      </c>
      <c r="CV86" s="7">
        <v>134047</v>
      </c>
      <c r="CW86" s="7">
        <v>130661</v>
      </c>
      <c r="CX86" s="7">
        <v>131787</v>
      </c>
      <c r="CY86" s="7">
        <v>121434</v>
      </c>
      <c r="CZ86" s="7">
        <v>121063</v>
      </c>
      <c r="DA86" s="7">
        <v>120288</v>
      </c>
      <c r="DB86" s="7">
        <v>120415</v>
      </c>
      <c r="DC86" s="7">
        <v>120463</v>
      </c>
      <c r="DD86" s="7">
        <v>119972</v>
      </c>
      <c r="DE86" s="7">
        <v>104994</v>
      </c>
      <c r="DF86" s="7">
        <v>104581</v>
      </c>
      <c r="DG86" s="7">
        <v>103996</v>
      </c>
      <c r="DH86" s="7">
        <v>103948</v>
      </c>
      <c r="DI86" s="7">
        <v>102294</v>
      </c>
      <c r="DJ86" s="13">
        <v>102481</v>
      </c>
      <c r="DK86" s="13">
        <v>109949</v>
      </c>
      <c r="DL86" s="13">
        <v>111040</v>
      </c>
      <c r="DM86" s="13">
        <v>111291</v>
      </c>
      <c r="DN86" s="13">
        <v>121638</v>
      </c>
      <c r="DO86" s="13">
        <v>121609</v>
      </c>
      <c r="DP86" s="13">
        <v>121619</v>
      </c>
      <c r="DQ86" s="13">
        <v>122973</v>
      </c>
      <c r="DR86" s="13">
        <v>127935</v>
      </c>
      <c r="DS86" s="13">
        <v>120685</v>
      </c>
      <c r="DT86" s="13">
        <v>128820</v>
      </c>
      <c r="DU86" s="13">
        <v>122792</v>
      </c>
      <c r="DV86" s="13">
        <v>117456</v>
      </c>
      <c r="DW86" s="13">
        <v>125903</v>
      </c>
      <c r="DX86" s="13">
        <v>112062</v>
      </c>
      <c r="DY86" s="13">
        <v>117704</v>
      </c>
      <c r="DZ86" s="13">
        <v>116884</v>
      </c>
      <c r="EA86" s="13">
        <v>116906</v>
      </c>
      <c r="EB86" s="13">
        <v>115577</v>
      </c>
      <c r="EC86" s="13">
        <v>116008</v>
      </c>
      <c r="ED86" s="13">
        <v>132258</v>
      </c>
      <c r="EE86" s="13">
        <v>132300</v>
      </c>
      <c r="EF86" s="13">
        <v>136622</v>
      </c>
      <c r="EG86" s="13">
        <v>137481</v>
      </c>
      <c r="EH86" s="13">
        <v>134227</v>
      </c>
      <c r="EI86" s="13">
        <v>125051</v>
      </c>
      <c r="EJ86" s="13">
        <v>128844</v>
      </c>
      <c r="EK86" s="25">
        <f t="shared" si="6"/>
        <v>-147</v>
      </c>
      <c r="EL86" s="13">
        <v>128697</v>
      </c>
      <c r="EM86" s="25">
        <f t="shared" si="7"/>
        <v>508</v>
      </c>
      <c r="EN86" s="13">
        <v>129205</v>
      </c>
      <c r="EO86" s="25">
        <f t="shared" si="8"/>
        <v>-305</v>
      </c>
      <c r="EP86" s="13">
        <v>128900</v>
      </c>
      <c r="EQ86" s="25">
        <f t="shared" si="9"/>
        <v>-2226</v>
      </c>
      <c r="ER86" s="13">
        <v>126674</v>
      </c>
      <c r="ES86" s="25">
        <f t="shared" si="10"/>
        <v>797</v>
      </c>
      <c r="ET86" s="13">
        <v>127471</v>
      </c>
      <c r="EU86" s="25">
        <f t="shared" si="11"/>
        <v>-66</v>
      </c>
      <c r="EV86" s="13">
        <v>127405</v>
      </c>
      <c r="EW86" s="13">
        <v>121510</v>
      </c>
      <c r="EX86" s="13">
        <v>122727</v>
      </c>
      <c r="EY86" s="13">
        <v>122769</v>
      </c>
      <c r="EZ86" s="13">
        <v>108537</v>
      </c>
      <c r="FA86" s="13">
        <v>110581</v>
      </c>
      <c r="FB86" s="13">
        <v>109680</v>
      </c>
      <c r="FC86" s="13">
        <v>101331</v>
      </c>
      <c r="FD86" s="13">
        <v>102708</v>
      </c>
      <c r="FE86" s="13">
        <v>108335</v>
      </c>
      <c r="FF86" s="13">
        <v>107845</v>
      </c>
      <c r="FG86" s="13">
        <v>105176</v>
      </c>
      <c r="FH86" s="13">
        <v>103969</v>
      </c>
      <c r="FI86" s="13">
        <v>104191</v>
      </c>
    </row>
    <row r="87" spans="1:165" x14ac:dyDescent="0.4">
      <c r="A87" s="35" t="s">
        <v>27</v>
      </c>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v>10000</v>
      </c>
      <c r="BW87" s="16">
        <v>5000</v>
      </c>
      <c r="BX87" s="16">
        <v>0</v>
      </c>
      <c r="BY87" s="16">
        <v>0</v>
      </c>
      <c r="BZ87" s="16">
        <v>0</v>
      </c>
      <c r="CA87" s="16">
        <v>0</v>
      </c>
      <c r="CB87" s="16">
        <v>0</v>
      </c>
      <c r="CC87" s="16">
        <v>5000</v>
      </c>
      <c r="CD87" s="16">
        <v>5000</v>
      </c>
      <c r="CE87" s="16">
        <v>15000</v>
      </c>
      <c r="CF87" s="16">
        <v>20063</v>
      </c>
      <c r="CG87" s="16">
        <v>20103</v>
      </c>
      <c r="CH87" s="16">
        <v>20102</v>
      </c>
      <c r="CI87" s="16">
        <v>20112</v>
      </c>
      <c r="CJ87" s="16">
        <v>20672</v>
      </c>
      <c r="CK87" s="16">
        <v>25469</v>
      </c>
      <c r="CL87" s="16">
        <v>25699</v>
      </c>
      <c r="CM87" s="16">
        <v>35637</v>
      </c>
      <c r="CN87" s="16">
        <v>36015</v>
      </c>
      <c r="CO87" s="16">
        <v>31093</v>
      </c>
      <c r="CP87" s="7">
        <v>31339</v>
      </c>
      <c r="CQ87" s="7">
        <v>20794</v>
      </c>
      <c r="CR87" s="7">
        <v>15522</v>
      </c>
      <c r="CS87" s="7">
        <v>29601</v>
      </c>
      <c r="CT87" s="7">
        <v>29715</v>
      </c>
      <c r="CU87" s="7">
        <v>29790</v>
      </c>
      <c r="CV87" s="7">
        <v>29811</v>
      </c>
      <c r="CW87" s="7">
        <v>24671</v>
      </c>
      <c r="CX87" s="7">
        <v>24743</v>
      </c>
      <c r="CY87" s="7">
        <v>14300</v>
      </c>
      <c r="CZ87" s="7">
        <v>14300</v>
      </c>
      <c r="DA87" s="7">
        <v>14300</v>
      </c>
      <c r="DB87" s="7">
        <v>14300</v>
      </c>
      <c r="DC87" s="7">
        <v>14300</v>
      </c>
      <c r="DD87" s="7">
        <v>14300</v>
      </c>
      <c r="DE87" s="7">
        <v>0</v>
      </c>
      <c r="DF87" s="7">
        <v>0</v>
      </c>
      <c r="DG87" s="7">
        <v>6950</v>
      </c>
      <c r="DH87" s="7">
        <v>6986</v>
      </c>
      <c r="DI87" s="7">
        <v>14065</v>
      </c>
      <c r="DJ87" s="13">
        <v>19149</v>
      </c>
      <c r="DK87" s="13">
        <v>26283</v>
      </c>
      <c r="DL87" s="13">
        <v>34145</v>
      </c>
      <c r="DM87" s="13">
        <v>34165</v>
      </c>
      <c r="DN87" s="13">
        <v>34295</v>
      </c>
      <c r="DO87" s="13">
        <v>34287</v>
      </c>
      <c r="DP87" s="13">
        <v>34475</v>
      </c>
      <c r="DQ87" s="13">
        <v>34594</v>
      </c>
      <c r="DR87" s="13">
        <v>34456</v>
      </c>
      <c r="DS87" s="13">
        <v>27298</v>
      </c>
      <c r="DT87" s="13">
        <v>27333</v>
      </c>
      <c r="DU87" s="13">
        <v>20361</v>
      </c>
      <c r="DV87" s="13">
        <v>17272</v>
      </c>
      <c r="DW87" s="13">
        <v>19960</v>
      </c>
      <c r="DX87" s="13">
        <v>11959</v>
      </c>
      <c r="DY87" s="13">
        <v>11911</v>
      </c>
      <c r="DZ87" s="13">
        <v>11659</v>
      </c>
      <c r="EA87" s="13">
        <v>11684</v>
      </c>
      <c r="EB87" s="13">
        <v>11684</v>
      </c>
      <c r="EC87" s="13">
        <v>18822</v>
      </c>
      <c r="ED87" s="13">
        <v>18942</v>
      </c>
      <c r="EE87" s="13">
        <v>23994</v>
      </c>
      <c r="EF87" s="13">
        <v>23804</v>
      </c>
      <c r="EG87" s="13">
        <v>23977</v>
      </c>
      <c r="EH87" s="13">
        <v>34759</v>
      </c>
      <c r="EI87" s="13">
        <v>24864</v>
      </c>
      <c r="EJ87" s="13">
        <v>25046</v>
      </c>
      <c r="EK87" s="25">
        <f t="shared" si="6"/>
        <v>9204</v>
      </c>
      <c r="EL87" s="13">
        <v>34250</v>
      </c>
      <c r="EM87" s="25">
        <f t="shared" si="7"/>
        <v>-24</v>
      </c>
      <c r="EN87" s="13">
        <v>34226</v>
      </c>
      <c r="EO87" s="25">
        <f t="shared" si="8"/>
        <v>10</v>
      </c>
      <c r="EP87" s="13">
        <v>34236</v>
      </c>
      <c r="EQ87" s="25">
        <f t="shared" si="9"/>
        <v>-7389</v>
      </c>
      <c r="ER87" s="13">
        <v>26847</v>
      </c>
      <c r="ES87" s="25">
        <f t="shared" si="10"/>
        <v>4133</v>
      </c>
      <c r="ET87" s="13">
        <v>30980</v>
      </c>
      <c r="EU87" s="25">
        <f t="shared" si="11"/>
        <v>316</v>
      </c>
      <c r="EV87" s="13">
        <v>31296</v>
      </c>
      <c r="EW87" s="13">
        <v>25947</v>
      </c>
      <c r="EX87" s="13">
        <v>33534</v>
      </c>
      <c r="EY87" s="13">
        <v>35052</v>
      </c>
      <c r="EZ87" s="13">
        <v>22314</v>
      </c>
      <c r="FA87" s="13">
        <v>22753</v>
      </c>
      <c r="FB87" s="13">
        <v>23024</v>
      </c>
      <c r="FC87" s="13">
        <v>13076</v>
      </c>
      <c r="FD87" s="13">
        <v>12774</v>
      </c>
      <c r="FE87" s="13">
        <v>12260</v>
      </c>
      <c r="FF87" s="13">
        <v>12368</v>
      </c>
      <c r="FG87" s="13">
        <v>8738</v>
      </c>
      <c r="FH87" s="13">
        <v>14435</v>
      </c>
      <c r="FI87" s="13">
        <v>14641</v>
      </c>
    </row>
    <row r="88" spans="1:165" x14ac:dyDescent="0.4">
      <c r="A88" s="35" t="s">
        <v>30</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v>97636</v>
      </c>
      <c r="BW88" s="16">
        <v>97541</v>
      </c>
      <c r="BX88" s="16">
        <v>97719</v>
      </c>
      <c r="BY88" s="16">
        <v>102856</v>
      </c>
      <c r="BZ88" s="16">
        <v>102934</v>
      </c>
      <c r="CA88" s="16">
        <v>102923</v>
      </c>
      <c r="CB88" s="16">
        <v>102974</v>
      </c>
      <c r="CC88" s="16">
        <v>103079</v>
      </c>
      <c r="CD88" s="16">
        <v>103073</v>
      </c>
      <c r="CE88" s="16">
        <v>93300</v>
      </c>
      <c r="CF88" s="16">
        <v>95525</v>
      </c>
      <c r="CG88" s="16">
        <v>91641</v>
      </c>
      <c r="CH88" s="16">
        <v>99858</v>
      </c>
      <c r="CI88" s="16">
        <v>99889</v>
      </c>
      <c r="CJ88" s="16">
        <v>101482</v>
      </c>
      <c r="CK88" s="16">
        <v>95387</v>
      </c>
      <c r="CL88" s="16">
        <v>105971</v>
      </c>
      <c r="CM88" s="16">
        <v>120449</v>
      </c>
      <c r="CN88" s="16">
        <v>125896</v>
      </c>
      <c r="CO88" s="16">
        <v>125866</v>
      </c>
      <c r="CP88" s="7">
        <v>124106</v>
      </c>
      <c r="CQ88" s="7">
        <v>130594</v>
      </c>
      <c r="CR88" s="7">
        <v>129705</v>
      </c>
      <c r="CS88" s="7">
        <v>102615</v>
      </c>
      <c r="CT88" s="7">
        <v>105186</v>
      </c>
      <c r="CU88" s="7">
        <v>104428</v>
      </c>
      <c r="CV88" s="7">
        <v>104236</v>
      </c>
      <c r="CW88" s="7">
        <v>105990</v>
      </c>
      <c r="CX88" s="7">
        <v>107044</v>
      </c>
      <c r="CY88" s="7">
        <v>107134</v>
      </c>
      <c r="CZ88" s="7">
        <v>106763</v>
      </c>
      <c r="DA88" s="7">
        <v>105988</v>
      </c>
      <c r="DB88" s="7">
        <v>106115</v>
      </c>
      <c r="DC88" s="7">
        <v>106163</v>
      </c>
      <c r="DD88" s="7">
        <v>105672</v>
      </c>
      <c r="DE88" s="7">
        <v>104994</v>
      </c>
      <c r="DF88" s="7">
        <v>104581</v>
      </c>
      <c r="DG88" s="7">
        <v>97046</v>
      </c>
      <c r="DH88" s="7">
        <v>96962</v>
      </c>
      <c r="DI88" s="7">
        <v>88229</v>
      </c>
      <c r="DJ88" s="13">
        <v>83333</v>
      </c>
      <c r="DK88" s="13">
        <v>83666</v>
      </c>
      <c r="DL88" s="13">
        <v>76896</v>
      </c>
      <c r="DM88" s="13">
        <v>77126</v>
      </c>
      <c r="DN88" s="13">
        <v>87343</v>
      </c>
      <c r="DO88" s="13">
        <v>87322</v>
      </c>
      <c r="DP88" s="13">
        <v>87144</v>
      </c>
      <c r="DQ88" s="13">
        <v>88379</v>
      </c>
      <c r="DR88" s="13">
        <v>93479</v>
      </c>
      <c r="DS88" s="13">
        <v>93387</v>
      </c>
      <c r="DT88" s="13">
        <v>101487</v>
      </c>
      <c r="DU88" s="13">
        <v>102432</v>
      </c>
      <c r="DV88" s="13">
        <v>100184</v>
      </c>
      <c r="DW88" s="13">
        <v>105943</v>
      </c>
      <c r="DX88" s="13">
        <v>100103</v>
      </c>
      <c r="DY88" s="13">
        <v>105794</v>
      </c>
      <c r="DZ88" s="13">
        <v>105225</v>
      </c>
      <c r="EA88" s="13">
        <v>105222</v>
      </c>
      <c r="EB88" s="13">
        <v>103893</v>
      </c>
      <c r="EC88" s="13">
        <v>97186</v>
      </c>
      <c r="ED88" s="13">
        <v>113317</v>
      </c>
      <c r="EE88" s="13">
        <v>108307</v>
      </c>
      <c r="EF88" s="13">
        <v>112818</v>
      </c>
      <c r="EG88" s="13">
        <v>113504</v>
      </c>
      <c r="EH88" s="13">
        <v>99468</v>
      </c>
      <c r="EI88" s="13">
        <v>100187</v>
      </c>
      <c r="EJ88" s="13">
        <v>103798</v>
      </c>
      <c r="EK88" s="25">
        <f t="shared" si="6"/>
        <v>-9351</v>
      </c>
      <c r="EL88" s="13">
        <v>94447</v>
      </c>
      <c r="EM88" s="25">
        <f t="shared" si="7"/>
        <v>532</v>
      </c>
      <c r="EN88" s="13">
        <v>94979</v>
      </c>
      <c r="EO88" s="25">
        <f t="shared" si="8"/>
        <v>-315</v>
      </c>
      <c r="EP88" s="13">
        <v>94664</v>
      </c>
      <c r="EQ88" s="25">
        <f t="shared" si="9"/>
        <v>5163</v>
      </c>
      <c r="ER88" s="13">
        <v>99827</v>
      </c>
      <c r="ES88" s="25">
        <f t="shared" si="10"/>
        <v>-3335</v>
      </c>
      <c r="ET88" s="13">
        <v>96492</v>
      </c>
      <c r="EU88" s="25">
        <f t="shared" si="11"/>
        <v>-382</v>
      </c>
      <c r="EV88" s="13">
        <v>96110</v>
      </c>
      <c r="EW88" s="13">
        <v>95563</v>
      </c>
      <c r="EX88" s="13">
        <v>89193</v>
      </c>
      <c r="EY88" s="13">
        <v>87717</v>
      </c>
      <c r="EZ88" s="13">
        <v>86224</v>
      </c>
      <c r="FA88" s="13">
        <v>87829</v>
      </c>
      <c r="FB88" s="13">
        <v>86656</v>
      </c>
      <c r="FC88" s="13">
        <v>88255</v>
      </c>
      <c r="FD88" s="13">
        <v>89934</v>
      </c>
      <c r="FE88" s="13">
        <v>96075</v>
      </c>
      <c r="FF88" s="13">
        <v>95476</v>
      </c>
      <c r="FG88" s="13">
        <v>96438</v>
      </c>
      <c r="FH88" s="13">
        <v>89534</v>
      </c>
      <c r="FI88" s="13">
        <v>89550</v>
      </c>
    </row>
    <row r="89" spans="1:165" ht="18" customHeight="1" x14ac:dyDescent="0.4">
      <c r="A89" s="24"/>
      <c r="EK89" s="25">
        <f t="shared" si="6"/>
        <v>0</v>
      </c>
      <c r="EM89" s="25">
        <f t="shared" si="7"/>
        <v>0</v>
      </c>
      <c r="EO89" s="25">
        <f t="shared" si="8"/>
        <v>0</v>
      </c>
      <c r="EQ89" s="25">
        <f t="shared" si="9"/>
        <v>0</v>
      </c>
      <c r="ES89" s="25">
        <f t="shared" si="10"/>
        <v>0</v>
      </c>
      <c r="EU89" s="25">
        <f t="shared" si="11"/>
        <v>0</v>
      </c>
    </row>
    <row r="90" spans="1:165" x14ac:dyDescent="0.4">
      <c r="A90" s="31" t="s">
        <v>17</v>
      </c>
      <c r="EK90" s="25">
        <f t="shared" si="6"/>
        <v>0</v>
      </c>
      <c r="EM90" s="25">
        <f t="shared" si="7"/>
        <v>0</v>
      </c>
      <c r="EO90" s="25">
        <f t="shared" si="8"/>
        <v>0</v>
      </c>
      <c r="EQ90" s="25">
        <f t="shared" si="9"/>
        <v>0</v>
      </c>
      <c r="ES90" s="25">
        <f t="shared" si="10"/>
        <v>0</v>
      </c>
      <c r="EU90" s="25">
        <f t="shared" si="11"/>
        <v>0</v>
      </c>
    </row>
    <row r="91" spans="1:165" x14ac:dyDescent="0.4">
      <c r="A91" s="32" t="s">
        <v>2</v>
      </c>
      <c r="B91" s="27">
        <v>44487</v>
      </c>
      <c r="C91" s="27">
        <v>43981</v>
      </c>
      <c r="D91" s="27">
        <v>44844</v>
      </c>
      <c r="E91" s="27">
        <v>45508</v>
      </c>
      <c r="F91" s="27">
        <v>45889</v>
      </c>
      <c r="G91" s="27">
        <v>46374</v>
      </c>
      <c r="H91" s="27">
        <v>48036</v>
      </c>
      <c r="I91" s="27">
        <v>61214</v>
      </c>
      <c r="J91" s="27">
        <v>61750</v>
      </c>
      <c r="K91" s="27">
        <v>60199</v>
      </c>
      <c r="L91" s="27">
        <v>59655</v>
      </c>
      <c r="M91" s="27">
        <v>61649</v>
      </c>
      <c r="N91" s="27">
        <v>60898</v>
      </c>
      <c r="O91" s="27">
        <v>65578</v>
      </c>
      <c r="P91" s="27">
        <v>67070</v>
      </c>
      <c r="Q91" s="27">
        <v>80641</v>
      </c>
      <c r="R91" s="27">
        <v>80666</v>
      </c>
      <c r="S91" s="27">
        <v>95617</v>
      </c>
      <c r="T91" s="27">
        <v>92788</v>
      </c>
      <c r="U91" s="27">
        <v>98605</v>
      </c>
      <c r="V91" s="27">
        <v>100158</v>
      </c>
      <c r="W91" s="27">
        <v>108572</v>
      </c>
      <c r="X91" s="27">
        <v>119617</v>
      </c>
      <c r="Y91" s="27">
        <v>131448</v>
      </c>
      <c r="Z91" s="27">
        <v>151449</v>
      </c>
      <c r="AA91" s="27">
        <v>184469</v>
      </c>
      <c r="AB91" s="27">
        <v>132757</v>
      </c>
      <c r="AC91" s="27">
        <v>128814</v>
      </c>
      <c r="AD91" s="27">
        <v>115087</v>
      </c>
      <c r="AE91" s="27">
        <v>119659</v>
      </c>
      <c r="AF91" s="27">
        <v>127059</v>
      </c>
      <c r="AG91" s="27">
        <v>144249</v>
      </c>
      <c r="AH91" s="27">
        <v>162816</v>
      </c>
      <c r="AI91" s="27">
        <v>162202</v>
      </c>
      <c r="AJ91" s="27">
        <v>157111</v>
      </c>
      <c r="AK91" s="27">
        <v>162188</v>
      </c>
      <c r="AL91" s="27">
        <v>306090</v>
      </c>
      <c r="AM91" s="27">
        <v>324917</v>
      </c>
      <c r="AN91" s="27">
        <v>315150</v>
      </c>
      <c r="AO91" s="27">
        <v>365337</v>
      </c>
      <c r="AP91" s="27">
        <v>428212</v>
      </c>
      <c r="AQ91" s="27">
        <v>435447</v>
      </c>
      <c r="AR91" s="27">
        <v>424333</v>
      </c>
      <c r="AS91" s="27">
        <v>476264</v>
      </c>
      <c r="AT91" s="27">
        <v>468004</v>
      </c>
      <c r="AU91" s="27">
        <v>506016</v>
      </c>
      <c r="AV91" s="27">
        <v>503953</v>
      </c>
      <c r="AW91" s="27">
        <v>519656</v>
      </c>
      <c r="AX91" s="27">
        <v>494233</v>
      </c>
      <c r="AY91" s="27">
        <v>490893</v>
      </c>
      <c r="AZ91" s="27">
        <v>492150</v>
      </c>
      <c r="BA91" s="27">
        <v>479125</v>
      </c>
      <c r="BB91" s="27">
        <v>484337</v>
      </c>
      <c r="BC91" s="27">
        <v>461203</v>
      </c>
      <c r="BD91" s="27">
        <v>491105</v>
      </c>
      <c r="BE91" s="27">
        <v>496411</v>
      </c>
      <c r="BF91" s="27">
        <v>499498</v>
      </c>
      <c r="BG91" s="27">
        <v>496786</v>
      </c>
      <c r="BH91" s="27">
        <v>480529</v>
      </c>
      <c r="BI91" s="27">
        <v>485414</v>
      </c>
      <c r="BJ91" s="27">
        <v>480364</v>
      </c>
      <c r="BK91" s="27">
        <v>469425</v>
      </c>
      <c r="BL91" s="27">
        <v>463940</v>
      </c>
      <c r="BM91" s="27">
        <v>491587</v>
      </c>
      <c r="BN91" s="27">
        <v>540444</v>
      </c>
      <c r="BO91" s="27">
        <v>545548</v>
      </c>
      <c r="BP91" s="27">
        <v>530807</v>
      </c>
      <c r="BQ91" s="27">
        <v>528845</v>
      </c>
      <c r="BR91" s="27">
        <v>572807</v>
      </c>
      <c r="BS91" s="27">
        <v>554088</v>
      </c>
      <c r="BT91" s="27">
        <v>553045</v>
      </c>
      <c r="BU91" s="27">
        <v>560310</v>
      </c>
      <c r="BV91" s="27">
        <v>588889</v>
      </c>
      <c r="BW91" s="27">
        <v>560639</v>
      </c>
      <c r="BX91" s="27">
        <v>559712</v>
      </c>
      <c r="BY91" s="27">
        <v>500689</v>
      </c>
      <c r="BZ91" s="27">
        <v>499429</v>
      </c>
      <c r="CA91" s="27">
        <v>503953</v>
      </c>
      <c r="CB91" s="27">
        <v>489463</v>
      </c>
      <c r="CC91" s="27">
        <v>493176</v>
      </c>
      <c r="CD91" s="27">
        <v>516596</v>
      </c>
      <c r="CE91" s="27">
        <v>499872</v>
      </c>
      <c r="CF91" s="27">
        <v>497155</v>
      </c>
      <c r="CG91" s="27">
        <v>498685</v>
      </c>
      <c r="CH91" s="27">
        <v>493268</v>
      </c>
      <c r="CI91" s="27">
        <v>501878</v>
      </c>
      <c r="CJ91" s="27">
        <v>526357</v>
      </c>
      <c r="CK91" s="27">
        <v>619948</v>
      </c>
      <c r="CL91" s="27">
        <v>590443</v>
      </c>
      <c r="CM91" s="27">
        <v>543530</v>
      </c>
      <c r="CN91" s="27">
        <v>538124</v>
      </c>
      <c r="CO91" s="27">
        <v>582744</v>
      </c>
      <c r="CP91" s="27">
        <v>591243</v>
      </c>
      <c r="CQ91" s="27">
        <v>630071</v>
      </c>
      <c r="CR91" s="27">
        <v>628867</v>
      </c>
      <c r="CS91" s="27">
        <v>602736</v>
      </c>
      <c r="CT91" s="27">
        <v>612276</v>
      </c>
      <c r="CU91" s="27">
        <v>631192</v>
      </c>
      <c r="CV91" s="27">
        <v>609672</v>
      </c>
      <c r="CW91" s="27">
        <v>714882</v>
      </c>
      <c r="CX91" s="27">
        <v>703159</v>
      </c>
      <c r="CY91" s="27">
        <v>706827</v>
      </c>
      <c r="CZ91" s="27">
        <v>705443</v>
      </c>
      <c r="DA91" s="27">
        <v>897633</v>
      </c>
      <c r="DB91" s="27">
        <v>934591</v>
      </c>
      <c r="DC91" s="27">
        <v>927098</v>
      </c>
      <c r="DD91" s="27">
        <v>1111072</v>
      </c>
      <c r="DE91" s="27">
        <v>1206011</v>
      </c>
      <c r="DF91" s="27">
        <v>1216844</v>
      </c>
      <c r="DG91" s="27">
        <v>1262930</v>
      </c>
      <c r="DH91" s="27">
        <v>1304076</v>
      </c>
      <c r="DI91" s="22">
        <v>1207436</v>
      </c>
      <c r="DJ91" s="25">
        <v>998286</v>
      </c>
      <c r="DK91" s="25">
        <v>866785</v>
      </c>
      <c r="DL91" s="25">
        <v>715873</v>
      </c>
      <c r="DM91" s="25">
        <v>852475</v>
      </c>
      <c r="DN91" s="25">
        <v>967208</v>
      </c>
      <c r="DO91" s="25">
        <v>1071487</v>
      </c>
      <c r="DP91" s="25">
        <v>1646584</v>
      </c>
      <c r="DQ91" s="25">
        <v>1840238</v>
      </c>
      <c r="DR91" s="25">
        <v>2433715</v>
      </c>
      <c r="DS91" s="25">
        <v>2590488</v>
      </c>
      <c r="DT91" s="25">
        <v>2859197</v>
      </c>
      <c r="DU91" s="25">
        <v>3282312</v>
      </c>
      <c r="DV91" s="25">
        <v>3391447</v>
      </c>
      <c r="DW91" s="25">
        <v>3422162</v>
      </c>
      <c r="DX91" s="25">
        <v>3717319</v>
      </c>
      <c r="DY91" s="25">
        <v>3968049</v>
      </c>
      <c r="DZ91" s="25">
        <v>4149588</v>
      </c>
      <c r="EA91" s="25">
        <v>4242691</v>
      </c>
      <c r="EB91" s="25">
        <v>4131681</v>
      </c>
      <c r="EC91" s="25">
        <v>4034852</v>
      </c>
      <c r="ED91" s="25">
        <v>4425375</v>
      </c>
      <c r="EE91" s="25">
        <v>4421932</v>
      </c>
      <c r="EF91" s="25">
        <v>4652866</v>
      </c>
      <c r="EG91" s="25">
        <v>5049848</v>
      </c>
      <c r="EH91" s="25">
        <v>5073956</v>
      </c>
      <c r="EI91" s="25">
        <v>5060673</v>
      </c>
      <c r="EJ91" s="25">
        <v>5053464</v>
      </c>
      <c r="EK91" s="25">
        <f t="shared" si="6"/>
        <v>22612</v>
      </c>
      <c r="EL91" s="25">
        <v>5076076</v>
      </c>
      <c r="EM91" s="25">
        <f t="shared" si="7"/>
        <v>137906</v>
      </c>
      <c r="EN91" s="25">
        <v>5213982</v>
      </c>
      <c r="EO91" s="25">
        <f t="shared" si="8"/>
        <v>396027</v>
      </c>
      <c r="EP91" s="25">
        <v>5610009</v>
      </c>
      <c r="EQ91" s="25">
        <f t="shared" si="9"/>
        <v>60214</v>
      </c>
      <c r="ER91" s="25">
        <v>5670223</v>
      </c>
      <c r="ES91" s="25">
        <f t="shared" si="10"/>
        <v>570856</v>
      </c>
      <c r="ET91" s="25">
        <v>6241079</v>
      </c>
      <c r="EU91" s="25">
        <f t="shared" si="11"/>
        <v>1882742</v>
      </c>
      <c r="EV91" s="25">
        <v>8123821</v>
      </c>
      <c r="EW91" s="25">
        <v>7912013</v>
      </c>
      <c r="EX91" s="25">
        <v>7332744</v>
      </c>
      <c r="EY91" s="25">
        <v>7111528</v>
      </c>
      <c r="EZ91" s="25">
        <v>6959382</v>
      </c>
      <c r="FA91" s="25">
        <v>6937340</v>
      </c>
      <c r="FB91" s="25">
        <v>7160342</v>
      </c>
      <c r="FC91" s="25">
        <v>7628034</v>
      </c>
      <c r="FD91" s="25">
        <v>7752985</v>
      </c>
      <c r="FE91" s="25">
        <v>8212546</v>
      </c>
      <c r="FF91" s="25">
        <v>8041128</v>
      </c>
      <c r="FG91" s="25">
        <v>7848114</v>
      </c>
      <c r="FH91" s="25">
        <v>7506472</v>
      </c>
      <c r="FI91" s="25">
        <v>7200043</v>
      </c>
    </row>
    <row r="92" spans="1:165" x14ac:dyDescent="0.4">
      <c r="A92" s="33" t="s">
        <v>13</v>
      </c>
      <c r="B92" s="27">
        <v>0</v>
      </c>
      <c r="C92" s="27">
        <v>0</v>
      </c>
      <c r="D92" s="27">
        <v>0</v>
      </c>
      <c r="E92" s="27">
        <v>0</v>
      </c>
      <c r="F92" s="27">
        <v>0</v>
      </c>
      <c r="G92" s="27">
        <v>0</v>
      </c>
      <c r="H92" s="27">
        <v>0</v>
      </c>
      <c r="I92" s="27">
        <v>0</v>
      </c>
      <c r="J92" s="27">
        <v>0</v>
      </c>
      <c r="K92" s="27">
        <v>0</v>
      </c>
      <c r="L92" s="27">
        <v>0</v>
      </c>
      <c r="M92" s="27">
        <v>0</v>
      </c>
      <c r="N92" s="27">
        <v>0</v>
      </c>
      <c r="O92" s="27">
        <v>0</v>
      </c>
      <c r="P92" s="27">
        <v>0</v>
      </c>
      <c r="Q92" s="27">
        <v>0</v>
      </c>
      <c r="R92" s="27">
        <v>0</v>
      </c>
      <c r="S92" s="27">
        <v>0</v>
      </c>
      <c r="T92" s="27">
        <v>0</v>
      </c>
      <c r="U92" s="27">
        <v>0</v>
      </c>
      <c r="V92" s="27">
        <v>0</v>
      </c>
      <c r="W92" s="27">
        <v>0</v>
      </c>
      <c r="X92" s="27">
        <v>0</v>
      </c>
      <c r="Y92" s="27">
        <v>0</v>
      </c>
      <c r="Z92" s="27">
        <v>0</v>
      </c>
      <c r="AA92" s="27">
        <v>0</v>
      </c>
      <c r="AB92" s="27">
        <v>0</v>
      </c>
      <c r="AC92" s="27">
        <v>0</v>
      </c>
      <c r="AD92" s="27">
        <v>0</v>
      </c>
      <c r="AE92" s="27">
        <v>0</v>
      </c>
      <c r="AF92" s="27">
        <v>0</v>
      </c>
      <c r="AG92" s="27">
        <v>0</v>
      </c>
      <c r="AH92" s="27">
        <v>0</v>
      </c>
      <c r="AI92" s="27">
        <v>0</v>
      </c>
      <c r="AJ92" s="27">
        <v>0</v>
      </c>
      <c r="AK92" s="27">
        <v>0</v>
      </c>
      <c r="AL92" s="27">
        <v>0</v>
      </c>
      <c r="AM92" s="27">
        <v>0</v>
      </c>
      <c r="AN92" s="27">
        <v>0</v>
      </c>
      <c r="AO92" s="27">
        <v>0</v>
      </c>
      <c r="AP92" s="27">
        <v>0</v>
      </c>
      <c r="AQ92" s="27">
        <v>0</v>
      </c>
      <c r="AR92" s="27">
        <v>10</v>
      </c>
      <c r="AS92" s="27">
        <v>10</v>
      </c>
      <c r="AT92" s="27">
        <v>334</v>
      </c>
      <c r="AU92" s="27">
        <v>316</v>
      </c>
      <c r="AV92" s="27">
        <v>315</v>
      </c>
      <c r="AW92" s="27">
        <v>325</v>
      </c>
      <c r="AX92" s="27">
        <v>0</v>
      </c>
      <c r="AY92" s="27">
        <v>0</v>
      </c>
      <c r="AZ92" s="27">
        <v>0</v>
      </c>
      <c r="BA92" s="27">
        <v>0</v>
      </c>
      <c r="BB92" s="27">
        <v>0</v>
      </c>
      <c r="BC92" s="27">
        <v>0</v>
      </c>
      <c r="BD92" s="27">
        <v>0</v>
      </c>
      <c r="BE92" s="27">
        <v>0</v>
      </c>
      <c r="BF92" s="27">
        <v>0</v>
      </c>
      <c r="BG92" s="27">
        <v>0</v>
      </c>
      <c r="BH92" s="27">
        <v>0</v>
      </c>
      <c r="BI92" s="27">
        <v>0</v>
      </c>
      <c r="BJ92" s="27">
        <v>0</v>
      </c>
      <c r="BK92" s="27">
        <v>0</v>
      </c>
      <c r="BL92" s="27">
        <v>0</v>
      </c>
      <c r="BM92" s="27">
        <v>0</v>
      </c>
      <c r="BN92" s="27">
        <v>0</v>
      </c>
      <c r="BO92" s="27">
        <v>0</v>
      </c>
      <c r="BP92" s="27">
        <v>0</v>
      </c>
      <c r="BQ92" s="27">
        <v>0</v>
      </c>
      <c r="BR92" s="27">
        <v>0</v>
      </c>
      <c r="BS92" s="27">
        <v>0</v>
      </c>
      <c r="BT92" s="27">
        <v>0</v>
      </c>
      <c r="BU92" s="27">
        <v>0</v>
      </c>
      <c r="BV92" s="27">
        <v>0</v>
      </c>
      <c r="BW92" s="27">
        <v>0</v>
      </c>
      <c r="BX92" s="27">
        <v>0</v>
      </c>
      <c r="BY92" s="27">
        <v>0</v>
      </c>
      <c r="BZ92" s="27">
        <v>0</v>
      </c>
      <c r="CA92" s="27">
        <v>0</v>
      </c>
      <c r="CB92" s="27">
        <v>0</v>
      </c>
      <c r="CC92" s="27">
        <v>0</v>
      </c>
      <c r="CD92" s="27">
        <v>0</v>
      </c>
      <c r="CE92" s="27">
        <v>0</v>
      </c>
      <c r="CF92" s="27">
        <v>0</v>
      </c>
      <c r="CG92" s="27">
        <v>0</v>
      </c>
      <c r="CH92" s="27">
        <v>0</v>
      </c>
      <c r="CI92" s="27">
        <v>0</v>
      </c>
      <c r="CJ92" s="27">
        <v>0</v>
      </c>
      <c r="CK92" s="27">
        <v>0</v>
      </c>
      <c r="CL92" s="27">
        <v>0</v>
      </c>
      <c r="CM92" s="27">
        <v>0</v>
      </c>
      <c r="CN92" s="27">
        <v>0</v>
      </c>
      <c r="CO92" s="27">
        <v>0</v>
      </c>
      <c r="CP92" s="27">
        <v>0</v>
      </c>
      <c r="CQ92" s="27">
        <v>0</v>
      </c>
      <c r="CR92" s="27">
        <v>0</v>
      </c>
      <c r="CS92" s="27">
        <v>0</v>
      </c>
      <c r="CT92" s="27">
        <v>0</v>
      </c>
      <c r="CU92" s="27">
        <v>0</v>
      </c>
      <c r="CV92" s="27">
        <v>0</v>
      </c>
      <c r="CW92" s="27">
        <v>0</v>
      </c>
      <c r="CX92" s="27">
        <v>0</v>
      </c>
      <c r="CY92" s="27">
        <v>0</v>
      </c>
      <c r="CZ92" s="27">
        <v>0</v>
      </c>
      <c r="DA92" s="27">
        <v>0</v>
      </c>
      <c r="DB92" s="27">
        <v>0</v>
      </c>
      <c r="DC92" s="27">
        <v>0</v>
      </c>
      <c r="DD92" s="16">
        <v>6284</v>
      </c>
      <c r="DE92" s="16">
        <v>6689</v>
      </c>
      <c r="DF92" s="16">
        <v>6636</v>
      </c>
      <c r="DG92" s="16">
        <v>6960</v>
      </c>
      <c r="DH92" s="27">
        <v>7481</v>
      </c>
      <c r="DI92" s="22">
        <v>7539</v>
      </c>
      <c r="DJ92" s="25">
        <v>6375</v>
      </c>
      <c r="DK92" s="25">
        <v>5671</v>
      </c>
      <c r="DL92" s="25">
        <v>4604</v>
      </c>
      <c r="DM92" s="25">
        <v>5524</v>
      </c>
      <c r="DN92" s="25">
        <v>5446</v>
      </c>
      <c r="DO92" s="25">
        <v>5186</v>
      </c>
      <c r="DP92" s="25">
        <v>34393</v>
      </c>
      <c r="DQ92" s="25">
        <v>34346</v>
      </c>
      <c r="DR92" s="25">
        <v>66195</v>
      </c>
      <c r="DS92" s="25">
        <v>66442</v>
      </c>
      <c r="DT92" s="25">
        <v>71350</v>
      </c>
      <c r="DU92" s="25">
        <v>73808</v>
      </c>
      <c r="DV92" s="25">
        <v>71</v>
      </c>
      <c r="DW92" s="25">
        <v>2151</v>
      </c>
      <c r="DX92" s="25">
        <v>2375</v>
      </c>
      <c r="DY92" s="25">
        <v>3397</v>
      </c>
      <c r="DZ92" s="25">
        <v>4416</v>
      </c>
      <c r="EA92" s="25">
        <v>4938</v>
      </c>
      <c r="EB92" s="25">
        <v>5160</v>
      </c>
      <c r="EC92" s="25">
        <v>26952</v>
      </c>
      <c r="ED92" s="25">
        <v>58207</v>
      </c>
      <c r="EE92" s="25">
        <v>82208</v>
      </c>
      <c r="EF92" s="25">
        <v>85600</v>
      </c>
      <c r="EG92" s="25">
        <v>90687</v>
      </c>
      <c r="EH92" s="25">
        <v>104454</v>
      </c>
      <c r="EI92" s="25">
        <v>98782</v>
      </c>
      <c r="EJ92" s="25">
        <v>101362</v>
      </c>
      <c r="EK92" s="25">
        <f t="shared" si="6"/>
        <v>1452</v>
      </c>
      <c r="EL92" s="25">
        <v>102814</v>
      </c>
      <c r="EM92" s="25">
        <f t="shared" si="7"/>
        <v>6598</v>
      </c>
      <c r="EN92" s="25">
        <v>109412</v>
      </c>
      <c r="EO92" s="25">
        <f t="shared" si="8"/>
        <v>-35091</v>
      </c>
      <c r="EP92" s="25">
        <v>74321</v>
      </c>
      <c r="EQ92" s="25">
        <f t="shared" si="9"/>
        <v>-51633</v>
      </c>
      <c r="ER92" s="25">
        <v>22688</v>
      </c>
      <c r="ES92" s="25">
        <f t="shared" si="10"/>
        <v>703</v>
      </c>
      <c r="ET92" s="25">
        <v>23391</v>
      </c>
      <c r="EU92" s="25">
        <f t="shared" si="11"/>
        <v>-1001</v>
      </c>
      <c r="EV92" s="25">
        <v>22390</v>
      </c>
      <c r="EW92" s="25">
        <v>6455</v>
      </c>
      <c r="EX92" s="25">
        <v>12288</v>
      </c>
      <c r="EY92" s="25">
        <v>36776</v>
      </c>
      <c r="EZ92" s="25">
        <v>63502</v>
      </c>
      <c r="FA92" s="25">
        <v>60824</v>
      </c>
      <c r="FB92" s="25">
        <v>59184</v>
      </c>
      <c r="FC92" s="25">
        <v>112308</v>
      </c>
      <c r="FD92" s="25">
        <v>112374</v>
      </c>
      <c r="FE92" s="25">
        <v>114694</v>
      </c>
      <c r="FF92" s="25">
        <v>111454</v>
      </c>
      <c r="FG92" s="25">
        <v>108493</v>
      </c>
      <c r="FH92" s="25">
        <v>109414</v>
      </c>
      <c r="FI92" s="25">
        <v>105942</v>
      </c>
    </row>
    <row r="93" spans="1:165" x14ac:dyDescent="0.4">
      <c r="A93" s="33" t="s">
        <v>14</v>
      </c>
      <c r="B93" s="27">
        <v>44487</v>
      </c>
      <c r="C93" s="27">
        <v>43981</v>
      </c>
      <c r="D93" s="27">
        <v>44844</v>
      </c>
      <c r="E93" s="27">
        <v>45508</v>
      </c>
      <c r="F93" s="27">
        <v>45889</v>
      </c>
      <c r="G93" s="27">
        <v>46374</v>
      </c>
      <c r="H93" s="27">
        <v>48036</v>
      </c>
      <c r="I93" s="27">
        <v>61214</v>
      </c>
      <c r="J93" s="27">
        <v>61750</v>
      </c>
      <c r="K93" s="27">
        <v>60199</v>
      </c>
      <c r="L93" s="27">
        <v>59655</v>
      </c>
      <c r="M93" s="27">
        <v>61649</v>
      </c>
      <c r="N93" s="27">
        <v>60898</v>
      </c>
      <c r="O93" s="27">
        <v>65578</v>
      </c>
      <c r="P93" s="27">
        <v>67070</v>
      </c>
      <c r="Q93" s="27">
        <v>80641</v>
      </c>
      <c r="R93" s="27">
        <v>80666</v>
      </c>
      <c r="S93" s="27">
        <v>95617</v>
      </c>
      <c r="T93" s="27">
        <v>92788</v>
      </c>
      <c r="U93" s="27">
        <v>98605</v>
      </c>
      <c r="V93" s="27">
        <v>100158</v>
      </c>
      <c r="W93" s="27">
        <v>108572</v>
      </c>
      <c r="X93" s="27">
        <v>119617</v>
      </c>
      <c r="Y93" s="27">
        <v>131448</v>
      </c>
      <c r="Z93" s="27">
        <v>151449</v>
      </c>
      <c r="AA93" s="27">
        <v>184469</v>
      </c>
      <c r="AB93" s="27">
        <v>132757</v>
      </c>
      <c r="AC93" s="27">
        <v>128814</v>
      </c>
      <c r="AD93" s="27">
        <v>115087</v>
      </c>
      <c r="AE93" s="27">
        <v>119659</v>
      </c>
      <c r="AF93" s="27">
        <v>127059</v>
      </c>
      <c r="AG93" s="27">
        <v>144249</v>
      </c>
      <c r="AH93" s="27">
        <v>162816</v>
      </c>
      <c r="AI93" s="27">
        <v>162202</v>
      </c>
      <c r="AJ93" s="27">
        <v>157111</v>
      </c>
      <c r="AK93" s="27">
        <v>162188</v>
      </c>
      <c r="AL93" s="27">
        <v>306090</v>
      </c>
      <c r="AM93" s="27">
        <v>324917</v>
      </c>
      <c r="AN93" s="27">
        <v>315150</v>
      </c>
      <c r="AO93" s="27">
        <v>365337</v>
      </c>
      <c r="AP93" s="27">
        <v>428212</v>
      </c>
      <c r="AQ93" s="27">
        <v>435447</v>
      </c>
      <c r="AR93" s="27">
        <v>424324</v>
      </c>
      <c r="AS93" s="27">
        <v>476254</v>
      </c>
      <c r="AT93" s="27">
        <v>467669</v>
      </c>
      <c r="AU93" s="27">
        <v>505700</v>
      </c>
      <c r="AV93" s="27">
        <v>503638</v>
      </c>
      <c r="AW93" s="27">
        <v>519331</v>
      </c>
      <c r="AX93" s="27">
        <v>494233</v>
      </c>
      <c r="AY93" s="27">
        <v>490893</v>
      </c>
      <c r="AZ93" s="27">
        <v>492150</v>
      </c>
      <c r="BA93" s="27">
        <v>479125</v>
      </c>
      <c r="BB93" s="27">
        <v>484337</v>
      </c>
      <c r="BC93" s="27">
        <v>461203</v>
      </c>
      <c r="BD93" s="27">
        <v>491105</v>
      </c>
      <c r="BE93" s="27">
        <v>496411</v>
      </c>
      <c r="BF93" s="27">
        <v>499498</v>
      </c>
      <c r="BG93" s="27">
        <v>496786</v>
      </c>
      <c r="BH93" s="27">
        <v>480529</v>
      </c>
      <c r="BI93" s="27">
        <v>485414</v>
      </c>
      <c r="BJ93" s="27">
        <v>480364</v>
      </c>
      <c r="BK93" s="27">
        <v>469425</v>
      </c>
      <c r="BL93" s="27">
        <v>463940</v>
      </c>
      <c r="BM93" s="27">
        <v>491587</v>
      </c>
      <c r="BN93" s="27">
        <v>540444</v>
      </c>
      <c r="BO93" s="27">
        <v>545548</v>
      </c>
      <c r="BP93" s="27">
        <v>530807</v>
      </c>
      <c r="BQ93" s="27">
        <v>528845</v>
      </c>
      <c r="BR93" s="27">
        <v>572807</v>
      </c>
      <c r="BS93" s="27">
        <v>554088</v>
      </c>
      <c r="BT93" s="27">
        <v>553045</v>
      </c>
      <c r="BU93" s="27">
        <v>560310</v>
      </c>
      <c r="BV93" s="27">
        <v>588889</v>
      </c>
      <c r="BW93" s="27">
        <v>560639</v>
      </c>
      <c r="BX93" s="27">
        <v>559712</v>
      </c>
      <c r="BY93" s="27">
        <v>500689</v>
      </c>
      <c r="BZ93" s="27">
        <v>499429</v>
      </c>
      <c r="CA93" s="27">
        <v>503953</v>
      </c>
      <c r="CB93" s="27">
        <v>489463</v>
      </c>
      <c r="CC93" s="27">
        <v>493176</v>
      </c>
      <c r="CD93" s="27">
        <v>516596</v>
      </c>
      <c r="CE93" s="27">
        <v>499872</v>
      </c>
      <c r="CF93" s="27">
        <v>497155</v>
      </c>
      <c r="CG93" s="27">
        <v>498685</v>
      </c>
      <c r="CH93" s="27">
        <v>493268</v>
      </c>
      <c r="CI93" s="27">
        <v>501878</v>
      </c>
      <c r="CJ93" s="27">
        <v>526357</v>
      </c>
      <c r="CK93" s="27">
        <v>619948</v>
      </c>
      <c r="CL93" s="27">
        <v>590443</v>
      </c>
      <c r="CM93" s="27">
        <v>543530</v>
      </c>
      <c r="CN93" s="27">
        <v>538124</v>
      </c>
      <c r="CO93" s="27">
        <v>582744</v>
      </c>
      <c r="CP93" s="27">
        <v>591243</v>
      </c>
      <c r="CQ93" s="27">
        <v>630071</v>
      </c>
      <c r="CR93" s="27">
        <v>628867</v>
      </c>
      <c r="CS93" s="27">
        <v>602736</v>
      </c>
      <c r="CT93" s="27">
        <v>612276</v>
      </c>
      <c r="CU93" s="27">
        <v>631192</v>
      </c>
      <c r="CV93" s="27">
        <v>609672</v>
      </c>
      <c r="CW93" s="27">
        <v>714882</v>
      </c>
      <c r="CX93" s="27">
        <v>703159</v>
      </c>
      <c r="CY93" s="27">
        <v>706827</v>
      </c>
      <c r="CZ93" s="27">
        <v>705443</v>
      </c>
      <c r="DA93" s="27">
        <v>897633</v>
      </c>
      <c r="DB93" s="27">
        <v>934591</v>
      </c>
      <c r="DC93" s="27">
        <v>927098</v>
      </c>
      <c r="DD93" s="27">
        <v>1104788</v>
      </c>
      <c r="DE93" s="27">
        <v>1199321</v>
      </c>
      <c r="DF93" s="27">
        <v>1210208</v>
      </c>
      <c r="DG93" s="27">
        <v>1255970</v>
      </c>
      <c r="DH93" s="27">
        <v>1296595</v>
      </c>
      <c r="DI93" s="22">
        <v>1199897</v>
      </c>
      <c r="DJ93" s="25">
        <v>991910</v>
      </c>
      <c r="DK93" s="25">
        <v>861114</v>
      </c>
      <c r="DL93" s="25">
        <v>711269</v>
      </c>
      <c r="DM93" s="25">
        <v>846951</v>
      </c>
      <c r="DN93" s="25">
        <v>961762</v>
      </c>
      <c r="DO93" s="25">
        <v>1066301</v>
      </c>
      <c r="DP93" s="25">
        <v>1612191</v>
      </c>
      <c r="DQ93" s="25">
        <v>1805892</v>
      </c>
      <c r="DR93" s="25">
        <v>2367520</v>
      </c>
      <c r="DS93" s="25">
        <v>2524046</v>
      </c>
      <c r="DT93" s="25">
        <v>2787847</v>
      </c>
      <c r="DU93" s="25">
        <v>3208503</v>
      </c>
      <c r="DV93" s="25">
        <v>3391376</v>
      </c>
      <c r="DW93" s="25">
        <v>3420011</v>
      </c>
      <c r="DX93" s="25">
        <v>3714944</v>
      </c>
      <c r="DY93" s="25">
        <v>3964652</v>
      </c>
      <c r="DZ93" s="25">
        <v>4145172</v>
      </c>
      <c r="EA93" s="25">
        <v>4237753</v>
      </c>
      <c r="EB93" s="25">
        <v>4126522</v>
      </c>
      <c r="EC93" s="25">
        <v>4007899</v>
      </c>
      <c r="ED93" s="25">
        <v>4367168</v>
      </c>
      <c r="EE93" s="25">
        <v>4339724</v>
      </c>
      <c r="EF93" s="25">
        <v>4567266</v>
      </c>
      <c r="EG93" s="25">
        <v>4959161</v>
      </c>
      <c r="EH93" s="25">
        <v>4969502</v>
      </c>
      <c r="EI93" s="25">
        <v>4961891</v>
      </c>
      <c r="EJ93" s="25">
        <v>4952101</v>
      </c>
      <c r="EK93" s="25">
        <f t="shared" si="6"/>
        <v>21162</v>
      </c>
      <c r="EL93" s="25">
        <v>4973263</v>
      </c>
      <c r="EM93" s="25">
        <f t="shared" si="7"/>
        <v>131307</v>
      </c>
      <c r="EN93" s="25">
        <v>5104570</v>
      </c>
      <c r="EO93" s="25">
        <f t="shared" si="8"/>
        <v>431119</v>
      </c>
      <c r="EP93" s="25">
        <v>5535689</v>
      </c>
      <c r="EQ93" s="25">
        <f t="shared" si="9"/>
        <v>111846</v>
      </c>
      <c r="ER93" s="25">
        <v>5647535</v>
      </c>
      <c r="ES93" s="25">
        <f t="shared" si="10"/>
        <v>570152</v>
      </c>
      <c r="ET93" s="25">
        <v>6217687</v>
      </c>
      <c r="EU93" s="25">
        <f t="shared" si="11"/>
        <v>1883744</v>
      </c>
      <c r="EV93" s="25">
        <v>8101431</v>
      </c>
      <c r="EW93" s="25">
        <v>7905557</v>
      </c>
      <c r="EX93" s="25">
        <v>7320456</v>
      </c>
      <c r="EY93" s="25">
        <v>7074752</v>
      </c>
      <c r="EZ93" s="25">
        <v>6895880</v>
      </c>
      <c r="FA93" s="25">
        <v>6876516</v>
      </c>
      <c r="FB93" s="25">
        <v>7101158</v>
      </c>
      <c r="FC93" s="25">
        <v>7515725</v>
      </c>
      <c r="FD93" s="25">
        <v>7640611</v>
      </c>
      <c r="FE93" s="25">
        <v>8097852</v>
      </c>
      <c r="FF93" s="25">
        <v>7929674</v>
      </c>
      <c r="FG93" s="25">
        <v>7739620</v>
      </c>
      <c r="FH93" s="25">
        <v>7397058</v>
      </c>
      <c r="FI93" s="25">
        <v>7094101</v>
      </c>
    </row>
    <row r="94" spans="1:165" x14ac:dyDescent="0.4">
      <c r="A94" s="33" t="s">
        <v>27</v>
      </c>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v>0</v>
      </c>
      <c r="BW94" s="27">
        <v>0</v>
      </c>
      <c r="BX94" s="27">
        <v>52606</v>
      </c>
      <c r="BY94" s="27">
        <v>0</v>
      </c>
      <c r="BZ94" s="27">
        <v>0</v>
      </c>
      <c r="CA94" s="27">
        <v>23399</v>
      </c>
      <c r="CB94" s="27">
        <v>22686</v>
      </c>
      <c r="CC94" s="27">
        <v>22795</v>
      </c>
      <c r="CD94" s="27">
        <v>23971</v>
      </c>
      <c r="CE94" s="27">
        <v>23168</v>
      </c>
      <c r="CF94" s="27">
        <v>22973</v>
      </c>
      <c r="CG94" s="27">
        <v>23054</v>
      </c>
      <c r="CH94" s="27">
        <v>22265</v>
      </c>
      <c r="CI94" s="27">
        <v>22671</v>
      </c>
      <c r="CJ94" s="27">
        <v>23597</v>
      </c>
      <c r="CK94" s="27">
        <v>27958</v>
      </c>
      <c r="CL94" s="27">
        <v>26504</v>
      </c>
      <c r="CM94" s="27">
        <v>1</v>
      </c>
      <c r="CN94" s="27">
        <v>2</v>
      </c>
      <c r="CO94" s="27">
        <v>45491</v>
      </c>
      <c r="CP94" s="27">
        <v>46021</v>
      </c>
      <c r="CQ94" s="27">
        <v>49582</v>
      </c>
      <c r="CR94" s="27">
        <v>50527</v>
      </c>
      <c r="CS94" s="27">
        <v>48505</v>
      </c>
      <c r="CT94" s="27">
        <v>47653</v>
      </c>
      <c r="CU94" s="27">
        <v>47905</v>
      </c>
      <c r="CV94" s="27">
        <v>46489</v>
      </c>
      <c r="CW94" s="27">
        <v>47784</v>
      </c>
      <c r="CX94" s="27">
        <v>46903</v>
      </c>
      <c r="CY94" s="27">
        <v>46586</v>
      </c>
      <c r="CZ94" s="27">
        <v>45897</v>
      </c>
      <c r="DA94" s="27">
        <v>1462</v>
      </c>
      <c r="DB94" s="27">
        <v>1470</v>
      </c>
      <c r="DC94" s="27">
        <v>875</v>
      </c>
      <c r="DD94" s="27">
        <v>1205</v>
      </c>
      <c r="DE94" s="27">
        <v>4227</v>
      </c>
      <c r="DF94" s="27">
        <v>45922</v>
      </c>
      <c r="DG94" s="27">
        <v>50412</v>
      </c>
      <c r="DH94" s="27">
        <v>54079</v>
      </c>
      <c r="DI94" s="22">
        <v>52877</v>
      </c>
      <c r="DJ94" s="25">
        <v>42766</v>
      </c>
      <c r="DK94" s="25">
        <v>37860</v>
      </c>
      <c r="DL94" s="25">
        <v>32537</v>
      </c>
      <c r="DM94" s="25">
        <v>39356</v>
      </c>
      <c r="DN94" s="25">
        <v>38919</v>
      </c>
      <c r="DO94" s="25">
        <v>35378</v>
      </c>
      <c r="DP94" s="25">
        <v>45252</v>
      </c>
      <c r="DQ94" s="25">
        <v>79436</v>
      </c>
      <c r="DR94" s="25">
        <v>43031</v>
      </c>
      <c r="DS94" s="25">
        <v>73128</v>
      </c>
      <c r="DT94" s="25">
        <v>77848</v>
      </c>
      <c r="DU94" s="25">
        <v>82660</v>
      </c>
      <c r="DV94" s="25">
        <v>125395</v>
      </c>
      <c r="DW94" s="25">
        <v>137785</v>
      </c>
      <c r="DX94" s="25">
        <v>179866</v>
      </c>
      <c r="DY94" s="25">
        <v>190671</v>
      </c>
      <c r="DZ94" s="25">
        <v>203450</v>
      </c>
      <c r="EA94" s="25">
        <v>221562</v>
      </c>
      <c r="EB94" s="25">
        <v>229586</v>
      </c>
      <c r="EC94" s="25">
        <v>214768</v>
      </c>
      <c r="ED94" s="25">
        <v>250118</v>
      </c>
      <c r="EE94" s="25">
        <v>215901</v>
      </c>
      <c r="EF94" s="25">
        <v>219607</v>
      </c>
      <c r="EG94" s="25">
        <v>372394</v>
      </c>
      <c r="EH94" s="25">
        <v>492794</v>
      </c>
      <c r="EI94" s="25">
        <v>482616</v>
      </c>
      <c r="EJ94" s="25">
        <v>426113</v>
      </c>
      <c r="EK94" s="25">
        <f t="shared" si="6"/>
        <v>49397</v>
      </c>
      <c r="EL94" s="25">
        <v>475510</v>
      </c>
      <c r="EM94" s="25">
        <f t="shared" si="7"/>
        <v>17072</v>
      </c>
      <c r="EN94" s="25">
        <v>492582</v>
      </c>
      <c r="EO94" s="25">
        <f t="shared" si="8"/>
        <v>55313</v>
      </c>
      <c r="EP94" s="25">
        <v>547895</v>
      </c>
      <c r="EQ94" s="25">
        <f t="shared" si="9"/>
        <v>24668</v>
      </c>
      <c r="ER94" s="25">
        <v>572563</v>
      </c>
      <c r="ES94" s="25">
        <f t="shared" si="10"/>
        <v>491637</v>
      </c>
      <c r="ET94" s="25">
        <v>1064200</v>
      </c>
      <c r="EU94" s="25">
        <f t="shared" si="11"/>
        <v>173953</v>
      </c>
      <c r="EV94" s="25">
        <v>1238153</v>
      </c>
      <c r="EW94" s="25">
        <v>1225479</v>
      </c>
      <c r="EX94" s="25">
        <v>1338475</v>
      </c>
      <c r="EY94" s="25">
        <v>1254924</v>
      </c>
      <c r="EZ94" s="25">
        <v>1104871</v>
      </c>
      <c r="FA94" s="25">
        <v>1291938</v>
      </c>
      <c r="FB94" s="25">
        <v>1370166</v>
      </c>
      <c r="FC94" s="25">
        <v>1431025</v>
      </c>
      <c r="FD94" s="25">
        <v>1440659</v>
      </c>
      <c r="FE94" s="25">
        <v>1501026</v>
      </c>
      <c r="FF94" s="25">
        <v>1504049</v>
      </c>
      <c r="FG94" s="25">
        <v>1150863</v>
      </c>
      <c r="FH94" s="25">
        <v>910199</v>
      </c>
      <c r="FI94" s="25">
        <v>816665</v>
      </c>
    </row>
    <row r="95" spans="1:165" x14ac:dyDescent="0.4">
      <c r="A95" s="33" t="s">
        <v>30</v>
      </c>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v>588889</v>
      </c>
      <c r="BW95" s="27">
        <v>560639</v>
      </c>
      <c r="BX95" s="27">
        <v>507106</v>
      </c>
      <c r="BY95" s="27">
        <v>500689</v>
      </c>
      <c r="BZ95" s="27">
        <v>499429</v>
      </c>
      <c r="CA95" s="27">
        <v>480554</v>
      </c>
      <c r="CB95" s="27">
        <v>466778</v>
      </c>
      <c r="CC95" s="27">
        <v>470381</v>
      </c>
      <c r="CD95" s="27">
        <v>492625</v>
      </c>
      <c r="CE95" s="27">
        <v>476704</v>
      </c>
      <c r="CF95" s="27">
        <v>474183</v>
      </c>
      <c r="CG95" s="27">
        <v>475631</v>
      </c>
      <c r="CH95" s="27">
        <v>471003</v>
      </c>
      <c r="CI95" s="27">
        <v>479207</v>
      </c>
      <c r="CJ95" s="27">
        <v>502759</v>
      </c>
      <c r="CK95" s="27">
        <v>591990</v>
      </c>
      <c r="CL95" s="27">
        <v>563939</v>
      </c>
      <c r="CM95" s="27">
        <v>543528</v>
      </c>
      <c r="CN95" s="27">
        <v>538122</v>
      </c>
      <c r="CO95" s="27">
        <v>537253</v>
      </c>
      <c r="CP95" s="27">
        <v>545223</v>
      </c>
      <c r="CQ95" s="27">
        <v>580490</v>
      </c>
      <c r="CR95" s="27">
        <v>578340</v>
      </c>
      <c r="CS95" s="27">
        <v>554231</v>
      </c>
      <c r="CT95" s="27">
        <v>564623</v>
      </c>
      <c r="CU95" s="27">
        <v>583287</v>
      </c>
      <c r="CV95" s="27">
        <v>563183</v>
      </c>
      <c r="CW95" s="27">
        <v>667097</v>
      </c>
      <c r="CX95" s="27">
        <v>656256</v>
      </c>
      <c r="CY95" s="27">
        <v>660241</v>
      </c>
      <c r="CZ95" s="27">
        <v>659546</v>
      </c>
      <c r="DA95" s="27">
        <v>896171</v>
      </c>
      <c r="DB95" s="27">
        <v>933120</v>
      </c>
      <c r="DC95" s="27">
        <v>926223</v>
      </c>
      <c r="DD95" s="27">
        <v>1103583</v>
      </c>
      <c r="DE95" s="27">
        <v>1195094</v>
      </c>
      <c r="DF95" s="27">
        <v>1164286</v>
      </c>
      <c r="DG95" s="27">
        <v>1205558</v>
      </c>
      <c r="DH95" s="27">
        <v>1242517</v>
      </c>
      <c r="DI95" s="22">
        <v>1147020</v>
      </c>
      <c r="DJ95" s="25">
        <v>949144</v>
      </c>
      <c r="DK95" s="25">
        <v>823254</v>
      </c>
      <c r="DL95" s="25">
        <v>678733</v>
      </c>
      <c r="DM95" s="25">
        <v>807595</v>
      </c>
      <c r="DN95" s="25">
        <v>922843</v>
      </c>
      <c r="DO95" s="25">
        <v>1030923</v>
      </c>
      <c r="DP95" s="25">
        <v>1566940</v>
      </c>
      <c r="DQ95" s="25">
        <v>1726456</v>
      </c>
      <c r="DR95" s="25">
        <v>2324489</v>
      </c>
      <c r="DS95" s="25">
        <v>2450918</v>
      </c>
      <c r="DT95" s="25">
        <v>2710000</v>
      </c>
      <c r="DU95" s="25">
        <v>3125843</v>
      </c>
      <c r="DV95" s="25">
        <v>3265982</v>
      </c>
      <c r="DW95" s="25">
        <v>3282226</v>
      </c>
      <c r="DX95" s="25">
        <v>3535078</v>
      </c>
      <c r="DY95" s="25">
        <v>3773981</v>
      </c>
      <c r="DZ95" s="25">
        <v>3941723</v>
      </c>
      <c r="EA95" s="25">
        <v>4016191</v>
      </c>
      <c r="EB95" s="25">
        <v>3896935</v>
      </c>
      <c r="EC95" s="25">
        <v>3793132</v>
      </c>
      <c r="ED95" s="25">
        <v>4117050</v>
      </c>
      <c r="EE95" s="25">
        <v>4123823</v>
      </c>
      <c r="EF95" s="25">
        <v>4347659</v>
      </c>
      <c r="EG95" s="25">
        <v>4586766</v>
      </c>
      <c r="EH95" s="25">
        <v>4476708</v>
      </c>
      <c r="EI95" s="25">
        <v>4479275</v>
      </c>
      <c r="EJ95" s="25">
        <v>4525988</v>
      </c>
      <c r="EK95" s="25">
        <f t="shared" si="6"/>
        <v>-28236</v>
      </c>
      <c r="EL95" s="25">
        <v>4497752</v>
      </c>
      <c r="EM95" s="25">
        <f t="shared" si="7"/>
        <v>114236</v>
      </c>
      <c r="EN95" s="25">
        <v>4611988</v>
      </c>
      <c r="EO95" s="25">
        <f t="shared" si="8"/>
        <v>375805</v>
      </c>
      <c r="EP95" s="25">
        <v>4987793</v>
      </c>
      <c r="EQ95" s="25">
        <f t="shared" si="9"/>
        <v>87179</v>
      </c>
      <c r="ER95" s="25">
        <v>5074972</v>
      </c>
      <c r="ES95" s="25">
        <f t="shared" si="10"/>
        <v>78515</v>
      </c>
      <c r="ET95" s="25">
        <v>5153487</v>
      </c>
      <c r="EU95" s="25">
        <f t="shared" si="11"/>
        <v>1709791</v>
      </c>
      <c r="EV95" s="25">
        <v>6863278</v>
      </c>
      <c r="EW95" s="25">
        <v>6680079</v>
      </c>
      <c r="EX95" s="25">
        <v>5981981</v>
      </c>
      <c r="EY95" s="25">
        <v>5819828</v>
      </c>
      <c r="EZ95" s="25">
        <v>5791009</v>
      </c>
      <c r="FA95" s="25">
        <v>5584578</v>
      </c>
      <c r="FB95" s="25">
        <v>5730992</v>
      </c>
      <c r="FC95" s="25">
        <v>6084700</v>
      </c>
      <c r="FD95" s="25">
        <v>6199952</v>
      </c>
      <c r="FE95" s="25">
        <v>6596825</v>
      </c>
      <c r="FF95" s="25">
        <v>6425625</v>
      </c>
      <c r="FG95" s="25">
        <v>6588757</v>
      </c>
      <c r="FH95" s="25">
        <v>6486860</v>
      </c>
      <c r="FI95" s="25">
        <v>6277435</v>
      </c>
    </row>
    <row r="96" spans="1:165" x14ac:dyDescent="0.4">
      <c r="A96" s="34" t="s">
        <v>11</v>
      </c>
      <c r="B96" s="16">
        <v>0</v>
      </c>
      <c r="C96" s="16">
        <v>0</v>
      </c>
      <c r="D96" s="16">
        <v>0</v>
      </c>
      <c r="E96" s="16">
        <v>0</v>
      </c>
      <c r="F96" s="16">
        <v>0</v>
      </c>
      <c r="G96" s="16">
        <v>0</v>
      </c>
      <c r="H96" s="16">
        <v>0</v>
      </c>
      <c r="I96" s="16">
        <v>0</v>
      </c>
      <c r="J96" s="16">
        <v>0</v>
      </c>
      <c r="K96" s="16">
        <v>0</v>
      </c>
      <c r="L96" s="16">
        <v>0</v>
      </c>
      <c r="M96" s="16">
        <v>0</v>
      </c>
      <c r="N96" s="16">
        <v>0</v>
      </c>
      <c r="O96" s="16">
        <v>0</v>
      </c>
      <c r="P96" s="16">
        <v>0</v>
      </c>
      <c r="Q96" s="16">
        <v>0</v>
      </c>
      <c r="R96" s="16">
        <v>0</v>
      </c>
      <c r="S96" s="16">
        <v>0</v>
      </c>
      <c r="T96" s="16">
        <v>0</v>
      </c>
      <c r="U96" s="16">
        <v>0</v>
      </c>
      <c r="V96" s="16">
        <v>0</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0</v>
      </c>
      <c r="AO96" s="16">
        <v>0</v>
      </c>
      <c r="AP96" s="16">
        <v>0</v>
      </c>
      <c r="AQ96" s="16">
        <v>0</v>
      </c>
      <c r="AR96" s="16">
        <v>0</v>
      </c>
      <c r="AS96" s="16">
        <v>0</v>
      </c>
      <c r="AT96" s="16">
        <v>0</v>
      </c>
      <c r="AU96" s="16">
        <v>0</v>
      </c>
      <c r="AV96" s="16">
        <v>0</v>
      </c>
      <c r="AW96" s="16">
        <v>0</v>
      </c>
      <c r="AX96" s="16">
        <v>0</v>
      </c>
      <c r="AY96" s="16">
        <v>0</v>
      </c>
      <c r="AZ96" s="16">
        <v>0</v>
      </c>
      <c r="BA96" s="16">
        <v>0</v>
      </c>
      <c r="BB96" s="16">
        <v>0</v>
      </c>
      <c r="BC96" s="16">
        <v>0</v>
      </c>
      <c r="BD96" s="16">
        <v>0</v>
      </c>
      <c r="BE96" s="16">
        <v>0</v>
      </c>
      <c r="BF96" s="16">
        <v>0</v>
      </c>
      <c r="BG96" s="16">
        <v>0</v>
      </c>
      <c r="BH96" s="16">
        <v>0</v>
      </c>
      <c r="BI96" s="16">
        <v>0</v>
      </c>
      <c r="BJ96" s="16">
        <v>0</v>
      </c>
      <c r="BK96" s="16">
        <v>0</v>
      </c>
      <c r="BL96" s="16">
        <v>0</v>
      </c>
      <c r="BM96" s="16">
        <v>0</v>
      </c>
      <c r="BN96" s="16">
        <v>0</v>
      </c>
      <c r="BO96" s="16">
        <v>0</v>
      </c>
      <c r="BP96" s="16">
        <v>0</v>
      </c>
      <c r="BQ96" s="16">
        <v>0</v>
      </c>
      <c r="BR96" s="16">
        <v>0</v>
      </c>
      <c r="BS96" s="16">
        <v>0</v>
      </c>
      <c r="BT96" s="16">
        <v>0</v>
      </c>
      <c r="BU96" s="16">
        <v>0</v>
      </c>
      <c r="BV96" s="16">
        <v>0</v>
      </c>
      <c r="BW96" s="16">
        <v>0</v>
      </c>
      <c r="BX96" s="16">
        <v>0</v>
      </c>
      <c r="BY96" s="16">
        <v>0</v>
      </c>
      <c r="BZ96" s="16">
        <v>0</v>
      </c>
      <c r="CA96" s="16">
        <v>0</v>
      </c>
      <c r="CB96" s="16">
        <v>0</v>
      </c>
      <c r="CC96" s="16">
        <v>0</v>
      </c>
      <c r="CD96" s="16">
        <v>0</v>
      </c>
      <c r="CE96" s="16">
        <v>0</v>
      </c>
      <c r="CF96" s="27">
        <v>0</v>
      </c>
      <c r="CG96" s="27">
        <v>0</v>
      </c>
      <c r="CH96" s="27">
        <v>0</v>
      </c>
      <c r="CI96" s="27">
        <v>0</v>
      </c>
      <c r="CJ96" s="27">
        <v>0</v>
      </c>
      <c r="CK96" s="27">
        <v>0</v>
      </c>
      <c r="CL96" s="27">
        <v>0</v>
      </c>
      <c r="CM96" s="27">
        <v>0</v>
      </c>
      <c r="CN96" s="27">
        <v>0</v>
      </c>
      <c r="CO96" s="27">
        <v>0</v>
      </c>
      <c r="CP96" s="27">
        <v>0</v>
      </c>
      <c r="CQ96" s="27">
        <v>0</v>
      </c>
      <c r="CR96" s="27">
        <v>0</v>
      </c>
      <c r="CS96" s="27">
        <v>0</v>
      </c>
      <c r="CT96" s="27">
        <v>0</v>
      </c>
      <c r="CU96" s="27">
        <v>0</v>
      </c>
      <c r="CV96" s="27">
        <v>0</v>
      </c>
      <c r="CW96" s="27">
        <v>0</v>
      </c>
      <c r="CX96" s="27">
        <v>0</v>
      </c>
      <c r="CY96" s="27">
        <v>0</v>
      </c>
      <c r="CZ96" s="27">
        <v>0</v>
      </c>
      <c r="DA96" s="27">
        <v>0</v>
      </c>
      <c r="DB96" s="27">
        <v>0</v>
      </c>
      <c r="DC96" s="27">
        <v>0</v>
      </c>
      <c r="DD96" s="16">
        <v>0</v>
      </c>
      <c r="DE96" s="16">
        <v>0</v>
      </c>
      <c r="DF96" s="16">
        <v>0</v>
      </c>
      <c r="DG96" s="16">
        <v>0</v>
      </c>
      <c r="DH96" s="16">
        <v>0</v>
      </c>
      <c r="DI96" s="7">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25">
        <f t="shared" si="6"/>
        <v>0</v>
      </c>
      <c r="EL96" s="13">
        <v>0</v>
      </c>
      <c r="EM96" s="25">
        <f t="shared" si="7"/>
        <v>0</v>
      </c>
      <c r="EN96" s="13">
        <v>0</v>
      </c>
      <c r="EO96" s="25">
        <f t="shared" si="8"/>
        <v>0</v>
      </c>
      <c r="EP96" s="13">
        <v>0</v>
      </c>
      <c r="EQ96" s="25">
        <f t="shared" si="9"/>
        <v>0</v>
      </c>
      <c r="ER96" s="13">
        <v>0</v>
      </c>
      <c r="ES96" s="25">
        <f t="shared" si="10"/>
        <v>0</v>
      </c>
      <c r="ET96" s="13">
        <v>0</v>
      </c>
      <c r="EU96" s="25">
        <f t="shared" si="11"/>
        <v>0</v>
      </c>
      <c r="EV96" s="13">
        <v>0</v>
      </c>
      <c r="EW96" s="13">
        <v>0</v>
      </c>
      <c r="EX96" s="13">
        <v>0</v>
      </c>
      <c r="EY96" s="13">
        <v>0</v>
      </c>
      <c r="EZ96" s="13">
        <v>0</v>
      </c>
      <c r="FA96" s="13">
        <v>0</v>
      </c>
      <c r="FB96" s="13">
        <v>0</v>
      </c>
      <c r="FC96" s="13">
        <v>0</v>
      </c>
      <c r="FD96" s="13">
        <v>0</v>
      </c>
      <c r="FE96" s="13">
        <v>0</v>
      </c>
      <c r="FF96" s="13">
        <v>0</v>
      </c>
      <c r="FG96" s="13">
        <v>0</v>
      </c>
      <c r="FH96" s="13">
        <v>0</v>
      </c>
      <c r="FI96" s="13">
        <v>0</v>
      </c>
    </row>
    <row r="97" spans="1:165" x14ac:dyDescent="0.4">
      <c r="A97" s="35" t="s">
        <v>13</v>
      </c>
      <c r="B97" s="16">
        <v>0</v>
      </c>
      <c r="C97" s="16">
        <v>0</v>
      </c>
      <c r="D97" s="16">
        <v>0</v>
      </c>
      <c r="E97" s="16">
        <v>0</v>
      </c>
      <c r="F97" s="16">
        <v>0</v>
      </c>
      <c r="G97" s="16">
        <v>0</v>
      </c>
      <c r="H97" s="16">
        <v>0</v>
      </c>
      <c r="I97" s="16">
        <v>0</v>
      </c>
      <c r="J97" s="16">
        <v>0</v>
      </c>
      <c r="K97" s="16">
        <v>0</v>
      </c>
      <c r="L97" s="16">
        <v>0</v>
      </c>
      <c r="M97" s="16">
        <v>0</v>
      </c>
      <c r="N97" s="16">
        <v>0</v>
      </c>
      <c r="O97" s="16">
        <v>0</v>
      </c>
      <c r="P97" s="16">
        <v>0</v>
      </c>
      <c r="Q97" s="16">
        <v>0</v>
      </c>
      <c r="R97" s="16">
        <v>0</v>
      </c>
      <c r="S97" s="16">
        <v>0</v>
      </c>
      <c r="T97" s="16">
        <v>0</v>
      </c>
      <c r="U97" s="16">
        <v>0</v>
      </c>
      <c r="V97" s="16">
        <v>0</v>
      </c>
      <c r="W97" s="16">
        <v>0</v>
      </c>
      <c r="X97" s="16">
        <v>0</v>
      </c>
      <c r="Y97" s="16">
        <v>0</v>
      </c>
      <c r="Z97" s="16">
        <v>0</v>
      </c>
      <c r="AA97" s="16">
        <v>0</v>
      </c>
      <c r="AB97" s="16">
        <v>0</v>
      </c>
      <c r="AC97" s="16">
        <v>0</v>
      </c>
      <c r="AD97" s="16">
        <v>0</v>
      </c>
      <c r="AE97" s="16">
        <v>0</v>
      </c>
      <c r="AF97" s="16">
        <v>0</v>
      </c>
      <c r="AG97" s="16">
        <v>0</v>
      </c>
      <c r="AH97" s="16">
        <v>0</v>
      </c>
      <c r="AI97" s="16">
        <v>0</v>
      </c>
      <c r="AJ97" s="16">
        <v>0</v>
      </c>
      <c r="AK97" s="16">
        <v>0</v>
      </c>
      <c r="AL97" s="16">
        <v>0</v>
      </c>
      <c r="AM97" s="16">
        <v>0</v>
      </c>
      <c r="AN97" s="16">
        <v>0</v>
      </c>
      <c r="AO97" s="16">
        <v>0</v>
      </c>
      <c r="AP97" s="16">
        <v>0</v>
      </c>
      <c r="AQ97" s="16">
        <v>0</v>
      </c>
      <c r="AR97" s="16">
        <v>0</v>
      </c>
      <c r="AS97" s="16">
        <v>0</v>
      </c>
      <c r="AT97" s="16">
        <v>0</v>
      </c>
      <c r="AU97" s="16">
        <v>0</v>
      </c>
      <c r="AV97" s="16">
        <v>0</v>
      </c>
      <c r="AW97" s="16">
        <v>0</v>
      </c>
      <c r="AX97" s="16">
        <v>0</v>
      </c>
      <c r="AY97" s="16">
        <v>0</v>
      </c>
      <c r="AZ97" s="16">
        <v>0</v>
      </c>
      <c r="BA97" s="16">
        <v>0</v>
      </c>
      <c r="BB97" s="16">
        <v>0</v>
      </c>
      <c r="BC97" s="16">
        <v>0</v>
      </c>
      <c r="BD97" s="16">
        <v>0</v>
      </c>
      <c r="BE97" s="16">
        <v>0</v>
      </c>
      <c r="BF97" s="16">
        <v>0</v>
      </c>
      <c r="BG97" s="16">
        <v>0</v>
      </c>
      <c r="BH97" s="16">
        <v>0</v>
      </c>
      <c r="BI97" s="16">
        <v>0</v>
      </c>
      <c r="BJ97" s="16">
        <v>0</v>
      </c>
      <c r="BK97" s="16">
        <v>0</v>
      </c>
      <c r="BL97" s="16">
        <v>0</v>
      </c>
      <c r="BM97" s="16">
        <v>0</v>
      </c>
      <c r="BN97" s="16">
        <v>0</v>
      </c>
      <c r="BO97" s="16">
        <v>0</v>
      </c>
      <c r="BP97" s="16">
        <v>0</v>
      </c>
      <c r="BQ97" s="16">
        <v>0</v>
      </c>
      <c r="BR97" s="16">
        <v>0</v>
      </c>
      <c r="BS97" s="16">
        <v>0</v>
      </c>
      <c r="BT97" s="16">
        <v>0</v>
      </c>
      <c r="BU97" s="16">
        <v>0</v>
      </c>
      <c r="BV97" s="16">
        <v>0</v>
      </c>
      <c r="BW97" s="16">
        <v>0</v>
      </c>
      <c r="BX97" s="16">
        <v>0</v>
      </c>
      <c r="BY97" s="16">
        <v>0</v>
      </c>
      <c r="BZ97" s="16">
        <v>0</v>
      </c>
      <c r="CA97" s="16">
        <v>0</v>
      </c>
      <c r="CB97" s="16">
        <v>0</v>
      </c>
      <c r="CC97" s="16">
        <v>0</v>
      </c>
      <c r="CD97" s="16">
        <v>0</v>
      </c>
      <c r="CE97" s="16">
        <v>0</v>
      </c>
      <c r="CF97" s="27">
        <v>0</v>
      </c>
      <c r="CG97" s="27">
        <v>0</v>
      </c>
      <c r="CH97" s="27">
        <v>0</v>
      </c>
      <c r="CI97" s="27">
        <v>0</v>
      </c>
      <c r="CJ97" s="27">
        <v>0</v>
      </c>
      <c r="CK97" s="27">
        <v>0</v>
      </c>
      <c r="CL97" s="27">
        <v>0</v>
      </c>
      <c r="CM97" s="27">
        <v>0</v>
      </c>
      <c r="CN97" s="27">
        <v>0</v>
      </c>
      <c r="CO97" s="27">
        <v>0</v>
      </c>
      <c r="CP97" s="27">
        <v>0</v>
      </c>
      <c r="CQ97" s="27">
        <v>0</v>
      </c>
      <c r="CR97" s="27">
        <v>0</v>
      </c>
      <c r="CS97" s="27">
        <v>0</v>
      </c>
      <c r="CT97" s="27">
        <v>0</v>
      </c>
      <c r="CU97" s="27">
        <v>0</v>
      </c>
      <c r="CV97" s="27">
        <v>0</v>
      </c>
      <c r="CW97" s="27">
        <v>0</v>
      </c>
      <c r="CX97" s="27">
        <v>0</v>
      </c>
      <c r="CY97" s="27">
        <v>0</v>
      </c>
      <c r="CZ97" s="27">
        <v>0</v>
      </c>
      <c r="DA97" s="27">
        <v>0</v>
      </c>
      <c r="DB97" s="27">
        <v>0</v>
      </c>
      <c r="DC97" s="27">
        <v>0</v>
      </c>
      <c r="DD97" s="16">
        <v>0</v>
      </c>
      <c r="DE97" s="16">
        <v>0</v>
      </c>
      <c r="DF97" s="16">
        <v>0</v>
      </c>
      <c r="DG97" s="16">
        <v>0</v>
      </c>
      <c r="DH97" s="16">
        <v>0</v>
      </c>
      <c r="DI97" s="7">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25">
        <f t="shared" si="6"/>
        <v>0</v>
      </c>
      <c r="EL97" s="13">
        <v>0</v>
      </c>
      <c r="EM97" s="25">
        <f t="shared" si="7"/>
        <v>0</v>
      </c>
      <c r="EN97" s="13">
        <v>0</v>
      </c>
      <c r="EO97" s="25">
        <f t="shared" si="8"/>
        <v>0</v>
      </c>
      <c r="EP97" s="13">
        <v>0</v>
      </c>
      <c r="EQ97" s="25">
        <f t="shared" si="9"/>
        <v>0</v>
      </c>
      <c r="ER97" s="13">
        <v>0</v>
      </c>
      <c r="ES97" s="25">
        <f t="shared" si="10"/>
        <v>0</v>
      </c>
      <c r="ET97" s="13">
        <v>0</v>
      </c>
      <c r="EU97" s="25">
        <f t="shared" si="11"/>
        <v>0</v>
      </c>
      <c r="EV97" s="13">
        <v>0</v>
      </c>
      <c r="EW97" s="13">
        <v>0</v>
      </c>
      <c r="EX97" s="13">
        <v>0</v>
      </c>
      <c r="EY97" s="13">
        <v>0</v>
      </c>
      <c r="EZ97" s="13">
        <v>0</v>
      </c>
      <c r="FA97" s="13">
        <v>0</v>
      </c>
      <c r="FB97" s="13">
        <v>0</v>
      </c>
      <c r="FC97" s="13">
        <v>0</v>
      </c>
      <c r="FD97" s="13">
        <v>0</v>
      </c>
      <c r="FE97" s="13">
        <v>0</v>
      </c>
      <c r="FF97" s="13">
        <v>0</v>
      </c>
      <c r="FG97" s="13">
        <v>0</v>
      </c>
      <c r="FH97" s="13">
        <v>0</v>
      </c>
      <c r="FI97" s="13">
        <v>0</v>
      </c>
    </row>
    <row r="98" spans="1:165" x14ac:dyDescent="0.4">
      <c r="A98" s="35" t="s">
        <v>14</v>
      </c>
      <c r="B98" s="16">
        <v>0</v>
      </c>
      <c r="C98" s="16">
        <v>0</v>
      </c>
      <c r="D98" s="16">
        <v>0</v>
      </c>
      <c r="E98" s="16">
        <v>0</v>
      </c>
      <c r="F98" s="16">
        <v>0</v>
      </c>
      <c r="G98" s="16">
        <v>0</v>
      </c>
      <c r="H98" s="16">
        <v>0</v>
      </c>
      <c r="I98" s="16">
        <v>0</v>
      </c>
      <c r="J98" s="16">
        <v>0</v>
      </c>
      <c r="K98" s="16">
        <v>0</v>
      </c>
      <c r="L98" s="16">
        <v>0</v>
      </c>
      <c r="M98" s="16">
        <v>0</v>
      </c>
      <c r="N98" s="16">
        <v>0</v>
      </c>
      <c r="O98" s="16">
        <v>0</v>
      </c>
      <c r="P98" s="16">
        <v>0</v>
      </c>
      <c r="Q98" s="16">
        <v>0</v>
      </c>
      <c r="R98" s="16">
        <v>0</v>
      </c>
      <c r="S98" s="16">
        <v>0</v>
      </c>
      <c r="T98" s="16">
        <v>0</v>
      </c>
      <c r="U98" s="16">
        <v>0</v>
      </c>
      <c r="V98" s="16">
        <v>0</v>
      </c>
      <c r="W98" s="16">
        <v>0</v>
      </c>
      <c r="X98" s="16">
        <v>0</v>
      </c>
      <c r="Y98" s="16">
        <v>0</v>
      </c>
      <c r="Z98" s="16">
        <v>0</v>
      </c>
      <c r="AA98" s="16">
        <v>0</v>
      </c>
      <c r="AB98" s="16">
        <v>0</v>
      </c>
      <c r="AC98" s="16">
        <v>0</v>
      </c>
      <c r="AD98" s="16">
        <v>0</v>
      </c>
      <c r="AE98" s="16">
        <v>0</v>
      </c>
      <c r="AF98" s="16">
        <v>0</v>
      </c>
      <c r="AG98" s="16">
        <v>0</v>
      </c>
      <c r="AH98" s="16">
        <v>0</v>
      </c>
      <c r="AI98" s="16">
        <v>0</v>
      </c>
      <c r="AJ98" s="16">
        <v>0</v>
      </c>
      <c r="AK98" s="16">
        <v>0</v>
      </c>
      <c r="AL98" s="16">
        <v>0</v>
      </c>
      <c r="AM98" s="16">
        <v>0</v>
      </c>
      <c r="AN98" s="16">
        <v>0</v>
      </c>
      <c r="AO98" s="16">
        <v>0</v>
      </c>
      <c r="AP98" s="16">
        <v>0</v>
      </c>
      <c r="AQ98" s="16">
        <v>0</v>
      </c>
      <c r="AR98" s="16">
        <v>0</v>
      </c>
      <c r="AS98" s="16">
        <v>0</v>
      </c>
      <c r="AT98" s="16">
        <v>0</v>
      </c>
      <c r="AU98" s="16">
        <v>0</v>
      </c>
      <c r="AV98" s="16">
        <v>0</v>
      </c>
      <c r="AW98" s="16">
        <v>0</v>
      </c>
      <c r="AX98" s="16">
        <v>0</v>
      </c>
      <c r="AY98" s="16">
        <v>0</v>
      </c>
      <c r="AZ98" s="16">
        <v>0</v>
      </c>
      <c r="BA98" s="16">
        <v>0</v>
      </c>
      <c r="BB98" s="16">
        <v>0</v>
      </c>
      <c r="BC98" s="16">
        <v>0</v>
      </c>
      <c r="BD98" s="16">
        <v>0</v>
      </c>
      <c r="BE98" s="16">
        <v>0</v>
      </c>
      <c r="BF98" s="16">
        <v>0</v>
      </c>
      <c r="BG98" s="16">
        <v>0</v>
      </c>
      <c r="BH98" s="16">
        <v>0</v>
      </c>
      <c r="BI98" s="16">
        <v>0</v>
      </c>
      <c r="BJ98" s="16">
        <v>0</v>
      </c>
      <c r="BK98" s="16">
        <v>0</v>
      </c>
      <c r="BL98" s="16">
        <v>0</v>
      </c>
      <c r="BM98" s="16">
        <v>0</v>
      </c>
      <c r="BN98" s="16">
        <v>0</v>
      </c>
      <c r="BO98" s="16">
        <v>0</v>
      </c>
      <c r="BP98" s="16">
        <v>0</v>
      </c>
      <c r="BQ98" s="16">
        <v>0</v>
      </c>
      <c r="BR98" s="16">
        <v>0</v>
      </c>
      <c r="BS98" s="16">
        <v>0</v>
      </c>
      <c r="BT98" s="16">
        <v>0</v>
      </c>
      <c r="BU98" s="16">
        <v>0</v>
      </c>
      <c r="BV98" s="16">
        <v>0</v>
      </c>
      <c r="BW98" s="16">
        <v>0</v>
      </c>
      <c r="BX98" s="16">
        <v>0</v>
      </c>
      <c r="BY98" s="16">
        <v>0</v>
      </c>
      <c r="BZ98" s="16">
        <v>0</v>
      </c>
      <c r="CA98" s="16">
        <v>0</v>
      </c>
      <c r="CB98" s="16">
        <v>0</v>
      </c>
      <c r="CC98" s="16">
        <v>0</v>
      </c>
      <c r="CD98" s="16">
        <v>0</v>
      </c>
      <c r="CE98" s="16">
        <v>0</v>
      </c>
      <c r="CF98" s="27">
        <v>0</v>
      </c>
      <c r="CG98" s="27">
        <v>0</v>
      </c>
      <c r="CH98" s="27">
        <v>0</v>
      </c>
      <c r="CI98" s="27">
        <v>0</v>
      </c>
      <c r="CJ98" s="27">
        <v>0</v>
      </c>
      <c r="CK98" s="27">
        <v>0</v>
      </c>
      <c r="CL98" s="27">
        <v>0</v>
      </c>
      <c r="CM98" s="27">
        <v>0</v>
      </c>
      <c r="CN98" s="27">
        <v>0</v>
      </c>
      <c r="CO98" s="27">
        <v>0</v>
      </c>
      <c r="CP98" s="27">
        <v>0</v>
      </c>
      <c r="CQ98" s="27">
        <v>0</v>
      </c>
      <c r="CR98" s="27">
        <v>0</v>
      </c>
      <c r="CS98" s="27">
        <v>0</v>
      </c>
      <c r="CT98" s="27">
        <v>0</v>
      </c>
      <c r="CU98" s="27">
        <v>0</v>
      </c>
      <c r="CV98" s="27">
        <v>0</v>
      </c>
      <c r="CW98" s="27">
        <v>0</v>
      </c>
      <c r="CX98" s="27">
        <v>0</v>
      </c>
      <c r="CY98" s="27">
        <v>0</v>
      </c>
      <c r="CZ98" s="27">
        <v>0</v>
      </c>
      <c r="DA98" s="27">
        <v>0</v>
      </c>
      <c r="DB98" s="27">
        <v>0</v>
      </c>
      <c r="DC98" s="27">
        <v>0</v>
      </c>
      <c r="DD98" s="16">
        <v>0</v>
      </c>
      <c r="DE98" s="16">
        <v>0</v>
      </c>
      <c r="DF98" s="16">
        <v>0</v>
      </c>
      <c r="DG98" s="16">
        <v>0</v>
      </c>
      <c r="DH98" s="16">
        <v>0</v>
      </c>
      <c r="DI98" s="16">
        <v>0</v>
      </c>
      <c r="DJ98" s="13">
        <v>0</v>
      </c>
      <c r="DK98" s="13">
        <v>0</v>
      </c>
      <c r="DL98" s="13">
        <v>0</v>
      </c>
      <c r="DM98" s="13">
        <v>0</v>
      </c>
      <c r="DN98" s="13">
        <v>0</v>
      </c>
      <c r="DO98" s="13">
        <v>0</v>
      </c>
      <c r="DP98" s="13">
        <v>0</v>
      </c>
      <c r="DQ98" s="13">
        <v>0</v>
      </c>
      <c r="DR98" s="13">
        <v>0</v>
      </c>
      <c r="DS98" s="13">
        <v>0</v>
      </c>
      <c r="DT98" s="13">
        <v>0</v>
      </c>
      <c r="DU98" s="13">
        <v>0</v>
      </c>
      <c r="DV98" s="13">
        <v>0</v>
      </c>
      <c r="DW98" s="13">
        <v>0</v>
      </c>
      <c r="DX98" s="13">
        <v>0</v>
      </c>
      <c r="DY98" s="13">
        <v>0</v>
      </c>
      <c r="DZ98" s="13">
        <v>0</v>
      </c>
      <c r="EA98" s="13">
        <v>0</v>
      </c>
      <c r="EB98" s="13">
        <v>0</v>
      </c>
      <c r="EC98" s="13">
        <v>0</v>
      </c>
      <c r="ED98" s="13">
        <v>0</v>
      </c>
      <c r="EE98" s="13">
        <v>0</v>
      </c>
      <c r="EF98" s="13">
        <v>0</v>
      </c>
      <c r="EG98" s="13">
        <v>0</v>
      </c>
      <c r="EH98" s="13">
        <v>0</v>
      </c>
      <c r="EI98" s="13">
        <v>0</v>
      </c>
      <c r="EJ98" s="13">
        <v>0</v>
      </c>
      <c r="EK98" s="25">
        <f t="shared" si="6"/>
        <v>0</v>
      </c>
      <c r="EL98" s="13">
        <v>0</v>
      </c>
      <c r="EM98" s="25">
        <f t="shared" si="7"/>
        <v>0</v>
      </c>
      <c r="EN98" s="13">
        <v>0</v>
      </c>
      <c r="EO98" s="25">
        <f t="shared" si="8"/>
        <v>0</v>
      </c>
      <c r="EP98" s="13">
        <v>0</v>
      </c>
      <c r="EQ98" s="25">
        <f t="shared" si="9"/>
        <v>0</v>
      </c>
      <c r="ER98" s="13">
        <v>0</v>
      </c>
      <c r="ES98" s="25">
        <f t="shared" si="10"/>
        <v>0</v>
      </c>
      <c r="ET98" s="13">
        <v>0</v>
      </c>
      <c r="EU98" s="25">
        <f t="shared" si="11"/>
        <v>0</v>
      </c>
      <c r="EV98" s="13">
        <v>0</v>
      </c>
      <c r="EW98" s="13">
        <v>0</v>
      </c>
      <c r="EX98" s="13">
        <v>0</v>
      </c>
      <c r="EY98" s="13">
        <v>0</v>
      </c>
      <c r="EZ98" s="13">
        <v>0</v>
      </c>
      <c r="FA98" s="13">
        <v>0</v>
      </c>
      <c r="FB98" s="13">
        <v>0</v>
      </c>
      <c r="FC98" s="13">
        <v>0</v>
      </c>
      <c r="FD98" s="13">
        <v>0</v>
      </c>
      <c r="FE98" s="13">
        <v>0</v>
      </c>
      <c r="FF98" s="13">
        <v>0</v>
      </c>
      <c r="FG98" s="13">
        <v>0</v>
      </c>
      <c r="FH98" s="13">
        <v>0</v>
      </c>
      <c r="FI98" s="13">
        <v>0</v>
      </c>
    </row>
    <row r="99" spans="1:165" x14ac:dyDescent="0.4">
      <c r="A99" s="35" t="s">
        <v>27</v>
      </c>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v>0</v>
      </c>
      <c r="BW99" s="16">
        <v>0</v>
      </c>
      <c r="BX99" s="16">
        <v>0</v>
      </c>
      <c r="BY99" s="16">
        <v>0</v>
      </c>
      <c r="BZ99" s="16">
        <v>0</v>
      </c>
      <c r="CA99" s="16">
        <v>0</v>
      </c>
      <c r="CB99" s="16">
        <v>0</v>
      </c>
      <c r="CC99" s="16">
        <v>0</v>
      </c>
      <c r="CD99" s="16">
        <v>0</v>
      </c>
      <c r="CE99" s="16">
        <v>0</v>
      </c>
      <c r="CF99" s="27">
        <v>0</v>
      </c>
      <c r="CG99" s="27">
        <v>0</v>
      </c>
      <c r="CH99" s="27">
        <v>0</v>
      </c>
      <c r="CI99" s="27">
        <v>0</v>
      </c>
      <c r="CJ99" s="27">
        <v>0</v>
      </c>
      <c r="CK99" s="27">
        <v>0</v>
      </c>
      <c r="CL99" s="27">
        <v>0</v>
      </c>
      <c r="CM99" s="27">
        <v>0</v>
      </c>
      <c r="CN99" s="27">
        <v>0</v>
      </c>
      <c r="CO99" s="27">
        <v>0</v>
      </c>
      <c r="CP99" s="27">
        <v>0</v>
      </c>
      <c r="CQ99" s="27">
        <v>0</v>
      </c>
      <c r="CR99" s="27">
        <v>0</v>
      </c>
      <c r="CS99" s="27">
        <v>0</v>
      </c>
      <c r="CT99" s="27">
        <v>0</v>
      </c>
      <c r="CU99" s="27">
        <v>0</v>
      </c>
      <c r="CV99" s="27">
        <v>0</v>
      </c>
      <c r="CW99" s="27">
        <v>0</v>
      </c>
      <c r="CX99" s="27">
        <v>0</v>
      </c>
      <c r="CY99" s="27">
        <v>0</v>
      </c>
      <c r="CZ99" s="27">
        <v>0</v>
      </c>
      <c r="DA99" s="27">
        <v>0</v>
      </c>
      <c r="DB99" s="27">
        <v>0</v>
      </c>
      <c r="DC99" s="27">
        <v>0</v>
      </c>
      <c r="DD99" s="16">
        <v>0</v>
      </c>
      <c r="DE99" s="16">
        <v>0</v>
      </c>
      <c r="DF99" s="16">
        <v>0</v>
      </c>
      <c r="DG99" s="16">
        <v>0</v>
      </c>
      <c r="DH99" s="16">
        <v>0</v>
      </c>
      <c r="DI99" s="16">
        <v>0</v>
      </c>
      <c r="DJ99" s="13">
        <v>0</v>
      </c>
      <c r="DK99" s="13">
        <v>0</v>
      </c>
      <c r="DL99" s="13">
        <v>0</v>
      </c>
      <c r="DM99" s="13">
        <v>0</v>
      </c>
      <c r="DN99" s="13">
        <v>0</v>
      </c>
      <c r="DO99" s="13">
        <v>0</v>
      </c>
      <c r="DP99" s="13">
        <v>0</v>
      </c>
      <c r="DQ99" s="13">
        <v>0</v>
      </c>
      <c r="DR99" s="13">
        <v>0</v>
      </c>
      <c r="DS99" s="13">
        <v>0</v>
      </c>
      <c r="DT99" s="13">
        <v>0</v>
      </c>
      <c r="DU99" s="13">
        <v>0</v>
      </c>
      <c r="DV99" s="13">
        <v>0</v>
      </c>
      <c r="DW99" s="13">
        <v>0</v>
      </c>
      <c r="DX99" s="13">
        <v>0</v>
      </c>
      <c r="DY99" s="13">
        <v>0</v>
      </c>
      <c r="DZ99" s="13">
        <v>0</v>
      </c>
      <c r="EA99" s="13">
        <v>0</v>
      </c>
      <c r="EB99" s="13">
        <v>0</v>
      </c>
      <c r="EC99" s="13">
        <v>0</v>
      </c>
      <c r="ED99" s="13">
        <v>0</v>
      </c>
      <c r="EE99" s="13">
        <v>0</v>
      </c>
      <c r="EF99" s="13">
        <v>0</v>
      </c>
      <c r="EG99" s="13">
        <v>0</v>
      </c>
      <c r="EH99" s="13">
        <v>0</v>
      </c>
      <c r="EI99" s="13">
        <v>0</v>
      </c>
      <c r="EJ99" s="13">
        <v>0</v>
      </c>
      <c r="EK99" s="25">
        <f t="shared" si="6"/>
        <v>0</v>
      </c>
      <c r="EL99" s="13">
        <v>0</v>
      </c>
      <c r="EM99" s="25">
        <f t="shared" si="7"/>
        <v>0</v>
      </c>
      <c r="EN99" s="13">
        <v>0</v>
      </c>
      <c r="EO99" s="25">
        <f t="shared" si="8"/>
        <v>0</v>
      </c>
      <c r="EP99" s="13">
        <v>0</v>
      </c>
      <c r="EQ99" s="25">
        <f t="shared" si="9"/>
        <v>0</v>
      </c>
      <c r="ER99" s="13">
        <v>0</v>
      </c>
      <c r="ES99" s="25">
        <f t="shared" si="10"/>
        <v>0</v>
      </c>
      <c r="ET99" s="13">
        <v>0</v>
      </c>
      <c r="EU99" s="25">
        <f t="shared" si="11"/>
        <v>0</v>
      </c>
      <c r="EV99" s="13">
        <v>0</v>
      </c>
      <c r="EW99" s="13">
        <v>0</v>
      </c>
      <c r="EX99" s="13">
        <v>0</v>
      </c>
      <c r="EY99" s="13">
        <v>0</v>
      </c>
      <c r="EZ99" s="13">
        <v>0</v>
      </c>
      <c r="FA99" s="13">
        <v>0</v>
      </c>
      <c r="FB99" s="13">
        <v>0</v>
      </c>
      <c r="FC99" s="13">
        <v>0</v>
      </c>
      <c r="FD99" s="13">
        <v>0</v>
      </c>
      <c r="FE99" s="13">
        <v>0</v>
      </c>
      <c r="FF99" s="13">
        <v>0</v>
      </c>
      <c r="FG99" s="13">
        <v>0</v>
      </c>
      <c r="FH99" s="13">
        <v>0</v>
      </c>
      <c r="FI99" s="13">
        <v>0</v>
      </c>
    </row>
    <row r="100" spans="1:165" x14ac:dyDescent="0.4">
      <c r="A100" s="35" t="s">
        <v>30</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v>0</v>
      </c>
      <c r="BW100" s="16">
        <v>0</v>
      </c>
      <c r="BX100" s="16">
        <v>0</v>
      </c>
      <c r="BY100" s="16">
        <v>0</v>
      </c>
      <c r="BZ100" s="16">
        <v>0</v>
      </c>
      <c r="CA100" s="16">
        <v>0</v>
      </c>
      <c r="CB100" s="16">
        <v>0</v>
      </c>
      <c r="CC100" s="16">
        <v>0</v>
      </c>
      <c r="CD100" s="16">
        <v>0</v>
      </c>
      <c r="CE100" s="16">
        <v>0</v>
      </c>
      <c r="CF100" s="27">
        <v>0</v>
      </c>
      <c r="CG100" s="27">
        <v>0</v>
      </c>
      <c r="CH100" s="27">
        <v>0</v>
      </c>
      <c r="CI100" s="27">
        <v>0</v>
      </c>
      <c r="CJ100" s="27">
        <v>0</v>
      </c>
      <c r="CK100" s="27">
        <v>0</v>
      </c>
      <c r="CL100" s="27">
        <v>0</v>
      </c>
      <c r="CM100" s="27">
        <v>0</v>
      </c>
      <c r="CN100" s="27">
        <v>0</v>
      </c>
      <c r="CO100" s="27">
        <v>0</v>
      </c>
      <c r="CP100" s="27">
        <v>0</v>
      </c>
      <c r="CQ100" s="27">
        <v>0</v>
      </c>
      <c r="CR100" s="27">
        <v>0</v>
      </c>
      <c r="CS100" s="27">
        <v>0</v>
      </c>
      <c r="CT100" s="27">
        <v>0</v>
      </c>
      <c r="CU100" s="27">
        <v>0</v>
      </c>
      <c r="CV100" s="27">
        <v>0</v>
      </c>
      <c r="CW100" s="27">
        <v>0</v>
      </c>
      <c r="CX100" s="27">
        <v>0</v>
      </c>
      <c r="CY100" s="27">
        <v>0</v>
      </c>
      <c r="CZ100" s="27">
        <v>0</v>
      </c>
      <c r="DA100" s="27">
        <v>0</v>
      </c>
      <c r="DB100" s="27">
        <v>0</v>
      </c>
      <c r="DC100" s="27">
        <v>0</v>
      </c>
      <c r="DD100" s="16">
        <v>0</v>
      </c>
      <c r="DE100" s="16">
        <v>0</v>
      </c>
      <c r="DF100" s="16">
        <v>0</v>
      </c>
      <c r="DG100" s="16">
        <v>0</v>
      </c>
      <c r="DH100" s="16">
        <v>0</v>
      </c>
      <c r="DI100" s="16">
        <v>0</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25">
        <f t="shared" si="6"/>
        <v>0</v>
      </c>
      <c r="EL100" s="13">
        <v>0</v>
      </c>
      <c r="EM100" s="25">
        <f t="shared" si="7"/>
        <v>0</v>
      </c>
      <c r="EN100" s="13">
        <v>0</v>
      </c>
      <c r="EO100" s="25">
        <f t="shared" si="8"/>
        <v>0</v>
      </c>
      <c r="EP100" s="13">
        <v>0</v>
      </c>
      <c r="EQ100" s="25">
        <f t="shared" si="9"/>
        <v>0</v>
      </c>
      <c r="ER100" s="13">
        <v>0</v>
      </c>
      <c r="ES100" s="25">
        <f t="shared" si="10"/>
        <v>0</v>
      </c>
      <c r="ET100" s="13">
        <v>0</v>
      </c>
      <c r="EU100" s="25">
        <f t="shared" si="11"/>
        <v>0</v>
      </c>
      <c r="EV100" s="13">
        <v>0</v>
      </c>
      <c r="EW100" s="13">
        <v>0</v>
      </c>
      <c r="EX100" s="13">
        <v>0</v>
      </c>
      <c r="EY100" s="13">
        <v>0</v>
      </c>
      <c r="EZ100" s="13">
        <v>0</v>
      </c>
      <c r="FA100" s="13">
        <v>0</v>
      </c>
      <c r="FB100" s="13">
        <v>0</v>
      </c>
      <c r="FC100" s="13">
        <v>0</v>
      </c>
      <c r="FD100" s="13">
        <v>0</v>
      </c>
      <c r="FE100" s="13">
        <v>0</v>
      </c>
      <c r="FF100" s="13">
        <v>0</v>
      </c>
      <c r="FG100" s="13">
        <v>0</v>
      </c>
      <c r="FH100" s="13">
        <v>0</v>
      </c>
      <c r="FI100" s="13">
        <v>0</v>
      </c>
    </row>
    <row r="101" spans="1:165" x14ac:dyDescent="0.4">
      <c r="A101" s="34" t="s">
        <v>3</v>
      </c>
      <c r="B101" s="16">
        <v>0</v>
      </c>
      <c r="C101" s="16">
        <v>0</v>
      </c>
      <c r="D101" s="16">
        <v>0</v>
      </c>
      <c r="E101" s="16">
        <v>0</v>
      </c>
      <c r="F101" s="16">
        <v>0</v>
      </c>
      <c r="G101" s="16">
        <v>0</v>
      </c>
      <c r="H101" s="16">
        <v>0</v>
      </c>
      <c r="I101" s="16">
        <v>0</v>
      </c>
      <c r="J101" s="16">
        <v>0</v>
      </c>
      <c r="K101" s="16">
        <v>0</v>
      </c>
      <c r="L101" s="16">
        <v>0</v>
      </c>
      <c r="M101" s="16">
        <v>0</v>
      </c>
      <c r="N101" s="16">
        <v>0</v>
      </c>
      <c r="O101" s="16">
        <v>0</v>
      </c>
      <c r="P101" s="16">
        <v>0</v>
      </c>
      <c r="Q101" s="16">
        <v>0</v>
      </c>
      <c r="R101" s="16">
        <v>0</v>
      </c>
      <c r="S101" s="16">
        <v>0</v>
      </c>
      <c r="T101" s="16">
        <v>0</v>
      </c>
      <c r="U101" s="16">
        <v>0</v>
      </c>
      <c r="V101" s="16">
        <v>0</v>
      </c>
      <c r="W101" s="16">
        <v>0</v>
      </c>
      <c r="X101" s="16">
        <v>0</v>
      </c>
      <c r="Y101" s="16">
        <v>0</v>
      </c>
      <c r="Z101" s="16">
        <v>0</v>
      </c>
      <c r="AA101" s="16">
        <v>0</v>
      </c>
      <c r="AB101" s="16">
        <v>0</v>
      </c>
      <c r="AC101" s="16">
        <v>0</v>
      </c>
      <c r="AD101" s="16">
        <v>0</v>
      </c>
      <c r="AE101" s="16">
        <v>0</v>
      </c>
      <c r="AF101" s="16">
        <v>0</v>
      </c>
      <c r="AG101" s="16">
        <v>0</v>
      </c>
      <c r="AH101" s="16">
        <v>0</v>
      </c>
      <c r="AI101" s="16">
        <v>0</v>
      </c>
      <c r="AJ101" s="16">
        <v>0</v>
      </c>
      <c r="AK101" s="16">
        <v>0</v>
      </c>
      <c r="AL101" s="16">
        <v>0</v>
      </c>
      <c r="AM101" s="16">
        <v>0</v>
      </c>
      <c r="AN101" s="16">
        <v>0</v>
      </c>
      <c r="AO101" s="16">
        <v>0</v>
      </c>
      <c r="AP101" s="16">
        <v>0</v>
      </c>
      <c r="AQ101" s="16">
        <v>0</v>
      </c>
      <c r="AR101" s="16">
        <v>10</v>
      </c>
      <c r="AS101" s="16">
        <v>10</v>
      </c>
      <c r="AT101" s="16">
        <v>334</v>
      </c>
      <c r="AU101" s="16">
        <v>316</v>
      </c>
      <c r="AV101" s="16">
        <v>315</v>
      </c>
      <c r="AW101" s="16">
        <v>325</v>
      </c>
      <c r="AX101" s="16">
        <v>9099</v>
      </c>
      <c r="AY101" s="16">
        <v>9061</v>
      </c>
      <c r="AZ101" s="16">
        <v>8739</v>
      </c>
      <c r="BA101" s="16">
        <v>8579</v>
      </c>
      <c r="BB101" s="16">
        <v>8704</v>
      </c>
      <c r="BC101" s="16">
        <v>8611</v>
      </c>
      <c r="BD101" s="16">
        <v>8996</v>
      </c>
      <c r="BE101" s="16">
        <v>10076</v>
      </c>
      <c r="BF101" s="16">
        <v>9868</v>
      </c>
      <c r="BG101" s="16">
        <v>9777</v>
      </c>
      <c r="BH101" s="16">
        <v>9688</v>
      </c>
      <c r="BI101" s="16">
        <v>11141</v>
      </c>
      <c r="BJ101" s="16">
        <v>11027</v>
      </c>
      <c r="BK101" s="16">
        <v>10792</v>
      </c>
      <c r="BL101" s="16">
        <v>10633</v>
      </c>
      <c r="BM101" s="16">
        <v>25336</v>
      </c>
      <c r="BN101" s="16">
        <v>28080</v>
      </c>
      <c r="BO101" s="16">
        <v>28279</v>
      </c>
      <c r="BP101" s="16">
        <v>28618</v>
      </c>
      <c r="BQ101" s="16">
        <v>28401</v>
      </c>
      <c r="BR101" s="16">
        <v>31338</v>
      </c>
      <c r="BS101" s="16">
        <v>30278</v>
      </c>
      <c r="BT101" s="16">
        <v>30223</v>
      </c>
      <c r="BU101" s="16">
        <v>30590</v>
      </c>
      <c r="BV101" s="16">
        <v>35479</v>
      </c>
      <c r="BW101" s="16">
        <v>33844</v>
      </c>
      <c r="BX101" s="16">
        <v>34612</v>
      </c>
      <c r="BY101" s="16">
        <v>35004</v>
      </c>
      <c r="BZ101" s="16">
        <v>34923</v>
      </c>
      <c r="CA101" s="16">
        <v>36227</v>
      </c>
      <c r="CB101" s="16">
        <v>35187</v>
      </c>
      <c r="CC101" s="16">
        <v>35380</v>
      </c>
      <c r="CD101" s="16">
        <v>37066</v>
      </c>
      <c r="CE101" s="16">
        <v>36072</v>
      </c>
      <c r="CF101" s="16">
        <v>35865</v>
      </c>
      <c r="CG101" s="16">
        <v>36073</v>
      </c>
      <c r="CH101" s="16">
        <v>45287</v>
      </c>
      <c r="CI101" s="16">
        <v>45938</v>
      </c>
      <c r="CJ101" s="16">
        <v>49197</v>
      </c>
      <c r="CK101" s="16">
        <v>56577</v>
      </c>
      <c r="CL101" s="16">
        <v>53787</v>
      </c>
      <c r="CM101" s="16">
        <v>52836</v>
      </c>
      <c r="CN101" s="16">
        <v>52134</v>
      </c>
      <c r="CO101" s="16">
        <v>74092</v>
      </c>
      <c r="CP101" s="16">
        <v>76110</v>
      </c>
      <c r="CQ101" s="16">
        <v>80688</v>
      </c>
      <c r="CR101" s="16">
        <v>80930</v>
      </c>
      <c r="CS101" s="16">
        <v>78242</v>
      </c>
      <c r="CT101" s="16">
        <v>76385</v>
      </c>
      <c r="CU101" s="16">
        <v>78960</v>
      </c>
      <c r="CV101" s="16">
        <v>76637</v>
      </c>
      <c r="CW101" s="16">
        <v>166889</v>
      </c>
      <c r="CX101" s="16">
        <v>164740</v>
      </c>
      <c r="CY101" s="16">
        <v>164297</v>
      </c>
      <c r="CZ101" s="16">
        <v>165481</v>
      </c>
      <c r="DA101" s="16">
        <v>167196</v>
      </c>
      <c r="DB101" s="16">
        <v>166553</v>
      </c>
      <c r="DC101" s="16">
        <v>166291</v>
      </c>
      <c r="DD101" s="16">
        <v>160008</v>
      </c>
      <c r="DE101" s="16">
        <v>193392</v>
      </c>
      <c r="DF101" s="16">
        <v>212963</v>
      </c>
      <c r="DG101" s="16">
        <v>216281</v>
      </c>
      <c r="DH101" s="16">
        <v>228549</v>
      </c>
      <c r="DI101" s="7">
        <v>228861</v>
      </c>
      <c r="DJ101" s="13">
        <v>174900</v>
      </c>
      <c r="DK101" s="13">
        <v>135332</v>
      </c>
      <c r="DL101" s="13">
        <v>123067</v>
      </c>
      <c r="DM101" s="13">
        <v>142228</v>
      </c>
      <c r="DN101" s="13">
        <v>144573</v>
      </c>
      <c r="DO101" s="13">
        <v>131096</v>
      </c>
      <c r="DP101" s="13">
        <v>135267</v>
      </c>
      <c r="DQ101" s="13">
        <v>150589</v>
      </c>
      <c r="DR101" s="13">
        <v>159256</v>
      </c>
      <c r="DS101" s="13">
        <v>155421</v>
      </c>
      <c r="DT101" s="13">
        <v>163427</v>
      </c>
      <c r="DU101" s="13">
        <v>178728</v>
      </c>
      <c r="DV101" s="13">
        <v>185766</v>
      </c>
      <c r="DW101" s="13">
        <v>203600</v>
      </c>
      <c r="DX101" s="13">
        <v>230815</v>
      </c>
      <c r="DY101" s="13">
        <v>242686</v>
      </c>
      <c r="DZ101" s="13">
        <v>259177</v>
      </c>
      <c r="EA101" s="13">
        <v>264331</v>
      </c>
      <c r="EB101" s="13">
        <v>256588</v>
      </c>
      <c r="EC101" s="13">
        <v>271285</v>
      </c>
      <c r="ED101" s="13">
        <v>288121</v>
      </c>
      <c r="EE101" s="13">
        <v>287597</v>
      </c>
      <c r="EF101" s="13">
        <v>302630</v>
      </c>
      <c r="EG101" s="13">
        <v>329560</v>
      </c>
      <c r="EH101" s="13">
        <v>366780</v>
      </c>
      <c r="EI101" s="13">
        <v>394806</v>
      </c>
      <c r="EJ101" s="13">
        <v>549340</v>
      </c>
      <c r="EK101" s="25">
        <f t="shared" si="6"/>
        <v>-15421</v>
      </c>
      <c r="EL101" s="13">
        <v>533919</v>
      </c>
      <c r="EM101" s="25">
        <f t="shared" si="7"/>
        <v>-9191</v>
      </c>
      <c r="EN101" s="13">
        <v>524728</v>
      </c>
      <c r="EO101" s="25">
        <f t="shared" si="8"/>
        <v>9779</v>
      </c>
      <c r="EP101" s="13">
        <v>534507</v>
      </c>
      <c r="EQ101" s="25">
        <f t="shared" si="9"/>
        <v>-22722</v>
      </c>
      <c r="ER101" s="13">
        <v>511785</v>
      </c>
      <c r="ES101" s="25">
        <f t="shared" si="10"/>
        <v>44568</v>
      </c>
      <c r="ET101" s="13">
        <v>556353</v>
      </c>
      <c r="EU101" s="25">
        <f t="shared" si="11"/>
        <v>-25475</v>
      </c>
      <c r="EV101" s="13">
        <v>530878</v>
      </c>
      <c r="EW101" s="13">
        <v>534658</v>
      </c>
      <c r="EX101" s="13">
        <v>514150</v>
      </c>
      <c r="EY101" s="13">
        <v>513400</v>
      </c>
      <c r="EZ101" s="13">
        <v>507270</v>
      </c>
      <c r="FA101" s="13">
        <v>486104</v>
      </c>
      <c r="FB101" s="13">
        <v>455416</v>
      </c>
      <c r="FC101" s="13">
        <v>491950</v>
      </c>
      <c r="FD101" s="13">
        <v>483714</v>
      </c>
      <c r="FE101" s="13">
        <v>492309</v>
      </c>
      <c r="FF101" s="13">
        <v>475335</v>
      </c>
      <c r="FG101" s="13">
        <v>473676</v>
      </c>
      <c r="FH101" s="13">
        <v>444599</v>
      </c>
      <c r="FI101" s="13">
        <v>421698</v>
      </c>
    </row>
    <row r="102" spans="1:165" x14ac:dyDescent="0.4">
      <c r="A102" s="35" t="s">
        <v>13</v>
      </c>
      <c r="B102" s="16">
        <v>0</v>
      </c>
      <c r="C102" s="16">
        <v>0</v>
      </c>
      <c r="D102" s="16">
        <v>0</v>
      </c>
      <c r="E102" s="16">
        <v>0</v>
      </c>
      <c r="F102" s="16">
        <v>0</v>
      </c>
      <c r="G102" s="16">
        <v>0</v>
      </c>
      <c r="H102" s="16">
        <v>0</v>
      </c>
      <c r="I102" s="16">
        <v>0</v>
      </c>
      <c r="J102" s="16">
        <v>0</v>
      </c>
      <c r="K102" s="16">
        <v>0</v>
      </c>
      <c r="L102" s="16">
        <v>0</v>
      </c>
      <c r="M102" s="16">
        <v>0</v>
      </c>
      <c r="N102" s="16">
        <v>0</v>
      </c>
      <c r="O102" s="16">
        <v>0</v>
      </c>
      <c r="P102" s="16">
        <v>0</v>
      </c>
      <c r="Q102" s="16">
        <v>0</v>
      </c>
      <c r="R102" s="16">
        <v>0</v>
      </c>
      <c r="S102" s="16">
        <v>0</v>
      </c>
      <c r="T102" s="16">
        <v>0</v>
      </c>
      <c r="U102" s="16">
        <v>0</v>
      </c>
      <c r="V102" s="16">
        <v>0</v>
      </c>
      <c r="W102" s="16">
        <v>0</v>
      </c>
      <c r="X102" s="16">
        <v>0</v>
      </c>
      <c r="Y102" s="16">
        <v>0</v>
      </c>
      <c r="Z102" s="16">
        <v>0</v>
      </c>
      <c r="AA102" s="16">
        <v>0</v>
      </c>
      <c r="AB102" s="16">
        <v>0</v>
      </c>
      <c r="AC102" s="16">
        <v>0</v>
      </c>
      <c r="AD102" s="16">
        <v>0</v>
      </c>
      <c r="AE102" s="16">
        <v>0</v>
      </c>
      <c r="AF102" s="16">
        <v>0</v>
      </c>
      <c r="AG102" s="16">
        <v>0</v>
      </c>
      <c r="AH102" s="16">
        <v>0</v>
      </c>
      <c r="AI102" s="16">
        <v>0</v>
      </c>
      <c r="AJ102" s="16">
        <v>0</v>
      </c>
      <c r="AK102" s="16">
        <v>0</v>
      </c>
      <c r="AL102" s="16">
        <v>0</v>
      </c>
      <c r="AM102" s="16">
        <v>0</v>
      </c>
      <c r="AN102" s="16">
        <v>0</v>
      </c>
      <c r="AO102" s="16">
        <v>0</v>
      </c>
      <c r="AP102" s="16">
        <v>0</v>
      </c>
      <c r="AQ102" s="16">
        <v>0</v>
      </c>
      <c r="AR102" s="16">
        <v>10</v>
      </c>
      <c r="AS102" s="16">
        <v>10</v>
      </c>
      <c r="AT102" s="16">
        <v>334</v>
      </c>
      <c r="AU102" s="16">
        <v>316</v>
      </c>
      <c r="AV102" s="16">
        <v>315</v>
      </c>
      <c r="AW102" s="16">
        <v>325</v>
      </c>
      <c r="AX102" s="16">
        <v>0</v>
      </c>
      <c r="AY102" s="16">
        <v>0</v>
      </c>
      <c r="AZ102" s="16">
        <v>0</v>
      </c>
      <c r="BA102" s="16">
        <v>0</v>
      </c>
      <c r="BB102" s="16">
        <v>0</v>
      </c>
      <c r="BC102" s="16">
        <v>0</v>
      </c>
      <c r="BD102" s="16">
        <v>0</v>
      </c>
      <c r="BE102" s="16">
        <v>0</v>
      </c>
      <c r="BF102" s="16">
        <v>0</v>
      </c>
      <c r="BG102" s="16">
        <v>0</v>
      </c>
      <c r="BH102" s="16">
        <v>0</v>
      </c>
      <c r="BI102" s="16">
        <v>0</v>
      </c>
      <c r="BJ102" s="16">
        <v>0</v>
      </c>
      <c r="BK102" s="16">
        <v>0</v>
      </c>
      <c r="BL102" s="16">
        <v>0</v>
      </c>
      <c r="BM102" s="16">
        <v>0</v>
      </c>
      <c r="BN102" s="16">
        <v>0</v>
      </c>
      <c r="BO102" s="16">
        <v>0</v>
      </c>
      <c r="BP102" s="16">
        <v>0</v>
      </c>
      <c r="BQ102" s="16">
        <v>0</v>
      </c>
      <c r="BR102" s="16">
        <v>0</v>
      </c>
      <c r="BS102" s="16">
        <v>0</v>
      </c>
      <c r="BT102" s="16">
        <v>0</v>
      </c>
      <c r="BU102" s="16">
        <v>0</v>
      </c>
      <c r="BV102" s="16">
        <v>0</v>
      </c>
      <c r="BW102" s="16">
        <v>0</v>
      </c>
      <c r="BX102" s="16">
        <v>0</v>
      </c>
      <c r="BY102" s="16">
        <v>0</v>
      </c>
      <c r="BZ102" s="16">
        <v>0</v>
      </c>
      <c r="CA102" s="16">
        <v>0</v>
      </c>
      <c r="CB102" s="16">
        <v>0</v>
      </c>
      <c r="CC102" s="16">
        <v>0</v>
      </c>
      <c r="CD102" s="16">
        <v>0</v>
      </c>
      <c r="CE102" s="16">
        <v>0</v>
      </c>
      <c r="CF102" s="27">
        <v>0</v>
      </c>
      <c r="CG102" s="27">
        <v>0</v>
      </c>
      <c r="CH102" s="27">
        <v>0</v>
      </c>
      <c r="CI102" s="27">
        <v>0</v>
      </c>
      <c r="CJ102" s="27">
        <v>0</v>
      </c>
      <c r="CK102" s="27">
        <v>0</v>
      </c>
      <c r="CL102" s="27">
        <v>0</v>
      </c>
      <c r="CM102" s="27">
        <v>0</v>
      </c>
      <c r="CN102" s="27">
        <v>0</v>
      </c>
      <c r="CO102" s="27">
        <v>0</v>
      </c>
      <c r="CP102" s="27">
        <v>0</v>
      </c>
      <c r="CQ102" s="27">
        <v>0</v>
      </c>
      <c r="CR102" s="27">
        <v>0</v>
      </c>
      <c r="CS102" s="27">
        <v>0</v>
      </c>
      <c r="CT102" s="27">
        <v>0</v>
      </c>
      <c r="CU102" s="27">
        <v>0</v>
      </c>
      <c r="CV102" s="27">
        <v>0</v>
      </c>
      <c r="CW102" s="27">
        <v>0</v>
      </c>
      <c r="CX102" s="27">
        <v>0</v>
      </c>
      <c r="CY102" s="27">
        <v>0</v>
      </c>
      <c r="CZ102" s="27">
        <v>0</v>
      </c>
      <c r="DA102" s="27">
        <v>0</v>
      </c>
      <c r="DB102" s="27">
        <v>0</v>
      </c>
      <c r="DC102" s="27">
        <v>0</v>
      </c>
      <c r="DD102" s="16">
        <v>0</v>
      </c>
      <c r="DE102" s="16">
        <v>0</v>
      </c>
      <c r="DF102" s="16">
        <v>0</v>
      </c>
      <c r="DG102" s="16">
        <v>0</v>
      </c>
      <c r="DH102" s="16">
        <v>0</v>
      </c>
      <c r="DI102" s="16">
        <v>0</v>
      </c>
      <c r="DJ102" s="13">
        <v>0</v>
      </c>
      <c r="DK102" s="13">
        <v>0</v>
      </c>
      <c r="DL102" s="13">
        <v>0</v>
      </c>
      <c r="DM102" s="13">
        <v>0</v>
      </c>
      <c r="DN102" s="13">
        <v>0</v>
      </c>
      <c r="DO102" s="13">
        <v>0</v>
      </c>
      <c r="DP102" s="13">
        <v>0</v>
      </c>
      <c r="DQ102" s="13">
        <v>0</v>
      </c>
      <c r="DR102" s="13">
        <v>0</v>
      </c>
      <c r="DS102" s="13">
        <v>0</v>
      </c>
      <c r="DT102" s="13">
        <v>0</v>
      </c>
      <c r="DU102" s="13">
        <v>35</v>
      </c>
      <c r="DV102" s="13">
        <v>71</v>
      </c>
      <c r="DW102" s="13">
        <v>132</v>
      </c>
      <c r="DX102" s="13">
        <v>139</v>
      </c>
      <c r="DY102" s="13">
        <v>1050</v>
      </c>
      <c r="DZ102" s="13">
        <v>1930</v>
      </c>
      <c r="EA102" s="13">
        <v>2443</v>
      </c>
      <c r="EB102" s="13">
        <v>2761</v>
      </c>
      <c r="EC102" s="13">
        <v>2660</v>
      </c>
      <c r="ED102" s="13">
        <v>3013</v>
      </c>
      <c r="EE102" s="13">
        <v>3540</v>
      </c>
      <c r="EF102" s="13">
        <v>4450</v>
      </c>
      <c r="EG102" s="13">
        <v>11488</v>
      </c>
      <c r="EH102" s="13">
        <v>25758</v>
      </c>
      <c r="EI102" s="13">
        <v>44647</v>
      </c>
      <c r="EJ102" s="13">
        <v>37766</v>
      </c>
      <c r="EK102" s="25">
        <f t="shared" si="6"/>
        <v>625</v>
      </c>
      <c r="EL102" s="13">
        <v>38391</v>
      </c>
      <c r="EM102" s="25">
        <f t="shared" si="7"/>
        <v>2611</v>
      </c>
      <c r="EN102" s="13">
        <v>41002</v>
      </c>
      <c r="EO102" s="25">
        <f t="shared" si="8"/>
        <v>1466</v>
      </c>
      <c r="EP102" s="13">
        <v>42468</v>
      </c>
      <c r="EQ102" s="25">
        <f t="shared" si="9"/>
        <v>-20459</v>
      </c>
      <c r="ER102" s="13">
        <v>22009</v>
      </c>
      <c r="ES102" s="25">
        <f t="shared" si="10"/>
        <v>1382</v>
      </c>
      <c r="ET102" s="13">
        <v>23391</v>
      </c>
      <c r="EU102" s="25">
        <f t="shared" si="11"/>
        <v>-1001</v>
      </c>
      <c r="EV102" s="13">
        <v>22390</v>
      </c>
      <c r="EW102" s="13">
        <v>5740</v>
      </c>
      <c r="EX102" s="13">
        <v>4986</v>
      </c>
      <c r="EY102" s="13">
        <v>4778</v>
      </c>
      <c r="EZ102" s="13">
        <v>3320</v>
      </c>
      <c r="FA102" s="13">
        <v>1869</v>
      </c>
      <c r="FB102" s="13">
        <v>567</v>
      </c>
      <c r="FC102" s="13">
        <v>541</v>
      </c>
      <c r="FD102" s="13">
        <v>468</v>
      </c>
      <c r="FE102" s="13">
        <v>481</v>
      </c>
      <c r="FF102" s="13">
        <v>469</v>
      </c>
      <c r="FG102" s="13">
        <v>457</v>
      </c>
      <c r="FH102" s="13">
        <v>56</v>
      </c>
      <c r="FI102" s="13">
        <v>54</v>
      </c>
    </row>
    <row r="103" spans="1:165" x14ac:dyDescent="0.4">
      <c r="A103" s="35" t="s">
        <v>14</v>
      </c>
      <c r="B103" s="16">
        <v>0</v>
      </c>
      <c r="C103" s="16">
        <v>0</v>
      </c>
      <c r="D103" s="16">
        <v>0</v>
      </c>
      <c r="E103" s="16">
        <v>0</v>
      </c>
      <c r="F103" s="16">
        <v>0</v>
      </c>
      <c r="G103" s="16">
        <v>0</v>
      </c>
      <c r="H103" s="16">
        <v>0</v>
      </c>
      <c r="I103" s="16">
        <v>0</v>
      </c>
      <c r="J103" s="16">
        <v>0</v>
      </c>
      <c r="K103" s="16">
        <v>0</v>
      </c>
      <c r="L103" s="16">
        <v>0</v>
      </c>
      <c r="M103" s="16">
        <v>0</v>
      </c>
      <c r="N103" s="16">
        <v>0</v>
      </c>
      <c r="O103" s="16">
        <v>0</v>
      </c>
      <c r="P103" s="16">
        <v>0</v>
      </c>
      <c r="Q103" s="16">
        <v>0</v>
      </c>
      <c r="R103" s="16">
        <v>0</v>
      </c>
      <c r="S103" s="16">
        <v>0</v>
      </c>
      <c r="T103" s="16">
        <v>0</v>
      </c>
      <c r="U103" s="16">
        <v>0</v>
      </c>
      <c r="V103" s="16">
        <v>0</v>
      </c>
      <c r="W103" s="16">
        <v>0</v>
      </c>
      <c r="X103" s="16">
        <v>0</v>
      </c>
      <c r="Y103" s="16">
        <v>0</v>
      </c>
      <c r="Z103" s="16">
        <v>0</v>
      </c>
      <c r="AA103" s="16">
        <v>0</v>
      </c>
      <c r="AB103" s="16">
        <v>0</v>
      </c>
      <c r="AC103" s="16">
        <v>0</v>
      </c>
      <c r="AD103" s="16">
        <v>0</v>
      </c>
      <c r="AE103" s="16">
        <v>0</v>
      </c>
      <c r="AF103" s="16">
        <v>0</v>
      </c>
      <c r="AG103" s="16">
        <v>0</v>
      </c>
      <c r="AH103" s="16">
        <v>0</v>
      </c>
      <c r="AI103" s="16">
        <v>0</v>
      </c>
      <c r="AJ103" s="16">
        <v>0</v>
      </c>
      <c r="AK103" s="16">
        <v>0</v>
      </c>
      <c r="AL103" s="16">
        <v>0</v>
      </c>
      <c r="AM103" s="16">
        <v>0</v>
      </c>
      <c r="AN103" s="16">
        <v>0</v>
      </c>
      <c r="AO103" s="16">
        <v>0</v>
      </c>
      <c r="AP103" s="16">
        <v>0</v>
      </c>
      <c r="AQ103" s="16">
        <v>0</v>
      </c>
      <c r="AR103" s="16">
        <v>0</v>
      </c>
      <c r="AS103" s="16">
        <v>0</v>
      </c>
      <c r="AT103" s="16">
        <v>0</v>
      </c>
      <c r="AU103" s="16">
        <v>0</v>
      </c>
      <c r="AV103" s="16">
        <v>0</v>
      </c>
      <c r="AW103" s="16">
        <v>0</v>
      </c>
      <c r="AX103" s="16">
        <v>9099</v>
      </c>
      <c r="AY103" s="16">
        <v>9061</v>
      </c>
      <c r="AZ103" s="16">
        <v>8739</v>
      </c>
      <c r="BA103" s="16">
        <v>8579</v>
      </c>
      <c r="BB103" s="16">
        <v>8704</v>
      </c>
      <c r="BC103" s="16">
        <v>8611</v>
      </c>
      <c r="BD103" s="16">
        <v>8996</v>
      </c>
      <c r="BE103" s="16">
        <v>10076</v>
      </c>
      <c r="BF103" s="16">
        <v>9868</v>
      </c>
      <c r="BG103" s="16">
        <v>9777</v>
      </c>
      <c r="BH103" s="16">
        <v>9688</v>
      </c>
      <c r="BI103" s="16">
        <v>11141</v>
      </c>
      <c r="BJ103" s="16">
        <v>11027</v>
      </c>
      <c r="BK103" s="16">
        <v>10792</v>
      </c>
      <c r="BL103" s="16">
        <v>10633</v>
      </c>
      <c r="BM103" s="16">
        <v>25336</v>
      </c>
      <c r="BN103" s="16">
        <v>28080</v>
      </c>
      <c r="BO103" s="16">
        <v>28279</v>
      </c>
      <c r="BP103" s="16">
        <v>28618</v>
      </c>
      <c r="BQ103" s="16">
        <v>28401</v>
      </c>
      <c r="BR103" s="16">
        <v>31338</v>
      </c>
      <c r="BS103" s="16">
        <v>30278</v>
      </c>
      <c r="BT103" s="16">
        <v>30223</v>
      </c>
      <c r="BU103" s="16">
        <v>30590</v>
      </c>
      <c r="BV103" s="16">
        <v>35479</v>
      </c>
      <c r="BW103" s="16">
        <v>33844</v>
      </c>
      <c r="BX103" s="16">
        <v>34612</v>
      </c>
      <c r="BY103" s="16">
        <v>35004</v>
      </c>
      <c r="BZ103" s="16">
        <v>34923</v>
      </c>
      <c r="CA103" s="16">
        <v>36227</v>
      </c>
      <c r="CB103" s="16">
        <v>35187</v>
      </c>
      <c r="CC103" s="16">
        <v>35380</v>
      </c>
      <c r="CD103" s="16">
        <v>37066</v>
      </c>
      <c r="CE103" s="16">
        <v>36072</v>
      </c>
      <c r="CF103" s="16">
        <v>35865</v>
      </c>
      <c r="CG103" s="16">
        <v>36073</v>
      </c>
      <c r="CH103" s="16">
        <v>45287</v>
      </c>
      <c r="CI103" s="16">
        <v>45938</v>
      </c>
      <c r="CJ103" s="16">
        <v>49197</v>
      </c>
      <c r="CK103" s="16">
        <v>56577</v>
      </c>
      <c r="CL103" s="16">
        <v>53787</v>
      </c>
      <c r="CM103" s="16">
        <v>52836</v>
      </c>
      <c r="CN103" s="16">
        <v>52134</v>
      </c>
      <c r="CO103" s="16">
        <v>74092</v>
      </c>
      <c r="CP103" s="16">
        <v>76110</v>
      </c>
      <c r="CQ103" s="16">
        <v>80688</v>
      </c>
      <c r="CR103" s="16">
        <v>80930</v>
      </c>
      <c r="CS103" s="16">
        <v>78242</v>
      </c>
      <c r="CT103" s="16">
        <v>76385</v>
      </c>
      <c r="CU103" s="16">
        <v>78960</v>
      </c>
      <c r="CV103" s="16">
        <v>76637</v>
      </c>
      <c r="CW103" s="16">
        <v>166889</v>
      </c>
      <c r="CX103" s="16">
        <v>164740</v>
      </c>
      <c r="CY103" s="16">
        <v>164297</v>
      </c>
      <c r="CZ103" s="16">
        <v>165481</v>
      </c>
      <c r="DA103" s="16">
        <v>167196</v>
      </c>
      <c r="DB103" s="16">
        <v>166553</v>
      </c>
      <c r="DC103" s="16">
        <v>166291</v>
      </c>
      <c r="DD103" s="16">
        <v>160008</v>
      </c>
      <c r="DE103" s="16">
        <v>193392</v>
      </c>
      <c r="DF103" s="16">
        <v>212963</v>
      </c>
      <c r="DG103" s="16">
        <v>216281</v>
      </c>
      <c r="DH103" s="16">
        <v>228549</v>
      </c>
      <c r="DI103" s="7">
        <v>228861</v>
      </c>
      <c r="DJ103" s="13">
        <v>174900</v>
      </c>
      <c r="DK103" s="13">
        <v>135332</v>
      </c>
      <c r="DL103" s="13">
        <v>123067</v>
      </c>
      <c r="DM103" s="13">
        <v>142228</v>
      </c>
      <c r="DN103" s="13">
        <v>144573</v>
      </c>
      <c r="DO103" s="13">
        <v>131096</v>
      </c>
      <c r="DP103" s="13">
        <v>135267</v>
      </c>
      <c r="DQ103" s="13">
        <v>150589</v>
      </c>
      <c r="DR103" s="13">
        <v>159256</v>
      </c>
      <c r="DS103" s="13">
        <v>155421</v>
      </c>
      <c r="DT103" s="13">
        <v>163427</v>
      </c>
      <c r="DU103" s="13">
        <v>178693</v>
      </c>
      <c r="DV103" s="13">
        <v>185695</v>
      </c>
      <c r="DW103" s="13">
        <v>203467</v>
      </c>
      <c r="DX103" s="13">
        <v>230676</v>
      </c>
      <c r="DY103" s="13">
        <v>241637</v>
      </c>
      <c r="DZ103" s="13">
        <v>257247</v>
      </c>
      <c r="EA103" s="13">
        <v>261888</v>
      </c>
      <c r="EB103" s="13">
        <v>253827</v>
      </c>
      <c r="EC103" s="13">
        <v>268625</v>
      </c>
      <c r="ED103" s="13">
        <v>285108</v>
      </c>
      <c r="EE103" s="13">
        <v>284057</v>
      </c>
      <c r="EF103" s="13">
        <v>298180</v>
      </c>
      <c r="EG103" s="13">
        <v>318072</v>
      </c>
      <c r="EH103" s="13">
        <v>341021</v>
      </c>
      <c r="EI103" s="13">
        <v>350159</v>
      </c>
      <c r="EJ103" s="13">
        <v>511574</v>
      </c>
      <c r="EK103" s="25">
        <f t="shared" si="6"/>
        <v>-16046</v>
      </c>
      <c r="EL103" s="13">
        <v>495528</v>
      </c>
      <c r="EM103" s="25">
        <f t="shared" si="7"/>
        <v>-11802</v>
      </c>
      <c r="EN103" s="13">
        <v>483726</v>
      </c>
      <c r="EO103" s="25">
        <f t="shared" si="8"/>
        <v>8312</v>
      </c>
      <c r="EP103" s="13">
        <v>492038</v>
      </c>
      <c r="EQ103" s="25">
        <f t="shared" si="9"/>
        <v>-2261</v>
      </c>
      <c r="ER103" s="13">
        <v>489777</v>
      </c>
      <c r="ES103" s="25">
        <f t="shared" si="10"/>
        <v>43184</v>
      </c>
      <c r="ET103" s="13">
        <v>532961</v>
      </c>
      <c r="EU103" s="25">
        <f t="shared" si="11"/>
        <v>-24473</v>
      </c>
      <c r="EV103" s="13">
        <v>508488</v>
      </c>
      <c r="EW103" s="13">
        <v>528919</v>
      </c>
      <c r="EX103" s="13">
        <v>509164</v>
      </c>
      <c r="EY103" s="13">
        <v>508622</v>
      </c>
      <c r="EZ103" s="13">
        <v>503950</v>
      </c>
      <c r="FA103" s="13">
        <v>484236</v>
      </c>
      <c r="FB103" s="13">
        <v>454849</v>
      </c>
      <c r="FC103" s="13">
        <v>491409</v>
      </c>
      <c r="FD103" s="13">
        <v>483247</v>
      </c>
      <c r="FE103" s="13">
        <v>491827</v>
      </c>
      <c r="FF103" s="13">
        <v>474867</v>
      </c>
      <c r="FG103" s="13">
        <v>473219</v>
      </c>
      <c r="FH103" s="13">
        <v>444543</v>
      </c>
      <c r="FI103" s="13">
        <v>421643</v>
      </c>
    </row>
    <row r="104" spans="1:165" x14ac:dyDescent="0.4">
      <c r="A104" s="35" t="s">
        <v>27</v>
      </c>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v>0</v>
      </c>
      <c r="BW104" s="16">
        <v>0</v>
      </c>
      <c r="BX104" s="16">
        <v>0</v>
      </c>
      <c r="BY104" s="16">
        <v>0</v>
      </c>
      <c r="BZ104" s="16">
        <v>0</v>
      </c>
      <c r="CA104" s="16">
        <v>0</v>
      </c>
      <c r="CB104" s="16">
        <v>0</v>
      </c>
      <c r="CC104" s="16">
        <v>0</v>
      </c>
      <c r="CD104" s="16">
        <v>0</v>
      </c>
      <c r="CE104" s="16">
        <v>0</v>
      </c>
      <c r="CF104" s="16">
        <v>0</v>
      </c>
      <c r="CG104" s="16">
        <v>0</v>
      </c>
      <c r="CH104" s="16">
        <v>0</v>
      </c>
      <c r="CI104" s="16">
        <v>0</v>
      </c>
      <c r="CJ104" s="16">
        <v>0</v>
      </c>
      <c r="CK104" s="16">
        <v>0</v>
      </c>
      <c r="CL104" s="16">
        <v>0</v>
      </c>
      <c r="CM104" s="16">
        <v>0</v>
      </c>
      <c r="CN104" s="16">
        <v>0</v>
      </c>
      <c r="CO104" s="16">
        <v>0</v>
      </c>
      <c r="CP104" s="16">
        <v>0</v>
      </c>
      <c r="CQ104" s="16">
        <v>621</v>
      </c>
      <c r="CR104" s="16">
        <v>1556</v>
      </c>
      <c r="CS104" s="16">
        <v>1488</v>
      </c>
      <c r="CT104" s="16">
        <v>1454</v>
      </c>
      <c r="CU104" s="16">
        <v>1506</v>
      </c>
      <c r="CV104" s="16">
        <v>1444</v>
      </c>
      <c r="CW104" s="16">
        <v>1499</v>
      </c>
      <c r="CX104" s="16">
        <v>1476</v>
      </c>
      <c r="CY104" s="16">
        <v>1464</v>
      </c>
      <c r="CZ104" s="16">
        <v>1442</v>
      </c>
      <c r="DA104" s="16">
        <v>1462</v>
      </c>
      <c r="DB104" s="16">
        <v>1470</v>
      </c>
      <c r="DC104" s="16">
        <v>875</v>
      </c>
      <c r="DD104" s="16">
        <v>1205</v>
      </c>
      <c r="DE104" s="16">
        <v>2949</v>
      </c>
      <c r="DF104" s="16">
        <v>2937</v>
      </c>
      <c r="DG104" s="16">
        <v>3043</v>
      </c>
      <c r="DH104" s="16">
        <v>3236</v>
      </c>
      <c r="DI104" s="7">
        <v>3254</v>
      </c>
      <c r="DJ104" s="13">
        <v>2650</v>
      </c>
      <c r="DK104" s="13">
        <v>2329</v>
      </c>
      <c r="DL104" s="13">
        <v>1919</v>
      </c>
      <c r="DM104" s="13">
        <v>2253</v>
      </c>
      <c r="DN104" s="13">
        <v>2248</v>
      </c>
      <c r="DO104" s="13">
        <v>2045</v>
      </c>
      <c r="DP104" s="13">
        <v>1165</v>
      </c>
      <c r="DQ104" s="13">
        <v>0</v>
      </c>
      <c r="DR104" s="13">
        <v>0</v>
      </c>
      <c r="DS104" s="13">
        <v>1018</v>
      </c>
      <c r="DT104" s="13">
        <v>2176</v>
      </c>
      <c r="DU104" s="13">
        <v>2325</v>
      </c>
      <c r="DV104" s="13">
        <v>2502</v>
      </c>
      <c r="DW104" s="13">
        <v>2547</v>
      </c>
      <c r="DX104" s="13">
        <v>4304</v>
      </c>
      <c r="DY104" s="13">
        <v>4471</v>
      </c>
      <c r="DZ104" s="13">
        <v>4717</v>
      </c>
      <c r="EA104" s="13">
        <v>4607</v>
      </c>
      <c r="EB104" s="13">
        <v>4411</v>
      </c>
      <c r="EC104" s="13">
        <v>4873</v>
      </c>
      <c r="ED104" s="13">
        <v>15546</v>
      </c>
      <c r="EE104" s="13">
        <v>14136</v>
      </c>
      <c r="EF104" s="13">
        <v>13300</v>
      </c>
      <c r="EG104" s="13">
        <v>13496</v>
      </c>
      <c r="EH104" s="13">
        <v>13722</v>
      </c>
      <c r="EI104" s="13">
        <v>13141</v>
      </c>
      <c r="EJ104" s="13">
        <v>10509</v>
      </c>
      <c r="EK104" s="25">
        <f t="shared" si="6"/>
        <v>144</v>
      </c>
      <c r="EL104" s="13">
        <v>10653</v>
      </c>
      <c r="EM104" s="25">
        <f t="shared" si="7"/>
        <v>258</v>
      </c>
      <c r="EN104" s="13">
        <v>10911</v>
      </c>
      <c r="EO104" s="25">
        <f t="shared" si="8"/>
        <v>1271</v>
      </c>
      <c r="EP104" s="13">
        <v>12182</v>
      </c>
      <c r="EQ104" s="25">
        <f t="shared" si="9"/>
        <v>432</v>
      </c>
      <c r="ER104" s="13">
        <v>12614</v>
      </c>
      <c r="ES104" s="25">
        <f t="shared" si="10"/>
        <v>1129</v>
      </c>
      <c r="ET104" s="13">
        <v>13743</v>
      </c>
      <c r="EU104" s="25">
        <f t="shared" si="11"/>
        <v>-12576</v>
      </c>
      <c r="EV104" s="13">
        <v>1167</v>
      </c>
      <c r="EW104" s="13">
        <v>21359</v>
      </c>
      <c r="EX104" s="13">
        <v>19533</v>
      </c>
      <c r="EY104" s="13">
        <v>19448</v>
      </c>
      <c r="EZ104" s="13">
        <v>19892</v>
      </c>
      <c r="FA104" s="13">
        <v>18691</v>
      </c>
      <c r="FB104" s="13">
        <v>19370</v>
      </c>
      <c r="FC104" s="13">
        <v>20332</v>
      </c>
      <c r="FD104" s="13">
        <v>20703</v>
      </c>
      <c r="FE104" s="13">
        <v>34399</v>
      </c>
      <c r="FF104" s="13">
        <v>33149</v>
      </c>
      <c r="FG104" s="13">
        <v>32265</v>
      </c>
      <c r="FH104" s="13">
        <v>44526</v>
      </c>
      <c r="FI104" s="13">
        <v>24430</v>
      </c>
    </row>
    <row r="105" spans="1:165" x14ac:dyDescent="0.4">
      <c r="A105" s="35" t="s">
        <v>30</v>
      </c>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v>35479</v>
      </c>
      <c r="BW105" s="16">
        <v>33844</v>
      </c>
      <c r="BX105" s="16">
        <v>34612</v>
      </c>
      <c r="BY105" s="16">
        <v>35004</v>
      </c>
      <c r="BZ105" s="16">
        <v>34923</v>
      </c>
      <c r="CA105" s="16">
        <v>36227</v>
      </c>
      <c r="CB105" s="16">
        <v>35187</v>
      </c>
      <c r="CC105" s="16">
        <v>35380</v>
      </c>
      <c r="CD105" s="16">
        <v>37066</v>
      </c>
      <c r="CE105" s="16">
        <v>36072</v>
      </c>
      <c r="CF105" s="16">
        <v>35865</v>
      </c>
      <c r="CG105" s="16">
        <v>36073</v>
      </c>
      <c r="CH105" s="16">
        <v>45287</v>
      </c>
      <c r="CI105" s="16">
        <v>45938</v>
      </c>
      <c r="CJ105" s="16">
        <v>49197</v>
      </c>
      <c r="CK105" s="16">
        <v>56577</v>
      </c>
      <c r="CL105" s="16">
        <v>53787</v>
      </c>
      <c r="CM105" s="16">
        <v>52836</v>
      </c>
      <c r="CN105" s="16">
        <v>52134</v>
      </c>
      <c r="CO105" s="16">
        <v>74092</v>
      </c>
      <c r="CP105" s="16">
        <v>76110</v>
      </c>
      <c r="CQ105" s="16">
        <v>80067</v>
      </c>
      <c r="CR105" s="16">
        <v>79374</v>
      </c>
      <c r="CS105" s="16">
        <v>76753</v>
      </c>
      <c r="CT105" s="16">
        <v>74931</v>
      </c>
      <c r="CU105" s="16">
        <v>77453</v>
      </c>
      <c r="CV105" s="16">
        <v>75193</v>
      </c>
      <c r="CW105" s="16">
        <v>165390</v>
      </c>
      <c r="CX105" s="16">
        <v>163264</v>
      </c>
      <c r="CY105" s="16">
        <v>162833</v>
      </c>
      <c r="CZ105" s="16">
        <v>164040</v>
      </c>
      <c r="DA105" s="16">
        <v>165733</v>
      </c>
      <c r="DB105" s="16">
        <v>165083</v>
      </c>
      <c r="DC105" s="16">
        <v>165417</v>
      </c>
      <c r="DD105" s="16">
        <v>158803</v>
      </c>
      <c r="DE105" s="16">
        <v>190443</v>
      </c>
      <c r="DF105" s="16">
        <v>210027</v>
      </c>
      <c r="DG105" s="16">
        <v>213238</v>
      </c>
      <c r="DH105" s="16">
        <v>225313</v>
      </c>
      <c r="DI105" s="7">
        <v>225608</v>
      </c>
      <c r="DJ105" s="13">
        <v>172250</v>
      </c>
      <c r="DK105" s="13">
        <v>133003</v>
      </c>
      <c r="DL105" s="13">
        <v>121148</v>
      </c>
      <c r="DM105" s="13">
        <v>139975</v>
      </c>
      <c r="DN105" s="13">
        <v>142326</v>
      </c>
      <c r="DO105" s="13">
        <v>129051</v>
      </c>
      <c r="DP105" s="13">
        <v>134103</v>
      </c>
      <c r="DQ105" s="13">
        <v>150589</v>
      </c>
      <c r="DR105" s="13">
        <v>159256</v>
      </c>
      <c r="DS105" s="13">
        <v>154403</v>
      </c>
      <c r="DT105" s="13">
        <v>161251</v>
      </c>
      <c r="DU105" s="13">
        <v>176367</v>
      </c>
      <c r="DV105" s="13">
        <v>183192</v>
      </c>
      <c r="DW105" s="13">
        <v>200921</v>
      </c>
      <c r="DX105" s="13">
        <v>226372</v>
      </c>
      <c r="DY105" s="13">
        <v>237166</v>
      </c>
      <c r="DZ105" s="13">
        <v>252530</v>
      </c>
      <c r="EA105" s="13">
        <v>257281</v>
      </c>
      <c r="EB105" s="13">
        <v>249415</v>
      </c>
      <c r="EC105" s="13">
        <v>263752</v>
      </c>
      <c r="ED105" s="13">
        <v>269563</v>
      </c>
      <c r="EE105" s="13">
        <v>269921</v>
      </c>
      <c r="EF105" s="13">
        <v>284880</v>
      </c>
      <c r="EG105" s="13">
        <v>304577</v>
      </c>
      <c r="EH105" s="13">
        <v>327300</v>
      </c>
      <c r="EI105" s="13">
        <v>337017</v>
      </c>
      <c r="EJ105" s="13">
        <v>501065</v>
      </c>
      <c r="EK105" s="25">
        <f t="shared" si="6"/>
        <v>-16189</v>
      </c>
      <c r="EL105" s="13">
        <v>484876</v>
      </c>
      <c r="EM105" s="25">
        <f t="shared" si="7"/>
        <v>-12060</v>
      </c>
      <c r="EN105" s="13">
        <v>472816</v>
      </c>
      <c r="EO105" s="25">
        <f t="shared" si="8"/>
        <v>7040</v>
      </c>
      <c r="EP105" s="13">
        <v>479856</v>
      </c>
      <c r="EQ105" s="25">
        <f t="shared" si="9"/>
        <v>-2694</v>
      </c>
      <c r="ER105" s="13">
        <v>477162</v>
      </c>
      <c r="ES105" s="25">
        <f t="shared" si="10"/>
        <v>42057</v>
      </c>
      <c r="ET105" s="13">
        <v>519219</v>
      </c>
      <c r="EU105" s="25">
        <f t="shared" si="11"/>
        <v>-11899</v>
      </c>
      <c r="EV105" s="13">
        <v>507320</v>
      </c>
      <c r="EW105" s="13">
        <v>507560</v>
      </c>
      <c r="EX105" s="13">
        <v>489632</v>
      </c>
      <c r="EY105" s="13">
        <v>489174</v>
      </c>
      <c r="EZ105" s="13">
        <v>484058</v>
      </c>
      <c r="FA105" s="13">
        <v>465545</v>
      </c>
      <c r="FB105" s="13">
        <v>435479</v>
      </c>
      <c r="FC105" s="13">
        <v>471077</v>
      </c>
      <c r="FD105" s="13">
        <v>462544</v>
      </c>
      <c r="FE105" s="13">
        <v>457428</v>
      </c>
      <c r="FF105" s="13">
        <v>441717</v>
      </c>
      <c r="FG105" s="13">
        <v>440954</v>
      </c>
      <c r="FH105" s="13">
        <v>400018</v>
      </c>
      <c r="FI105" s="13">
        <v>397213</v>
      </c>
    </row>
    <row r="106" spans="1:165" x14ac:dyDescent="0.4">
      <c r="A106" s="34" t="s">
        <v>4</v>
      </c>
      <c r="B106" s="16">
        <v>0</v>
      </c>
      <c r="C106" s="16">
        <v>0</v>
      </c>
      <c r="D106" s="16">
        <v>0</v>
      </c>
      <c r="E106" s="16">
        <v>0</v>
      </c>
      <c r="F106" s="16">
        <v>0</v>
      </c>
      <c r="G106" s="16">
        <v>0</v>
      </c>
      <c r="H106" s="16">
        <v>0</v>
      </c>
      <c r="I106" s="16">
        <v>0</v>
      </c>
      <c r="J106" s="16">
        <v>0</v>
      </c>
      <c r="K106" s="16">
        <v>0</v>
      </c>
      <c r="L106" s="16">
        <v>0</v>
      </c>
      <c r="M106" s="16">
        <v>0</v>
      </c>
      <c r="N106" s="16">
        <v>0</v>
      </c>
      <c r="O106" s="16">
        <v>0</v>
      </c>
      <c r="P106" s="16">
        <v>0</v>
      </c>
      <c r="Q106" s="16">
        <v>0</v>
      </c>
      <c r="R106" s="16">
        <v>0</v>
      </c>
      <c r="S106" s="16">
        <v>0</v>
      </c>
      <c r="T106" s="16">
        <v>0</v>
      </c>
      <c r="U106" s="16">
        <v>0</v>
      </c>
      <c r="V106" s="16">
        <v>0</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6">
        <v>0</v>
      </c>
      <c r="AP106" s="16">
        <v>0</v>
      </c>
      <c r="AQ106" s="16">
        <v>0</v>
      </c>
      <c r="AR106" s="16">
        <v>0</v>
      </c>
      <c r="AS106" s="16">
        <v>0</v>
      </c>
      <c r="AT106" s="16">
        <v>0</v>
      </c>
      <c r="AU106" s="16">
        <v>0</v>
      </c>
      <c r="AV106" s="16">
        <v>0</v>
      </c>
      <c r="AW106" s="16">
        <v>0</v>
      </c>
      <c r="AX106" s="16">
        <v>0</v>
      </c>
      <c r="AY106" s="16">
        <v>0</v>
      </c>
      <c r="AZ106" s="16">
        <v>0</v>
      </c>
      <c r="BA106" s="16">
        <v>0</v>
      </c>
      <c r="BB106" s="16">
        <v>0</v>
      </c>
      <c r="BC106" s="16">
        <v>0</v>
      </c>
      <c r="BD106" s="16">
        <v>0</v>
      </c>
      <c r="BE106" s="16">
        <v>0</v>
      </c>
      <c r="BF106" s="16">
        <v>0</v>
      </c>
      <c r="BG106" s="16">
        <v>0</v>
      </c>
      <c r="BH106" s="16">
        <v>0</v>
      </c>
      <c r="BI106" s="16">
        <v>0</v>
      </c>
      <c r="BJ106" s="16">
        <v>0</v>
      </c>
      <c r="BK106" s="16">
        <v>0</v>
      </c>
      <c r="BL106" s="16">
        <v>0</v>
      </c>
      <c r="BM106" s="16">
        <v>0</v>
      </c>
      <c r="BN106" s="16">
        <v>0</v>
      </c>
      <c r="BO106" s="16">
        <v>0</v>
      </c>
      <c r="BP106" s="16">
        <v>0</v>
      </c>
      <c r="BQ106" s="16">
        <v>0</v>
      </c>
      <c r="BR106" s="16">
        <v>0</v>
      </c>
      <c r="BS106" s="16">
        <v>0</v>
      </c>
      <c r="BT106" s="16">
        <v>0</v>
      </c>
      <c r="BU106" s="16">
        <v>0</v>
      </c>
      <c r="BV106" s="16">
        <v>0</v>
      </c>
      <c r="BW106" s="16">
        <v>0</v>
      </c>
      <c r="BX106" s="16">
        <v>0</v>
      </c>
      <c r="BY106" s="16">
        <v>0</v>
      </c>
      <c r="BZ106" s="16">
        <v>0</v>
      </c>
      <c r="CA106" s="16">
        <v>0</v>
      </c>
      <c r="CB106" s="16">
        <v>0</v>
      </c>
      <c r="CC106" s="16">
        <v>0</v>
      </c>
      <c r="CD106" s="16">
        <v>0</v>
      </c>
      <c r="CE106" s="16">
        <v>0</v>
      </c>
      <c r="CF106" s="27">
        <v>0</v>
      </c>
      <c r="CG106" s="27">
        <v>0</v>
      </c>
      <c r="CH106" s="27">
        <v>0</v>
      </c>
      <c r="CI106" s="27">
        <v>0</v>
      </c>
      <c r="CJ106" s="27">
        <v>0</v>
      </c>
      <c r="CK106" s="27">
        <v>0</v>
      </c>
      <c r="CL106" s="27">
        <v>0</v>
      </c>
      <c r="CM106" s="27">
        <v>0</v>
      </c>
      <c r="CN106" s="27">
        <v>0</v>
      </c>
      <c r="CO106" s="27">
        <v>0</v>
      </c>
      <c r="CP106" s="27">
        <v>0</v>
      </c>
      <c r="CQ106" s="27">
        <v>0</v>
      </c>
      <c r="CR106" s="27">
        <v>0</v>
      </c>
      <c r="CS106" s="27">
        <v>0</v>
      </c>
      <c r="CT106" s="27">
        <v>0</v>
      </c>
      <c r="CU106" s="27">
        <v>0</v>
      </c>
      <c r="CV106" s="27">
        <v>0</v>
      </c>
      <c r="CW106" s="27">
        <v>0</v>
      </c>
      <c r="CX106" s="27">
        <v>0</v>
      </c>
      <c r="CY106" s="27">
        <v>0</v>
      </c>
      <c r="CZ106" s="27">
        <v>0</v>
      </c>
      <c r="DA106" s="27">
        <v>0</v>
      </c>
      <c r="DB106" s="27">
        <v>0</v>
      </c>
      <c r="DC106" s="27">
        <v>0</v>
      </c>
      <c r="DD106" s="16">
        <v>0</v>
      </c>
      <c r="DE106" s="16">
        <v>0</v>
      </c>
      <c r="DF106" s="16">
        <v>0</v>
      </c>
      <c r="DG106" s="16">
        <v>0</v>
      </c>
      <c r="DH106" s="16">
        <v>0</v>
      </c>
      <c r="DI106" s="16">
        <v>0</v>
      </c>
      <c r="DJ106" s="13">
        <v>0</v>
      </c>
      <c r="DK106" s="13">
        <v>0</v>
      </c>
      <c r="DL106" s="13">
        <v>0</v>
      </c>
      <c r="DM106" s="13">
        <v>0</v>
      </c>
      <c r="DN106" s="13">
        <v>0</v>
      </c>
      <c r="DO106" s="13">
        <v>0</v>
      </c>
      <c r="DP106" s="13">
        <v>0</v>
      </c>
      <c r="DQ106" s="13">
        <v>0</v>
      </c>
      <c r="DR106" s="13">
        <v>0</v>
      </c>
      <c r="DS106" s="13">
        <v>0</v>
      </c>
      <c r="DT106" s="13">
        <v>0</v>
      </c>
      <c r="DU106" s="13">
        <v>0</v>
      </c>
      <c r="DV106" s="13">
        <v>0</v>
      </c>
      <c r="DW106" s="13">
        <v>0</v>
      </c>
      <c r="DX106" s="13">
        <v>0</v>
      </c>
      <c r="DY106" s="13">
        <v>0</v>
      </c>
      <c r="DZ106" s="13">
        <v>0</v>
      </c>
      <c r="EA106" s="13">
        <v>0</v>
      </c>
      <c r="EB106" s="13">
        <v>0</v>
      </c>
      <c r="EC106" s="13">
        <v>0</v>
      </c>
      <c r="ED106" s="13">
        <v>0</v>
      </c>
      <c r="EE106" s="13">
        <v>0</v>
      </c>
      <c r="EF106" s="13">
        <v>0</v>
      </c>
      <c r="EG106" s="13">
        <v>0</v>
      </c>
      <c r="EH106" s="13">
        <v>0</v>
      </c>
      <c r="EI106" s="13">
        <v>0</v>
      </c>
      <c r="EJ106" s="13">
        <v>0</v>
      </c>
      <c r="EK106" s="25">
        <f t="shared" si="6"/>
        <v>0</v>
      </c>
      <c r="EL106" s="13">
        <v>0</v>
      </c>
      <c r="EM106" s="25">
        <f t="shared" si="7"/>
        <v>0</v>
      </c>
      <c r="EN106" s="13">
        <v>0</v>
      </c>
      <c r="EO106" s="25">
        <f t="shared" si="8"/>
        <v>0</v>
      </c>
      <c r="EP106" s="13">
        <v>0</v>
      </c>
      <c r="EQ106" s="25">
        <f t="shared" si="9"/>
        <v>0</v>
      </c>
      <c r="ER106" s="13">
        <v>0</v>
      </c>
      <c r="ES106" s="25">
        <f t="shared" si="10"/>
        <v>0</v>
      </c>
      <c r="ET106" s="13">
        <v>0</v>
      </c>
      <c r="EU106" s="25">
        <f t="shared" si="11"/>
        <v>0</v>
      </c>
      <c r="EV106" s="13">
        <v>0</v>
      </c>
      <c r="EW106" s="13">
        <v>0</v>
      </c>
      <c r="EX106" s="13">
        <v>0</v>
      </c>
      <c r="EY106" s="13">
        <v>0</v>
      </c>
      <c r="EZ106" s="13">
        <v>0</v>
      </c>
      <c r="FA106" s="13">
        <v>0</v>
      </c>
      <c r="FB106" s="13">
        <v>0</v>
      </c>
      <c r="FC106" s="13">
        <v>0</v>
      </c>
      <c r="FD106" s="13">
        <v>0</v>
      </c>
      <c r="FE106" s="13">
        <v>0</v>
      </c>
      <c r="FF106" s="13">
        <v>0</v>
      </c>
      <c r="FG106" s="13">
        <v>0</v>
      </c>
      <c r="FH106" s="13">
        <v>0</v>
      </c>
      <c r="FI106" s="13">
        <v>0</v>
      </c>
    </row>
    <row r="107" spans="1:165" x14ac:dyDescent="0.4">
      <c r="A107" s="35" t="s">
        <v>13</v>
      </c>
      <c r="B107" s="16">
        <v>0</v>
      </c>
      <c r="C107" s="16">
        <v>0</v>
      </c>
      <c r="D107" s="16">
        <v>0</v>
      </c>
      <c r="E107" s="16">
        <v>0</v>
      </c>
      <c r="F107" s="16">
        <v>0</v>
      </c>
      <c r="G107" s="16">
        <v>0</v>
      </c>
      <c r="H107" s="16">
        <v>0</v>
      </c>
      <c r="I107" s="16">
        <v>0</v>
      </c>
      <c r="J107" s="16">
        <v>0</v>
      </c>
      <c r="K107" s="16">
        <v>0</v>
      </c>
      <c r="L107" s="16">
        <v>0</v>
      </c>
      <c r="M107" s="16">
        <v>0</v>
      </c>
      <c r="N107" s="16">
        <v>0</v>
      </c>
      <c r="O107" s="16">
        <v>0</v>
      </c>
      <c r="P107" s="16">
        <v>0</v>
      </c>
      <c r="Q107" s="16">
        <v>0</v>
      </c>
      <c r="R107" s="16">
        <v>0</v>
      </c>
      <c r="S107" s="16">
        <v>0</v>
      </c>
      <c r="T107" s="16">
        <v>0</v>
      </c>
      <c r="U107" s="16">
        <v>0</v>
      </c>
      <c r="V107" s="16">
        <v>0</v>
      </c>
      <c r="W107" s="16">
        <v>0</v>
      </c>
      <c r="X107" s="16">
        <v>0</v>
      </c>
      <c r="Y107" s="16">
        <v>0</v>
      </c>
      <c r="Z107" s="16">
        <v>0</v>
      </c>
      <c r="AA107" s="16">
        <v>0</v>
      </c>
      <c r="AB107" s="16">
        <v>0</v>
      </c>
      <c r="AC107" s="16">
        <v>0</v>
      </c>
      <c r="AD107" s="16">
        <v>0</v>
      </c>
      <c r="AE107" s="16">
        <v>0</v>
      </c>
      <c r="AF107" s="16">
        <v>0</v>
      </c>
      <c r="AG107" s="16">
        <v>0</v>
      </c>
      <c r="AH107" s="16">
        <v>0</v>
      </c>
      <c r="AI107" s="16">
        <v>0</v>
      </c>
      <c r="AJ107" s="16">
        <v>0</v>
      </c>
      <c r="AK107" s="16">
        <v>0</v>
      </c>
      <c r="AL107" s="16">
        <v>0</v>
      </c>
      <c r="AM107" s="16">
        <v>0</v>
      </c>
      <c r="AN107" s="16">
        <v>0</v>
      </c>
      <c r="AO107" s="16">
        <v>0</v>
      </c>
      <c r="AP107" s="16">
        <v>0</v>
      </c>
      <c r="AQ107" s="16">
        <v>0</v>
      </c>
      <c r="AR107" s="16">
        <v>0</v>
      </c>
      <c r="AS107" s="16">
        <v>0</v>
      </c>
      <c r="AT107" s="16">
        <v>0</v>
      </c>
      <c r="AU107" s="16">
        <v>0</v>
      </c>
      <c r="AV107" s="16">
        <v>0</v>
      </c>
      <c r="AW107" s="16">
        <v>0</v>
      </c>
      <c r="AX107" s="16">
        <v>0</v>
      </c>
      <c r="AY107" s="16">
        <v>0</v>
      </c>
      <c r="AZ107" s="16">
        <v>0</v>
      </c>
      <c r="BA107" s="16">
        <v>0</v>
      </c>
      <c r="BB107" s="16">
        <v>0</v>
      </c>
      <c r="BC107" s="16">
        <v>0</v>
      </c>
      <c r="BD107" s="16">
        <v>0</v>
      </c>
      <c r="BE107" s="16">
        <v>0</v>
      </c>
      <c r="BF107" s="16">
        <v>0</v>
      </c>
      <c r="BG107" s="16">
        <v>0</v>
      </c>
      <c r="BH107" s="16">
        <v>0</v>
      </c>
      <c r="BI107" s="16">
        <v>0</v>
      </c>
      <c r="BJ107" s="16">
        <v>0</v>
      </c>
      <c r="BK107" s="16">
        <v>0</v>
      </c>
      <c r="BL107" s="16">
        <v>0</v>
      </c>
      <c r="BM107" s="16">
        <v>0</v>
      </c>
      <c r="BN107" s="16">
        <v>0</v>
      </c>
      <c r="BO107" s="16">
        <v>0</v>
      </c>
      <c r="BP107" s="16">
        <v>0</v>
      </c>
      <c r="BQ107" s="16">
        <v>0</v>
      </c>
      <c r="BR107" s="16">
        <v>0</v>
      </c>
      <c r="BS107" s="16">
        <v>0</v>
      </c>
      <c r="BT107" s="16">
        <v>0</v>
      </c>
      <c r="BU107" s="16">
        <v>0</v>
      </c>
      <c r="BV107" s="16">
        <v>0</v>
      </c>
      <c r="BW107" s="16">
        <v>0</v>
      </c>
      <c r="BX107" s="16">
        <v>0</v>
      </c>
      <c r="BY107" s="16">
        <v>0</v>
      </c>
      <c r="BZ107" s="16">
        <v>0</v>
      </c>
      <c r="CA107" s="16">
        <v>0</v>
      </c>
      <c r="CB107" s="16">
        <v>0</v>
      </c>
      <c r="CC107" s="16">
        <v>0</v>
      </c>
      <c r="CD107" s="16">
        <v>0</v>
      </c>
      <c r="CE107" s="16">
        <v>0</v>
      </c>
      <c r="CF107" s="27">
        <v>0</v>
      </c>
      <c r="CG107" s="27">
        <v>0</v>
      </c>
      <c r="CH107" s="27">
        <v>0</v>
      </c>
      <c r="CI107" s="27">
        <v>0</v>
      </c>
      <c r="CJ107" s="27">
        <v>0</v>
      </c>
      <c r="CK107" s="27">
        <v>0</v>
      </c>
      <c r="CL107" s="27">
        <v>0</v>
      </c>
      <c r="CM107" s="27">
        <v>0</v>
      </c>
      <c r="CN107" s="27">
        <v>0</v>
      </c>
      <c r="CO107" s="27">
        <v>0</v>
      </c>
      <c r="CP107" s="27">
        <v>0</v>
      </c>
      <c r="CQ107" s="27">
        <v>0</v>
      </c>
      <c r="CR107" s="27">
        <v>0</v>
      </c>
      <c r="CS107" s="27">
        <v>0</v>
      </c>
      <c r="CT107" s="27">
        <v>0</v>
      </c>
      <c r="CU107" s="27">
        <v>0</v>
      </c>
      <c r="CV107" s="27">
        <v>0</v>
      </c>
      <c r="CW107" s="27">
        <v>0</v>
      </c>
      <c r="CX107" s="27">
        <v>0</v>
      </c>
      <c r="CY107" s="27">
        <v>0</v>
      </c>
      <c r="CZ107" s="27">
        <v>0</v>
      </c>
      <c r="DA107" s="27">
        <v>0</v>
      </c>
      <c r="DB107" s="27">
        <v>0</v>
      </c>
      <c r="DC107" s="27">
        <v>0</v>
      </c>
      <c r="DD107" s="16">
        <v>0</v>
      </c>
      <c r="DE107" s="16">
        <v>0</v>
      </c>
      <c r="DF107" s="16">
        <v>0</v>
      </c>
      <c r="DG107" s="16">
        <v>0</v>
      </c>
      <c r="DH107" s="16">
        <v>0</v>
      </c>
      <c r="DI107" s="16">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25">
        <f t="shared" si="6"/>
        <v>0</v>
      </c>
      <c r="EL107" s="13">
        <v>0</v>
      </c>
      <c r="EM107" s="25">
        <f t="shared" si="7"/>
        <v>0</v>
      </c>
      <c r="EN107" s="13">
        <v>0</v>
      </c>
      <c r="EO107" s="25">
        <f t="shared" si="8"/>
        <v>0</v>
      </c>
      <c r="EP107" s="13">
        <v>0</v>
      </c>
      <c r="EQ107" s="25">
        <f t="shared" si="9"/>
        <v>0</v>
      </c>
      <c r="ER107" s="13">
        <v>0</v>
      </c>
      <c r="ES107" s="25">
        <f t="shared" si="10"/>
        <v>0</v>
      </c>
      <c r="ET107" s="13">
        <v>0</v>
      </c>
      <c r="EU107" s="25">
        <f t="shared" si="11"/>
        <v>0</v>
      </c>
      <c r="EV107" s="13">
        <v>0</v>
      </c>
      <c r="EW107" s="13">
        <v>0</v>
      </c>
      <c r="EX107" s="13">
        <v>0</v>
      </c>
      <c r="EY107" s="13">
        <v>0</v>
      </c>
      <c r="EZ107" s="13">
        <v>0</v>
      </c>
      <c r="FA107" s="13">
        <v>0</v>
      </c>
      <c r="FB107" s="13">
        <v>0</v>
      </c>
      <c r="FC107" s="13">
        <v>0</v>
      </c>
      <c r="FD107" s="13">
        <v>0</v>
      </c>
      <c r="FE107" s="13">
        <v>0</v>
      </c>
      <c r="FF107" s="13">
        <v>0</v>
      </c>
      <c r="FG107" s="13">
        <v>0</v>
      </c>
      <c r="FH107" s="13">
        <v>0</v>
      </c>
      <c r="FI107" s="13">
        <v>0</v>
      </c>
    </row>
    <row r="108" spans="1:165" x14ac:dyDescent="0.4">
      <c r="A108" s="35" t="s">
        <v>14</v>
      </c>
      <c r="B108" s="16">
        <v>0</v>
      </c>
      <c r="C108" s="16">
        <v>0</v>
      </c>
      <c r="D108" s="16">
        <v>0</v>
      </c>
      <c r="E108" s="16">
        <v>0</v>
      </c>
      <c r="F108" s="16">
        <v>0</v>
      </c>
      <c r="G108" s="16">
        <v>0</v>
      </c>
      <c r="H108" s="16">
        <v>0</v>
      </c>
      <c r="I108" s="16">
        <v>0</v>
      </c>
      <c r="J108" s="16">
        <v>0</v>
      </c>
      <c r="K108" s="16">
        <v>0</v>
      </c>
      <c r="L108" s="16">
        <v>0</v>
      </c>
      <c r="M108" s="16">
        <v>0</v>
      </c>
      <c r="N108" s="16">
        <v>0</v>
      </c>
      <c r="O108" s="16">
        <v>0</v>
      </c>
      <c r="P108" s="16">
        <v>0</v>
      </c>
      <c r="Q108" s="16">
        <v>0</v>
      </c>
      <c r="R108" s="16">
        <v>0</v>
      </c>
      <c r="S108" s="16">
        <v>0</v>
      </c>
      <c r="T108" s="16">
        <v>0</v>
      </c>
      <c r="U108" s="16">
        <v>0</v>
      </c>
      <c r="V108" s="16">
        <v>0</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0</v>
      </c>
      <c r="AM108" s="16">
        <v>0</v>
      </c>
      <c r="AN108" s="16">
        <v>0</v>
      </c>
      <c r="AO108" s="16">
        <v>0</v>
      </c>
      <c r="AP108" s="16">
        <v>0</v>
      </c>
      <c r="AQ108" s="16">
        <v>0</v>
      </c>
      <c r="AR108" s="16">
        <v>0</v>
      </c>
      <c r="AS108" s="16">
        <v>0</v>
      </c>
      <c r="AT108" s="16">
        <v>0</v>
      </c>
      <c r="AU108" s="16">
        <v>0</v>
      </c>
      <c r="AV108" s="16">
        <v>0</v>
      </c>
      <c r="AW108" s="16">
        <v>0</v>
      </c>
      <c r="AX108" s="16">
        <v>0</v>
      </c>
      <c r="AY108" s="16">
        <v>0</v>
      </c>
      <c r="AZ108" s="16">
        <v>0</v>
      </c>
      <c r="BA108" s="16">
        <v>0</v>
      </c>
      <c r="BB108" s="16">
        <v>0</v>
      </c>
      <c r="BC108" s="16">
        <v>0</v>
      </c>
      <c r="BD108" s="16">
        <v>0</v>
      </c>
      <c r="BE108" s="16">
        <v>0</v>
      </c>
      <c r="BF108" s="16">
        <v>0</v>
      </c>
      <c r="BG108" s="16">
        <v>0</v>
      </c>
      <c r="BH108" s="16">
        <v>0</v>
      </c>
      <c r="BI108" s="16">
        <v>0</v>
      </c>
      <c r="BJ108" s="16">
        <v>0</v>
      </c>
      <c r="BK108" s="16">
        <v>0</v>
      </c>
      <c r="BL108" s="16">
        <v>0</v>
      </c>
      <c r="BM108" s="16">
        <v>0</v>
      </c>
      <c r="BN108" s="16">
        <v>0</v>
      </c>
      <c r="BO108" s="16">
        <v>0</v>
      </c>
      <c r="BP108" s="16">
        <v>0</v>
      </c>
      <c r="BQ108" s="16">
        <v>0</v>
      </c>
      <c r="BR108" s="16">
        <v>0</v>
      </c>
      <c r="BS108" s="16">
        <v>0</v>
      </c>
      <c r="BT108" s="16">
        <v>0</v>
      </c>
      <c r="BU108" s="16">
        <v>0</v>
      </c>
      <c r="BV108" s="16">
        <v>0</v>
      </c>
      <c r="BW108" s="16">
        <v>0</v>
      </c>
      <c r="BX108" s="16">
        <v>0</v>
      </c>
      <c r="BY108" s="16">
        <v>0</v>
      </c>
      <c r="BZ108" s="16">
        <v>0</v>
      </c>
      <c r="CA108" s="16">
        <v>0</v>
      </c>
      <c r="CB108" s="16">
        <v>0</v>
      </c>
      <c r="CC108" s="16">
        <v>0</v>
      </c>
      <c r="CD108" s="16">
        <v>0</v>
      </c>
      <c r="CE108" s="16">
        <v>0</v>
      </c>
      <c r="CF108" s="27">
        <v>0</v>
      </c>
      <c r="CG108" s="27">
        <v>0</v>
      </c>
      <c r="CH108" s="27">
        <v>0</v>
      </c>
      <c r="CI108" s="27">
        <v>0</v>
      </c>
      <c r="CJ108" s="27">
        <v>0</v>
      </c>
      <c r="CK108" s="27">
        <v>0</v>
      </c>
      <c r="CL108" s="27">
        <v>0</v>
      </c>
      <c r="CM108" s="27">
        <v>0</v>
      </c>
      <c r="CN108" s="27">
        <v>0</v>
      </c>
      <c r="CO108" s="27">
        <v>0</v>
      </c>
      <c r="CP108" s="27">
        <v>0</v>
      </c>
      <c r="CQ108" s="27">
        <v>0</v>
      </c>
      <c r="CR108" s="27">
        <v>0</v>
      </c>
      <c r="CS108" s="27">
        <v>0</v>
      </c>
      <c r="CT108" s="27">
        <v>0</v>
      </c>
      <c r="CU108" s="27">
        <v>0</v>
      </c>
      <c r="CV108" s="27">
        <v>0</v>
      </c>
      <c r="CW108" s="27">
        <v>0</v>
      </c>
      <c r="CX108" s="27">
        <v>0</v>
      </c>
      <c r="CY108" s="27">
        <v>0</v>
      </c>
      <c r="CZ108" s="27">
        <v>0</v>
      </c>
      <c r="DA108" s="27">
        <v>0</v>
      </c>
      <c r="DB108" s="27">
        <v>0</v>
      </c>
      <c r="DC108" s="27">
        <v>0</v>
      </c>
      <c r="DD108" s="16">
        <v>0</v>
      </c>
      <c r="DE108" s="16">
        <v>0</v>
      </c>
      <c r="DF108" s="16">
        <v>0</v>
      </c>
      <c r="DG108" s="16">
        <v>0</v>
      </c>
      <c r="DH108" s="16">
        <v>0</v>
      </c>
      <c r="DI108" s="16">
        <v>0</v>
      </c>
      <c r="DJ108" s="13">
        <v>0</v>
      </c>
      <c r="DK108" s="13">
        <v>0</v>
      </c>
      <c r="DL108" s="13">
        <v>0</v>
      </c>
      <c r="DM108" s="13">
        <v>0</v>
      </c>
      <c r="DN108" s="13">
        <v>0</v>
      </c>
      <c r="DO108" s="13">
        <v>0</v>
      </c>
      <c r="DP108" s="13">
        <v>0</v>
      </c>
      <c r="DQ108" s="13">
        <v>0</v>
      </c>
      <c r="DR108" s="13">
        <v>0</v>
      </c>
      <c r="DS108" s="13">
        <v>0</v>
      </c>
      <c r="DT108" s="13">
        <v>0</v>
      </c>
      <c r="DU108" s="13">
        <v>0</v>
      </c>
      <c r="DV108" s="13">
        <v>0</v>
      </c>
      <c r="DW108" s="13">
        <v>0</v>
      </c>
      <c r="DX108" s="13">
        <v>0</v>
      </c>
      <c r="DY108" s="13">
        <v>0</v>
      </c>
      <c r="DZ108" s="13">
        <v>0</v>
      </c>
      <c r="EA108" s="13">
        <v>0</v>
      </c>
      <c r="EB108" s="13">
        <v>0</v>
      </c>
      <c r="EC108" s="13">
        <v>0</v>
      </c>
      <c r="ED108" s="13">
        <v>0</v>
      </c>
      <c r="EE108" s="13">
        <v>0</v>
      </c>
      <c r="EF108" s="13">
        <v>0</v>
      </c>
      <c r="EG108" s="13">
        <v>0</v>
      </c>
      <c r="EH108" s="13">
        <v>0</v>
      </c>
      <c r="EI108" s="13">
        <v>0</v>
      </c>
      <c r="EJ108" s="13">
        <v>0</v>
      </c>
      <c r="EK108" s="25">
        <f t="shared" si="6"/>
        <v>0</v>
      </c>
      <c r="EL108" s="13">
        <v>0</v>
      </c>
      <c r="EM108" s="25">
        <f t="shared" si="7"/>
        <v>0</v>
      </c>
      <c r="EN108" s="13">
        <v>0</v>
      </c>
      <c r="EO108" s="25">
        <f t="shared" si="8"/>
        <v>0</v>
      </c>
      <c r="EP108" s="13">
        <v>0</v>
      </c>
      <c r="EQ108" s="25">
        <f t="shared" si="9"/>
        <v>0</v>
      </c>
      <c r="ER108" s="13">
        <v>0</v>
      </c>
      <c r="ES108" s="25">
        <f t="shared" si="10"/>
        <v>0</v>
      </c>
      <c r="ET108" s="13">
        <v>0</v>
      </c>
      <c r="EU108" s="25">
        <f t="shared" si="11"/>
        <v>0</v>
      </c>
      <c r="EV108" s="13">
        <v>0</v>
      </c>
      <c r="EW108" s="13">
        <v>0</v>
      </c>
      <c r="EX108" s="13">
        <v>0</v>
      </c>
      <c r="EY108" s="13">
        <v>0</v>
      </c>
      <c r="EZ108" s="13">
        <v>0</v>
      </c>
      <c r="FA108" s="13">
        <v>0</v>
      </c>
      <c r="FB108" s="13">
        <v>0</v>
      </c>
      <c r="FC108" s="13">
        <v>0</v>
      </c>
      <c r="FD108" s="13">
        <v>0</v>
      </c>
      <c r="FE108" s="13">
        <v>0</v>
      </c>
      <c r="FF108" s="13">
        <v>0</v>
      </c>
      <c r="FG108" s="13">
        <v>0</v>
      </c>
      <c r="FH108" s="13">
        <v>0</v>
      </c>
      <c r="FI108" s="13">
        <v>0</v>
      </c>
    </row>
    <row r="109" spans="1:165" x14ac:dyDescent="0.4">
      <c r="A109" s="35" t="s">
        <v>27</v>
      </c>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v>0</v>
      </c>
      <c r="BW109" s="16">
        <v>0</v>
      </c>
      <c r="BX109" s="16">
        <v>0</v>
      </c>
      <c r="BY109" s="16">
        <v>0</v>
      </c>
      <c r="BZ109" s="16">
        <v>0</v>
      </c>
      <c r="CA109" s="16">
        <v>0</v>
      </c>
      <c r="CB109" s="16">
        <v>0</v>
      </c>
      <c r="CC109" s="16">
        <v>0</v>
      </c>
      <c r="CD109" s="16">
        <v>0</v>
      </c>
      <c r="CE109" s="16">
        <v>0</v>
      </c>
      <c r="CF109" s="27">
        <v>0</v>
      </c>
      <c r="CG109" s="27">
        <v>0</v>
      </c>
      <c r="CH109" s="27">
        <v>0</v>
      </c>
      <c r="CI109" s="27">
        <v>0</v>
      </c>
      <c r="CJ109" s="27">
        <v>0</v>
      </c>
      <c r="CK109" s="27">
        <v>0</v>
      </c>
      <c r="CL109" s="27">
        <v>0</v>
      </c>
      <c r="CM109" s="27">
        <v>0</v>
      </c>
      <c r="CN109" s="27">
        <v>0</v>
      </c>
      <c r="CO109" s="27">
        <v>0</v>
      </c>
      <c r="CP109" s="27">
        <v>0</v>
      </c>
      <c r="CQ109" s="27">
        <v>0</v>
      </c>
      <c r="CR109" s="27">
        <v>0</v>
      </c>
      <c r="CS109" s="27">
        <v>0</v>
      </c>
      <c r="CT109" s="27">
        <v>0</v>
      </c>
      <c r="CU109" s="27">
        <v>0</v>
      </c>
      <c r="CV109" s="27">
        <v>0</v>
      </c>
      <c r="CW109" s="27">
        <v>0</v>
      </c>
      <c r="CX109" s="27">
        <v>0</v>
      </c>
      <c r="CY109" s="27">
        <v>0</v>
      </c>
      <c r="CZ109" s="27">
        <v>0</v>
      </c>
      <c r="DA109" s="27">
        <v>0</v>
      </c>
      <c r="DB109" s="27">
        <v>0</v>
      </c>
      <c r="DC109" s="27">
        <v>0</v>
      </c>
      <c r="DD109" s="16">
        <v>0</v>
      </c>
      <c r="DE109" s="16">
        <v>0</v>
      </c>
      <c r="DF109" s="16">
        <v>0</v>
      </c>
      <c r="DG109" s="16">
        <v>0</v>
      </c>
      <c r="DH109" s="16">
        <v>0</v>
      </c>
      <c r="DI109" s="16">
        <v>0</v>
      </c>
      <c r="DJ109" s="13">
        <v>0</v>
      </c>
      <c r="DK109" s="13">
        <v>0</v>
      </c>
      <c r="DL109" s="13">
        <v>0</v>
      </c>
      <c r="DM109" s="13">
        <v>0</v>
      </c>
      <c r="DN109" s="13">
        <v>0</v>
      </c>
      <c r="DO109" s="13">
        <v>0</v>
      </c>
      <c r="DP109" s="13">
        <v>0</v>
      </c>
      <c r="DQ109" s="13">
        <v>0</v>
      </c>
      <c r="DR109" s="13">
        <v>0</v>
      </c>
      <c r="DS109" s="13">
        <v>0</v>
      </c>
      <c r="DT109" s="13">
        <v>0</v>
      </c>
      <c r="DU109" s="13">
        <v>0</v>
      </c>
      <c r="DV109" s="13">
        <v>0</v>
      </c>
      <c r="DW109" s="13">
        <v>0</v>
      </c>
      <c r="DX109" s="13">
        <v>0</v>
      </c>
      <c r="DY109" s="13">
        <v>0</v>
      </c>
      <c r="DZ109" s="13">
        <v>0</v>
      </c>
      <c r="EA109" s="13">
        <v>0</v>
      </c>
      <c r="EB109" s="13">
        <v>0</v>
      </c>
      <c r="EC109" s="13">
        <v>0</v>
      </c>
      <c r="ED109" s="13">
        <v>0</v>
      </c>
      <c r="EE109" s="13">
        <v>0</v>
      </c>
      <c r="EF109" s="13">
        <v>0</v>
      </c>
      <c r="EG109" s="13">
        <v>0</v>
      </c>
      <c r="EH109" s="13">
        <v>0</v>
      </c>
      <c r="EI109" s="13">
        <v>0</v>
      </c>
      <c r="EJ109" s="13">
        <v>0</v>
      </c>
      <c r="EK109" s="25">
        <f t="shared" si="6"/>
        <v>0</v>
      </c>
      <c r="EL109" s="13">
        <v>0</v>
      </c>
      <c r="EM109" s="25">
        <f t="shared" si="7"/>
        <v>0</v>
      </c>
      <c r="EN109" s="13">
        <v>0</v>
      </c>
      <c r="EO109" s="25">
        <f t="shared" si="8"/>
        <v>0</v>
      </c>
      <c r="EP109" s="13">
        <v>0</v>
      </c>
      <c r="EQ109" s="25">
        <f t="shared" si="9"/>
        <v>0</v>
      </c>
      <c r="ER109" s="13">
        <v>0</v>
      </c>
      <c r="ES109" s="25">
        <f t="shared" si="10"/>
        <v>0</v>
      </c>
      <c r="ET109" s="13">
        <v>0</v>
      </c>
      <c r="EU109" s="25">
        <f t="shared" si="11"/>
        <v>0</v>
      </c>
      <c r="EV109" s="13">
        <v>0</v>
      </c>
      <c r="EW109" s="13">
        <v>0</v>
      </c>
      <c r="EX109" s="13">
        <v>0</v>
      </c>
      <c r="EY109" s="13">
        <v>0</v>
      </c>
      <c r="EZ109" s="13">
        <v>0</v>
      </c>
      <c r="FA109" s="13">
        <v>0</v>
      </c>
      <c r="FB109" s="13">
        <v>0</v>
      </c>
      <c r="FC109" s="13">
        <v>0</v>
      </c>
      <c r="FD109" s="13">
        <v>0</v>
      </c>
      <c r="FE109" s="13">
        <v>0</v>
      </c>
      <c r="FF109" s="13">
        <v>0</v>
      </c>
      <c r="FG109" s="13">
        <v>0</v>
      </c>
      <c r="FH109" s="13">
        <v>0</v>
      </c>
      <c r="FI109" s="13">
        <v>0</v>
      </c>
    </row>
    <row r="110" spans="1:165" x14ac:dyDescent="0.4">
      <c r="A110" s="35" t="s">
        <v>30</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v>0</v>
      </c>
      <c r="BW110" s="16">
        <v>0</v>
      </c>
      <c r="BX110" s="16">
        <v>0</v>
      </c>
      <c r="BY110" s="16">
        <v>0</v>
      </c>
      <c r="BZ110" s="16">
        <v>0</v>
      </c>
      <c r="CA110" s="16">
        <v>0</v>
      </c>
      <c r="CB110" s="16">
        <v>0</v>
      </c>
      <c r="CC110" s="16">
        <v>0</v>
      </c>
      <c r="CD110" s="16">
        <v>0</v>
      </c>
      <c r="CE110" s="16">
        <v>0</v>
      </c>
      <c r="CF110" s="27">
        <v>0</v>
      </c>
      <c r="CG110" s="27">
        <v>0</v>
      </c>
      <c r="CH110" s="27">
        <v>0</v>
      </c>
      <c r="CI110" s="27">
        <v>0</v>
      </c>
      <c r="CJ110" s="27">
        <v>0</v>
      </c>
      <c r="CK110" s="27">
        <v>0</v>
      </c>
      <c r="CL110" s="27">
        <v>0</v>
      </c>
      <c r="CM110" s="27">
        <v>0</v>
      </c>
      <c r="CN110" s="27">
        <v>0</v>
      </c>
      <c r="CO110" s="27">
        <v>0</v>
      </c>
      <c r="CP110" s="27">
        <v>0</v>
      </c>
      <c r="CQ110" s="27">
        <v>0</v>
      </c>
      <c r="CR110" s="27">
        <v>0</v>
      </c>
      <c r="CS110" s="27">
        <v>0</v>
      </c>
      <c r="CT110" s="27">
        <v>0</v>
      </c>
      <c r="CU110" s="27">
        <v>0</v>
      </c>
      <c r="CV110" s="27">
        <v>0</v>
      </c>
      <c r="CW110" s="27">
        <v>0</v>
      </c>
      <c r="CX110" s="27">
        <v>0</v>
      </c>
      <c r="CY110" s="27">
        <v>0</v>
      </c>
      <c r="CZ110" s="27">
        <v>0</v>
      </c>
      <c r="DA110" s="27">
        <v>0</v>
      </c>
      <c r="DB110" s="27">
        <v>0</v>
      </c>
      <c r="DC110" s="27">
        <v>0</v>
      </c>
      <c r="DD110" s="16">
        <v>0</v>
      </c>
      <c r="DE110" s="16">
        <v>0</v>
      </c>
      <c r="DF110" s="16">
        <v>0</v>
      </c>
      <c r="DG110" s="16">
        <v>0</v>
      </c>
      <c r="DH110" s="16">
        <v>0</v>
      </c>
      <c r="DI110" s="16">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25">
        <f t="shared" si="6"/>
        <v>0</v>
      </c>
      <c r="EL110" s="13">
        <v>0</v>
      </c>
      <c r="EM110" s="25">
        <f t="shared" si="7"/>
        <v>0</v>
      </c>
      <c r="EN110" s="13">
        <v>0</v>
      </c>
      <c r="EO110" s="25">
        <f t="shared" si="8"/>
        <v>0</v>
      </c>
      <c r="EP110" s="13">
        <v>0</v>
      </c>
      <c r="EQ110" s="25">
        <f t="shared" si="9"/>
        <v>0</v>
      </c>
      <c r="ER110" s="13">
        <v>0</v>
      </c>
      <c r="ES110" s="25">
        <f t="shared" si="10"/>
        <v>0</v>
      </c>
      <c r="ET110" s="13">
        <v>0</v>
      </c>
      <c r="EU110" s="25">
        <f t="shared" si="11"/>
        <v>0</v>
      </c>
      <c r="EV110" s="13">
        <v>0</v>
      </c>
      <c r="EW110" s="13">
        <v>0</v>
      </c>
      <c r="EX110" s="13">
        <v>0</v>
      </c>
      <c r="EY110" s="13">
        <v>0</v>
      </c>
      <c r="EZ110" s="13">
        <v>0</v>
      </c>
      <c r="FA110" s="13">
        <v>0</v>
      </c>
      <c r="FB110" s="13">
        <v>0</v>
      </c>
      <c r="FC110" s="13">
        <v>0</v>
      </c>
      <c r="FD110" s="13">
        <v>0</v>
      </c>
      <c r="FE110" s="13">
        <v>0</v>
      </c>
      <c r="FF110" s="13">
        <v>0</v>
      </c>
      <c r="FG110" s="13">
        <v>0</v>
      </c>
      <c r="FH110" s="13">
        <v>0</v>
      </c>
      <c r="FI110" s="13">
        <v>0</v>
      </c>
    </row>
    <row r="111" spans="1:165" x14ac:dyDescent="0.4">
      <c r="A111" s="34" t="s">
        <v>5</v>
      </c>
      <c r="B111" s="16">
        <v>44487</v>
      </c>
      <c r="C111" s="16">
        <v>43981</v>
      </c>
      <c r="D111" s="16">
        <v>44844</v>
      </c>
      <c r="E111" s="16">
        <v>45508</v>
      </c>
      <c r="F111" s="16">
        <v>45889</v>
      </c>
      <c r="G111" s="16">
        <v>46374</v>
      </c>
      <c r="H111" s="16">
        <v>48036</v>
      </c>
      <c r="I111" s="16">
        <v>61214</v>
      </c>
      <c r="J111" s="16">
        <v>61750</v>
      </c>
      <c r="K111" s="16">
        <v>60199</v>
      </c>
      <c r="L111" s="16">
        <v>59655</v>
      </c>
      <c r="M111" s="16">
        <v>61649</v>
      </c>
      <c r="N111" s="16">
        <v>60898</v>
      </c>
      <c r="O111" s="16">
        <v>65578</v>
      </c>
      <c r="P111" s="16">
        <v>67070</v>
      </c>
      <c r="Q111" s="16">
        <v>80641</v>
      </c>
      <c r="R111" s="16">
        <v>80666</v>
      </c>
      <c r="S111" s="16">
        <v>95617</v>
      </c>
      <c r="T111" s="16">
        <v>92788</v>
      </c>
      <c r="U111" s="16">
        <v>98605</v>
      </c>
      <c r="V111" s="16">
        <v>100158</v>
      </c>
      <c r="W111" s="16">
        <v>108572</v>
      </c>
      <c r="X111" s="16">
        <v>119617</v>
      </c>
      <c r="Y111" s="16">
        <v>131448</v>
      </c>
      <c r="Z111" s="16">
        <v>151449</v>
      </c>
      <c r="AA111" s="16">
        <v>184469</v>
      </c>
      <c r="AB111" s="16">
        <v>132757</v>
      </c>
      <c r="AC111" s="16">
        <v>128814</v>
      </c>
      <c r="AD111" s="16">
        <v>115087</v>
      </c>
      <c r="AE111" s="16">
        <v>119659</v>
      </c>
      <c r="AF111" s="16">
        <v>127059</v>
      </c>
      <c r="AG111" s="16">
        <v>144249</v>
      </c>
      <c r="AH111" s="16">
        <v>162816</v>
      </c>
      <c r="AI111" s="16">
        <v>162202</v>
      </c>
      <c r="AJ111" s="16">
        <v>157111</v>
      </c>
      <c r="AK111" s="16">
        <v>162188</v>
      </c>
      <c r="AL111" s="16">
        <v>178545</v>
      </c>
      <c r="AM111" s="16">
        <v>189524</v>
      </c>
      <c r="AN111" s="16">
        <v>183742</v>
      </c>
      <c r="AO111" s="16">
        <v>165420</v>
      </c>
      <c r="AP111" s="16">
        <v>159265</v>
      </c>
      <c r="AQ111" s="16">
        <v>163634</v>
      </c>
      <c r="AR111" s="16">
        <v>160018</v>
      </c>
      <c r="AS111" s="16">
        <v>204318</v>
      </c>
      <c r="AT111" s="16">
        <v>200691</v>
      </c>
      <c r="AU111" s="16">
        <v>195390</v>
      </c>
      <c r="AV111" s="16">
        <v>194578</v>
      </c>
      <c r="AW111" s="16">
        <v>200242</v>
      </c>
      <c r="AX111" s="16">
        <v>187113</v>
      </c>
      <c r="AY111" s="16">
        <v>186243</v>
      </c>
      <c r="AZ111" s="16">
        <v>198752</v>
      </c>
      <c r="BA111" s="16">
        <v>193548</v>
      </c>
      <c r="BB111" s="16">
        <v>195723</v>
      </c>
      <c r="BC111" s="16">
        <v>174912</v>
      </c>
      <c r="BD111" s="16">
        <v>191809</v>
      </c>
      <c r="BE111" s="16">
        <v>193464</v>
      </c>
      <c r="BF111" s="16">
        <v>200774</v>
      </c>
      <c r="BG111" s="16">
        <v>199654</v>
      </c>
      <c r="BH111" s="16">
        <v>185935</v>
      </c>
      <c r="BI111" s="16">
        <v>186914</v>
      </c>
      <c r="BJ111" s="16">
        <v>185583</v>
      </c>
      <c r="BK111" s="16">
        <v>181309</v>
      </c>
      <c r="BL111" s="16">
        <v>179067</v>
      </c>
      <c r="BM111" s="16">
        <v>184134</v>
      </c>
      <c r="BN111" s="16">
        <v>198637</v>
      </c>
      <c r="BO111" s="16">
        <v>200600</v>
      </c>
      <c r="BP111" s="16">
        <v>182132</v>
      </c>
      <c r="BQ111" s="16">
        <v>183044</v>
      </c>
      <c r="BR111" s="16">
        <v>197266</v>
      </c>
      <c r="BS111" s="16">
        <v>191071</v>
      </c>
      <c r="BT111" s="16">
        <v>190392</v>
      </c>
      <c r="BU111" s="16">
        <v>192945</v>
      </c>
      <c r="BV111" s="16">
        <v>202299</v>
      </c>
      <c r="BW111" s="16">
        <v>192725</v>
      </c>
      <c r="BX111" s="16">
        <v>192757</v>
      </c>
      <c r="BY111" s="16">
        <v>190015</v>
      </c>
      <c r="BZ111" s="16">
        <v>189301</v>
      </c>
      <c r="CA111" s="16">
        <v>190961</v>
      </c>
      <c r="CB111" s="16">
        <v>185946</v>
      </c>
      <c r="CC111" s="16">
        <v>188175</v>
      </c>
      <c r="CD111" s="16">
        <v>196677</v>
      </c>
      <c r="CE111" s="16">
        <v>189826</v>
      </c>
      <c r="CF111" s="16">
        <v>189622</v>
      </c>
      <c r="CG111" s="16">
        <v>189978</v>
      </c>
      <c r="CH111" s="16">
        <v>184682</v>
      </c>
      <c r="CI111" s="16">
        <v>187834</v>
      </c>
      <c r="CJ111" s="16">
        <v>195044</v>
      </c>
      <c r="CK111" s="16">
        <v>230668</v>
      </c>
      <c r="CL111" s="16">
        <v>220873</v>
      </c>
      <c r="CM111" s="16">
        <v>186773</v>
      </c>
      <c r="CN111" s="16">
        <v>186864</v>
      </c>
      <c r="CO111" s="16">
        <v>194285</v>
      </c>
      <c r="CP111" s="16">
        <v>196680</v>
      </c>
      <c r="CQ111" s="16">
        <v>208813</v>
      </c>
      <c r="CR111" s="16">
        <v>208643</v>
      </c>
      <c r="CS111" s="16">
        <v>199493</v>
      </c>
      <c r="CT111" s="16">
        <v>220320</v>
      </c>
      <c r="CU111" s="16">
        <v>226228</v>
      </c>
      <c r="CV111" s="16">
        <v>218138</v>
      </c>
      <c r="CW111" s="16">
        <v>224500</v>
      </c>
      <c r="CX111" s="16">
        <v>220390</v>
      </c>
      <c r="CY111" s="16">
        <v>227363</v>
      </c>
      <c r="CZ111" s="16">
        <v>222826</v>
      </c>
      <c r="DA111" s="16">
        <v>226414</v>
      </c>
      <c r="DB111" s="16">
        <v>228381</v>
      </c>
      <c r="DC111" s="16">
        <v>226962</v>
      </c>
      <c r="DD111" s="16">
        <v>219882</v>
      </c>
      <c r="DE111" s="16">
        <v>235128</v>
      </c>
      <c r="DF111" s="16">
        <v>233859</v>
      </c>
      <c r="DG111" s="16">
        <v>240627</v>
      </c>
      <c r="DH111" s="16">
        <v>264632</v>
      </c>
      <c r="DI111" s="7">
        <v>260210</v>
      </c>
      <c r="DJ111" s="13">
        <v>218012</v>
      </c>
      <c r="DK111" s="13">
        <v>193261</v>
      </c>
      <c r="DL111" s="13">
        <v>162103</v>
      </c>
      <c r="DM111" s="13">
        <v>195022</v>
      </c>
      <c r="DN111" s="13">
        <v>257282</v>
      </c>
      <c r="DO111" s="13">
        <v>249434</v>
      </c>
      <c r="DP111" s="13">
        <v>692023</v>
      </c>
      <c r="DQ111" s="13">
        <v>831873</v>
      </c>
      <c r="DR111" s="13">
        <v>1155055</v>
      </c>
      <c r="DS111" s="13">
        <v>1319438</v>
      </c>
      <c r="DT111" s="13">
        <v>1537558</v>
      </c>
      <c r="DU111" s="13">
        <v>1748746</v>
      </c>
      <c r="DV111" s="13">
        <v>1800052</v>
      </c>
      <c r="DW111" s="13">
        <v>1799200</v>
      </c>
      <c r="DX111" s="13">
        <v>1976616</v>
      </c>
      <c r="DY111" s="13">
        <v>2082351</v>
      </c>
      <c r="DZ111" s="13">
        <v>2170223</v>
      </c>
      <c r="EA111" s="13">
        <v>2231351</v>
      </c>
      <c r="EB111" s="13">
        <v>2214597</v>
      </c>
      <c r="EC111" s="13">
        <v>2153837</v>
      </c>
      <c r="ED111" s="13">
        <v>2358533</v>
      </c>
      <c r="EE111" s="13">
        <v>2316453</v>
      </c>
      <c r="EF111" s="13">
        <v>2383693</v>
      </c>
      <c r="EG111" s="13">
        <v>2459461</v>
      </c>
      <c r="EH111" s="13">
        <v>2427371</v>
      </c>
      <c r="EI111" s="13">
        <v>2317083</v>
      </c>
      <c r="EJ111" s="13">
        <v>2182733</v>
      </c>
      <c r="EK111" s="25">
        <f t="shared" si="6"/>
        <v>-10765</v>
      </c>
      <c r="EL111" s="13">
        <v>2171968</v>
      </c>
      <c r="EM111" s="25">
        <f t="shared" si="7"/>
        <v>29227</v>
      </c>
      <c r="EN111" s="13">
        <v>2201195</v>
      </c>
      <c r="EO111" s="25">
        <f t="shared" si="8"/>
        <v>58502</v>
      </c>
      <c r="EP111" s="13">
        <v>2259697</v>
      </c>
      <c r="EQ111" s="25">
        <f t="shared" si="9"/>
        <v>-7950</v>
      </c>
      <c r="ER111" s="13">
        <v>2251747</v>
      </c>
      <c r="ES111" s="25">
        <f t="shared" si="10"/>
        <v>214336</v>
      </c>
      <c r="ET111" s="13">
        <v>2466083</v>
      </c>
      <c r="EU111" s="25">
        <f t="shared" si="11"/>
        <v>-55085</v>
      </c>
      <c r="EV111" s="13">
        <v>2410998</v>
      </c>
      <c r="EW111" s="13">
        <v>2354933</v>
      </c>
      <c r="EX111" s="13">
        <v>2196205</v>
      </c>
      <c r="EY111" s="13">
        <v>2058324</v>
      </c>
      <c r="EZ111" s="13">
        <v>1919364</v>
      </c>
      <c r="FA111" s="13">
        <v>2018231</v>
      </c>
      <c r="FB111" s="13">
        <v>2035295</v>
      </c>
      <c r="FC111" s="13">
        <v>2194104</v>
      </c>
      <c r="FD111" s="13">
        <v>2199678</v>
      </c>
      <c r="FE111" s="13">
        <v>2359666</v>
      </c>
      <c r="FF111" s="13">
        <v>2312816</v>
      </c>
      <c r="FG111" s="13">
        <v>2266203</v>
      </c>
      <c r="FH111" s="13">
        <v>1886489</v>
      </c>
      <c r="FI111" s="13">
        <v>1801515</v>
      </c>
    </row>
    <row r="112" spans="1:165" x14ac:dyDescent="0.4">
      <c r="A112" s="35" t="s">
        <v>13</v>
      </c>
      <c r="B112" s="16">
        <v>0</v>
      </c>
      <c r="C112" s="16">
        <v>0</v>
      </c>
      <c r="D112" s="16">
        <v>0</v>
      </c>
      <c r="E112" s="16">
        <v>0</v>
      </c>
      <c r="F112" s="16">
        <v>0</v>
      </c>
      <c r="G112" s="16">
        <v>0</v>
      </c>
      <c r="H112" s="16">
        <v>0</v>
      </c>
      <c r="I112" s="16">
        <v>0</v>
      </c>
      <c r="J112" s="16">
        <v>0</v>
      </c>
      <c r="K112" s="16">
        <v>0</v>
      </c>
      <c r="L112" s="16">
        <v>0</v>
      </c>
      <c r="M112" s="16">
        <v>0</v>
      </c>
      <c r="N112" s="16">
        <v>0</v>
      </c>
      <c r="O112" s="16">
        <v>0</v>
      </c>
      <c r="P112" s="16">
        <v>0</v>
      </c>
      <c r="Q112" s="16">
        <v>0</v>
      </c>
      <c r="R112" s="16">
        <v>0</v>
      </c>
      <c r="S112" s="16">
        <v>0</v>
      </c>
      <c r="T112" s="16">
        <v>0</v>
      </c>
      <c r="U112" s="16">
        <v>0</v>
      </c>
      <c r="V112" s="16">
        <v>0</v>
      </c>
      <c r="W112" s="16">
        <v>0</v>
      </c>
      <c r="X112" s="16">
        <v>0</v>
      </c>
      <c r="Y112" s="16">
        <v>0</v>
      </c>
      <c r="Z112" s="16">
        <v>0</v>
      </c>
      <c r="AA112" s="16">
        <v>0</v>
      </c>
      <c r="AB112" s="16">
        <v>0</v>
      </c>
      <c r="AC112" s="16">
        <v>0</v>
      </c>
      <c r="AD112" s="16">
        <v>0</v>
      </c>
      <c r="AE112" s="16">
        <v>0</v>
      </c>
      <c r="AF112" s="16">
        <v>0</v>
      </c>
      <c r="AG112" s="16">
        <v>0</v>
      </c>
      <c r="AH112" s="16">
        <v>0</v>
      </c>
      <c r="AI112" s="16">
        <v>0</v>
      </c>
      <c r="AJ112" s="16">
        <v>0</v>
      </c>
      <c r="AK112" s="16">
        <v>0</v>
      </c>
      <c r="AL112" s="16">
        <v>0</v>
      </c>
      <c r="AM112" s="16">
        <v>0</v>
      </c>
      <c r="AN112" s="16">
        <v>0</v>
      </c>
      <c r="AO112" s="16">
        <v>0</v>
      </c>
      <c r="AP112" s="16">
        <v>0</v>
      </c>
      <c r="AQ112" s="16">
        <v>0</v>
      </c>
      <c r="AR112" s="16">
        <v>0</v>
      </c>
      <c r="AS112" s="16">
        <v>0</v>
      </c>
      <c r="AT112" s="16">
        <v>0</v>
      </c>
      <c r="AU112" s="16">
        <v>0</v>
      </c>
      <c r="AV112" s="16">
        <v>0</v>
      </c>
      <c r="AW112" s="16">
        <v>0</v>
      </c>
      <c r="AX112" s="16">
        <v>0</v>
      </c>
      <c r="AY112" s="16">
        <v>0</v>
      </c>
      <c r="AZ112" s="16">
        <v>0</v>
      </c>
      <c r="BA112" s="16">
        <v>0</v>
      </c>
      <c r="BB112" s="16">
        <v>0</v>
      </c>
      <c r="BC112" s="16">
        <v>0</v>
      </c>
      <c r="BD112" s="16">
        <v>0</v>
      </c>
      <c r="BE112" s="16">
        <v>0</v>
      </c>
      <c r="BF112" s="16">
        <v>0</v>
      </c>
      <c r="BG112" s="16">
        <v>0</v>
      </c>
      <c r="BH112" s="16">
        <v>0</v>
      </c>
      <c r="BI112" s="16">
        <v>0</v>
      </c>
      <c r="BJ112" s="16">
        <v>0</v>
      </c>
      <c r="BK112" s="16">
        <v>0</v>
      </c>
      <c r="BL112" s="16">
        <v>0</v>
      </c>
      <c r="BM112" s="16">
        <v>0</v>
      </c>
      <c r="BN112" s="16">
        <v>0</v>
      </c>
      <c r="BO112" s="16">
        <v>0</v>
      </c>
      <c r="BP112" s="16">
        <v>0</v>
      </c>
      <c r="BQ112" s="16">
        <v>0</v>
      </c>
      <c r="BR112" s="16">
        <v>0</v>
      </c>
      <c r="BS112" s="16">
        <v>0</v>
      </c>
      <c r="BT112" s="16">
        <v>0</v>
      </c>
      <c r="BU112" s="16">
        <v>0</v>
      </c>
      <c r="BV112" s="16">
        <v>0</v>
      </c>
      <c r="BW112" s="16">
        <v>0</v>
      </c>
      <c r="BX112" s="16">
        <v>0</v>
      </c>
      <c r="BY112" s="16">
        <v>0</v>
      </c>
      <c r="BZ112" s="16">
        <v>0</v>
      </c>
      <c r="CA112" s="16">
        <v>0</v>
      </c>
      <c r="CB112" s="16">
        <v>0</v>
      </c>
      <c r="CC112" s="16">
        <v>0</v>
      </c>
      <c r="CD112" s="16">
        <v>0</v>
      </c>
      <c r="CE112" s="16">
        <v>0</v>
      </c>
      <c r="CF112" s="27">
        <v>0</v>
      </c>
      <c r="CG112" s="27">
        <v>0</v>
      </c>
      <c r="CH112" s="27">
        <v>0</v>
      </c>
      <c r="CI112" s="27">
        <v>0</v>
      </c>
      <c r="CJ112" s="27">
        <v>0</v>
      </c>
      <c r="CK112" s="27">
        <v>0</v>
      </c>
      <c r="CL112" s="27">
        <v>0</v>
      </c>
      <c r="CM112" s="27">
        <v>0</v>
      </c>
      <c r="CN112" s="27">
        <v>0</v>
      </c>
      <c r="CO112" s="27">
        <v>0</v>
      </c>
      <c r="CP112" s="27">
        <v>0</v>
      </c>
      <c r="CQ112" s="27">
        <v>0</v>
      </c>
      <c r="CR112" s="27">
        <v>0</v>
      </c>
      <c r="CS112" s="27">
        <v>0</v>
      </c>
      <c r="CT112" s="27">
        <v>0</v>
      </c>
      <c r="CU112" s="27">
        <v>0</v>
      </c>
      <c r="CV112" s="27">
        <v>0</v>
      </c>
      <c r="CW112" s="27">
        <v>0</v>
      </c>
      <c r="CX112" s="27">
        <v>0</v>
      </c>
      <c r="CY112" s="27">
        <v>0</v>
      </c>
      <c r="CZ112" s="27">
        <v>0</v>
      </c>
      <c r="DA112" s="27">
        <v>0</v>
      </c>
      <c r="DB112" s="27">
        <v>0</v>
      </c>
      <c r="DC112" s="27">
        <v>0</v>
      </c>
      <c r="DD112" s="16">
        <v>0</v>
      </c>
      <c r="DE112" s="16">
        <v>0</v>
      </c>
      <c r="DF112" s="16">
        <v>0</v>
      </c>
      <c r="DG112" s="16">
        <v>0</v>
      </c>
      <c r="DH112" s="16">
        <v>0</v>
      </c>
      <c r="DI112" s="16">
        <v>0</v>
      </c>
      <c r="DJ112" s="13">
        <v>0</v>
      </c>
      <c r="DK112" s="13">
        <v>0</v>
      </c>
      <c r="DL112" s="13">
        <v>0</v>
      </c>
      <c r="DM112" s="13">
        <v>0</v>
      </c>
      <c r="DN112" s="13">
        <v>0</v>
      </c>
      <c r="DO112" s="13">
        <v>0</v>
      </c>
      <c r="DP112" s="13">
        <v>0</v>
      </c>
      <c r="DQ112" s="13">
        <v>0</v>
      </c>
      <c r="DR112" s="13">
        <v>26583</v>
      </c>
      <c r="DS112" s="13">
        <v>26605</v>
      </c>
      <c r="DT112" s="13">
        <v>28824</v>
      </c>
      <c r="DU112" s="13">
        <v>29526</v>
      </c>
      <c r="DV112" s="13">
        <v>0</v>
      </c>
      <c r="DW112" s="13">
        <v>0</v>
      </c>
      <c r="DX112" s="13">
        <v>47</v>
      </c>
      <c r="DY112" s="13">
        <v>50</v>
      </c>
      <c r="DZ112" s="13">
        <v>52</v>
      </c>
      <c r="EA112" s="13">
        <v>53</v>
      </c>
      <c r="EB112" s="13">
        <v>50</v>
      </c>
      <c r="EC112" s="13">
        <v>22044</v>
      </c>
      <c r="ED112" s="13">
        <v>22410</v>
      </c>
      <c r="EE112" s="13">
        <v>22554</v>
      </c>
      <c r="EF112" s="13">
        <v>23236</v>
      </c>
      <c r="EG112" s="13">
        <v>23564</v>
      </c>
      <c r="EH112" s="13">
        <v>23797</v>
      </c>
      <c r="EI112" s="13">
        <v>0</v>
      </c>
      <c r="EJ112" s="13">
        <v>0</v>
      </c>
      <c r="EK112" s="25">
        <f t="shared" si="6"/>
        <v>0</v>
      </c>
      <c r="EL112" s="13">
        <v>0</v>
      </c>
      <c r="EM112" s="25">
        <f t="shared" si="7"/>
        <v>0</v>
      </c>
      <c r="EN112" s="13">
        <v>0</v>
      </c>
      <c r="EO112" s="25">
        <f t="shared" si="8"/>
        <v>0</v>
      </c>
      <c r="EP112" s="13">
        <v>0</v>
      </c>
      <c r="EQ112" s="25">
        <f t="shared" si="9"/>
        <v>679</v>
      </c>
      <c r="ER112" s="13">
        <v>679</v>
      </c>
      <c r="ES112" s="25">
        <f t="shared" si="10"/>
        <v>-679</v>
      </c>
      <c r="ET112" s="13">
        <v>0</v>
      </c>
      <c r="EU112" s="25">
        <f t="shared" si="11"/>
        <v>0</v>
      </c>
      <c r="EV112" s="13">
        <v>0</v>
      </c>
      <c r="EW112" s="13">
        <v>715</v>
      </c>
      <c r="EX112" s="13">
        <v>7302</v>
      </c>
      <c r="EY112" s="13">
        <v>31998</v>
      </c>
      <c r="EZ112" s="13">
        <v>31447</v>
      </c>
      <c r="FA112" s="13">
        <v>30993</v>
      </c>
      <c r="FB112" s="13">
        <v>30958</v>
      </c>
      <c r="FC112" s="13">
        <v>83318</v>
      </c>
      <c r="FD112" s="13">
        <v>83447</v>
      </c>
      <c r="FE112" s="13">
        <v>85342</v>
      </c>
      <c r="FF112" s="13">
        <v>82535</v>
      </c>
      <c r="FG112" s="13">
        <v>80573</v>
      </c>
      <c r="FH112" s="13">
        <v>81755</v>
      </c>
      <c r="FI112" s="13">
        <v>79242</v>
      </c>
    </row>
    <row r="113" spans="1:165" x14ac:dyDescent="0.4">
      <c r="A113" s="35" t="s">
        <v>14</v>
      </c>
      <c r="B113" s="16">
        <v>44487</v>
      </c>
      <c r="C113" s="16">
        <v>43981</v>
      </c>
      <c r="D113" s="16">
        <v>44844</v>
      </c>
      <c r="E113" s="16">
        <v>45508</v>
      </c>
      <c r="F113" s="16">
        <v>45889</v>
      </c>
      <c r="G113" s="16">
        <v>46374</v>
      </c>
      <c r="H113" s="16">
        <v>48036</v>
      </c>
      <c r="I113" s="16">
        <v>61214</v>
      </c>
      <c r="J113" s="16">
        <v>61750</v>
      </c>
      <c r="K113" s="16">
        <v>60199</v>
      </c>
      <c r="L113" s="16">
        <v>59655</v>
      </c>
      <c r="M113" s="16">
        <v>61649</v>
      </c>
      <c r="N113" s="16">
        <v>60898</v>
      </c>
      <c r="O113" s="16">
        <v>65578</v>
      </c>
      <c r="P113" s="16">
        <v>67070</v>
      </c>
      <c r="Q113" s="16">
        <v>80641</v>
      </c>
      <c r="R113" s="16">
        <v>80666</v>
      </c>
      <c r="S113" s="16">
        <v>95617</v>
      </c>
      <c r="T113" s="16">
        <v>92788</v>
      </c>
      <c r="U113" s="16">
        <v>98605</v>
      </c>
      <c r="V113" s="16">
        <v>100158</v>
      </c>
      <c r="W113" s="16">
        <v>108572</v>
      </c>
      <c r="X113" s="16">
        <v>119617</v>
      </c>
      <c r="Y113" s="16">
        <v>131448</v>
      </c>
      <c r="Z113" s="16">
        <v>151449</v>
      </c>
      <c r="AA113" s="16">
        <v>184469</v>
      </c>
      <c r="AB113" s="16">
        <v>132757</v>
      </c>
      <c r="AC113" s="16">
        <v>128814</v>
      </c>
      <c r="AD113" s="16">
        <v>115087</v>
      </c>
      <c r="AE113" s="16">
        <v>119659</v>
      </c>
      <c r="AF113" s="16">
        <v>127059</v>
      </c>
      <c r="AG113" s="16">
        <v>144249</v>
      </c>
      <c r="AH113" s="16">
        <v>162816</v>
      </c>
      <c r="AI113" s="16">
        <v>162202</v>
      </c>
      <c r="AJ113" s="16">
        <v>157111</v>
      </c>
      <c r="AK113" s="16">
        <v>162188</v>
      </c>
      <c r="AL113" s="16">
        <v>178545</v>
      </c>
      <c r="AM113" s="16">
        <v>189524</v>
      </c>
      <c r="AN113" s="16">
        <v>183742</v>
      </c>
      <c r="AO113" s="16">
        <v>165420</v>
      </c>
      <c r="AP113" s="16">
        <v>159265</v>
      </c>
      <c r="AQ113" s="16">
        <v>163634</v>
      </c>
      <c r="AR113" s="16">
        <v>160018</v>
      </c>
      <c r="AS113" s="16">
        <v>204318</v>
      </c>
      <c r="AT113" s="16">
        <v>200691</v>
      </c>
      <c r="AU113" s="16">
        <v>195390</v>
      </c>
      <c r="AV113" s="16">
        <v>194578</v>
      </c>
      <c r="AW113" s="16">
        <v>200242</v>
      </c>
      <c r="AX113" s="16">
        <v>187113</v>
      </c>
      <c r="AY113" s="16">
        <v>186243</v>
      </c>
      <c r="AZ113" s="16">
        <v>198752</v>
      </c>
      <c r="BA113" s="16">
        <v>193548</v>
      </c>
      <c r="BB113" s="16">
        <v>195723</v>
      </c>
      <c r="BC113" s="16">
        <v>174912</v>
      </c>
      <c r="BD113" s="16">
        <v>191809</v>
      </c>
      <c r="BE113" s="16">
        <v>193464</v>
      </c>
      <c r="BF113" s="16">
        <v>200774</v>
      </c>
      <c r="BG113" s="16">
        <v>199654</v>
      </c>
      <c r="BH113" s="16">
        <v>185935</v>
      </c>
      <c r="BI113" s="16">
        <v>186914</v>
      </c>
      <c r="BJ113" s="16">
        <v>185583</v>
      </c>
      <c r="BK113" s="16">
        <v>181309</v>
      </c>
      <c r="BL113" s="16">
        <v>179067</v>
      </c>
      <c r="BM113" s="16">
        <v>184134</v>
      </c>
      <c r="BN113" s="16">
        <v>198637</v>
      </c>
      <c r="BO113" s="16">
        <v>200600</v>
      </c>
      <c r="BP113" s="16">
        <v>182132</v>
      </c>
      <c r="BQ113" s="16">
        <v>183044</v>
      </c>
      <c r="BR113" s="16">
        <v>197266</v>
      </c>
      <c r="BS113" s="16">
        <v>191071</v>
      </c>
      <c r="BT113" s="16">
        <v>190392</v>
      </c>
      <c r="BU113" s="16">
        <v>192945</v>
      </c>
      <c r="BV113" s="16">
        <v>202299</v>
      </c>
      <c r="BW113" s="16">
        <v>192725</v>
      </c>
      <c r="BX113" s="16">
        <v>192757</v>
      </c>
      <c r="BY113" s="16">
        <v>190015</v>
      </c>
      <c r="BZ113" s="16">
        <v>189301</v>
      </c>
      <c r="CA113" s="16">
        <v>190961</v>
      </c>
      <c r="CB113" s="16">
        <v>185946</v>
      </c>
      <c r="CC113" s="16">
        <v>188175</v>
      </c>
      <c r="CD113" s="16">
        <v>196677</v>
      </c>
      <c r="CE113" s="16">
        <v>189826</v>
      </c>
      <c r="CF113" s="16">
        <v>189622</v>
      </c>
      <c r="CG113" s="16">
        <v>189978</v>
      </c>
      <c r="CH113" s="16">
        <v>184682</v>
      </c>
      <c r="CI113" s="16">
        <v>187834</v>
      </c>
      <c r="CJ113" s="16">
        <v>195044</v>
      </c>
      <c r="CK113" s="16">
        <v>230668</v>
      </c>
      <c r="CL113" s="16">
        <v>220873</v>
      </c>
      <c r="CM113" s="16">
        <v>186773</v>
      </c>
      <c r="CN113" s="16">
        <v>186864</v>
      </c>
      <c r="CO113" s="16">
        <v>194285</v>
      </c>
      <c r="CP113" s="16">
        <v>196680</v>
      </c>
      <c r="CQ113" s="16">
        <v>208813</v>
      </c>
      <c r="CR113" s="16">
        <v>208643</v>
      </c>
      <c r="CS113" s="16">
        <v>199493</v>
      </c>
      <c r="CT113" s="16">
        <v>220320</v>
      </c>
      <c r="CU113" s="16">
        <v>226228</v>
      </c>
      <c r="CV113" s="16">
        <v>218138</v>
      </c>
      <c r="CW113" s="16">
        <v>224500</v>
      </c>
      <c r="CX113" s="16">
        <v>220390</v>
      </c>
      <c r="CY113" s="16">
        <v>227363</v>
      </c>
      <c r="CZ113" s="16">
        <v>222826</v>
      </c>
      <c r="DA113" s="16">
        <v>226414</v>
      </c>
      <c r="DB113" s="16">
        <v>228381</v>
      </c>
      <c r="DC113" s="16">
        <v>226962</v>
      </c>
      <c r="DD113" s="16">
        <v>219882</v>
      </c>
      <c r="DE113" s="16">
        <v>235128</v>
      </c>
      <c r="DF113" s="16">
        <v>233859</v>
      </c>
      <c r="DG113" s="16">
        <v>240627</v>
      </c>
      <c r="DH113" s="16">
        <v>264632</v>
      </c>
      <c r="DI113" s="7">
        <v>260210</v>
      </c>
      <c r="DJ113" s="13">
        <v>218012</v>
      </c>
      <c r="DK113" s="13">
        <v>193261</v>
      </c>
      <c r="DL113" s="13">
        <v>162103</v>
      </c>
      <c r="DM113" s="13">
        <v>195022</v>
      </c>
      <c r="DN113" s="13">
        <v>257282</v>
      </c>
      <c r="DO113" s="13">
        <v>249434</v>
      </c>
      <c r="DP113" s="13">
        <v>692023</v>
      </c>
      <c r="DQ113" s="13">
        <v>831873</v>
      </c>
      <c r="DR113" s="13">
        <v>1128472</v>
      </c>
      <c r="DS113" s="13">
        <v>1292833</v>
      </c>
      <c r="DT113" s="13">
        <v>1508734</v>
      </c>
      <c r="DU113" s="13">
        <v>1719221</v>
      </c>
      <c r="DV113" s="13">
        <v>1800052</v>
      </c>
      <c r="DW113" s="13">
        <v>1799200</v>
      </c>
      <c r="DX113" s="13">
        <v>1976568</v>
      </c>
      <c r="DY113" s="13">
        <v>2082301</v>
      </c>
      <c r="DZ113" s="13">
        <v>2170171</v>
      </c>
      <c r="EA113" s="13">
        <v>2231298</v>
      </c>
      <c r="EB113" s="13">
        <v>2214546</v>
      </c>
      <c r="EC113" s="13">
        <v>2131793</v>
      </c>
      <c r="ED113" s="13">
        <v>2336123</v>
      </c>
      <c r="EE113" s="13">
        <v>2293898</v>
      </c>
      <c r="EF113" s="13">
        <v>2360458</v>
      </c>
      <c r="EG113" s="13">
        <v>2435897</v>
      </c>
      <c r="EH113" s="13">
        <v>2403574</v>
      </c>
      <c r="EI113" s="13">
        <v>2317083</v>
      </c>
      <c r="EJ113" s="13">
        <v>2182733</v>
      </c>
      <c r="EK113" s="25">
        <f t="shared" si="6"/>
        <v>-10765</v>
      </c>
      <c r="EL113" s="13">
        <v>2171968</v>
      </c>
      <c r="EM113" s="25">
        <f t="shared" si="7"/>
        <v>29227</v>
      </c>
      <c r="EN113" s="13">
        <v>2201195</v>
      </c>
      <c r="EO113" s="25">
        <f t="shared" si="8"/>
        <v>58502</v>
      </c>
      <c r="EP113" s="13">
        <v>2259697</v>
      </c>
      <c r="EQ113" s="25">
        <f t="shared" si="9"/>
        <v>-8629</v>
      </c>
      <c r="ER113" s="13">
        <v>2251068</v>
      </c>
      <c r="ES113" s="25">
        <f t="shared" si="10"/>
        <v>215015</v>
      </c>
      <c r="ET113" s="13">
        <v>2466083</v>
      </c>
      <c r="EU113" s="25">
        <f t="shared" si="11"/>
        <v>-55085</v>
      </c>
      <c r="EV113" s="13">
        <v>2410998</v>
      </c>
      <c r="EW113" s="13">
        <v>2354217</v>
      </c>
      <c r="EX113" s="13">
        <v>2188903</v>
      </c>
      <c r="EY113" s="13">
        <v>2026327</v>
      </c>
      <c r="EZ113" s="13">
        <v>1887917</v>
      </c>
      <c r="FA113" s="13">
        <v>1987237</v>
      </c>
      <c r="FB113" s="13">
        <v>2004337</v>
      </c>
      <c r="FC113" s="13">
        <v>2110786</v>
      </c>
      <c r="FD113" s="13">
        <v>2116231</v>
      </c>
      <c r="FE113" s="13">
        <v>2274324</v>
      </c>
      <c r="FF113" s="13">
        <v>2230281</v>
      </c>
      <c r="FG113" s="13">
        <v>2185631</v>
      </c>
      <c r="FH113" s="13">
        <v>1804733</v>
      </c>
      <c r="FI113" s="13">
        <v>1722273</v>
      </c>
    </row>
    <row r="114" spans="1:165" x14ac:dyDescent="0.4">
      <c r="A114" s="35" t="s">
        <v>27</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v>0</v>
      </c>
      <c r="BW114" s="16">
        <v>0</v>
      </c>
      <c r="BX114" s="16">
        <v>0</v>
      </c>
      <c r="BY114" s="16">
        <v>0</v>
      </c>
      <c r="BZ114" s="16">
        <v>0</v>
      </c>
      <c r="CA114" s="16">
        <v>23399</v>
      </c>
      <c r="CB114" s="16">
        <v>22686</v>
      </c>
      <c r="CC114" s="16">
        <v>22795</v>
      </c>
      <c r="CD114" s="16">
        <v>23914</v>
      </c>
      <c r="CE114" s="16">
        <v>23168</v>
      </c>
      <c r="CF114" s="16">
        <v>22973</v>
      </c>
      <c r="CG114" s="16">
        <v>23054</v>
      </c>
      <c r="CH114" s="16">
        <v>22265</v>
      </c>
      <c r="CI114" s="16">
        <v>22671</v>
      </c>
      <c r="CJ114" s="16">
        <v>23597</v>
      </c>
      <c r="CK114" s="16">
        <v>27957</v>
      </c>
      <c r="CL114" s="16">
        <v>26503</v>
      </c>
      <c r="CM114" s="16">
        <v>0</v>
      </c>
      <c r="CN114" s="16">
        <v>0</v>
      </c>
      <c r="CO114" s="16">
        <v>45489</v>
      </c>
      <c r="CP114" s="16">
        <v>46021</v>
      </c>
      <c r="CQ114" s="16">
        <v>48961</v>
      </c>
      <c r="CR114" s="16">
        <v>48971</v>
      </c>
      <c r="CS114" s="16">
        <v>47017</v>
      </c>
      <c r="CT114" s="16">
        <v>46199</v>
      </c>
      <c r="CU114" s="16">
        <v>46399</v>
      </c>
      <c r="CV114" s="16">
        <v>45045</v>
      </c>
      <c r="CW114" s="16">
        <v>46285</v>
      </c>
      <c r="CX114" s="16">
        <v>45426</v>
      </c>
      <c r="CY114" s="16">
        <v>45121</v>
      </c>
      <c r="CZ114" s="16">
        <v>44455</v>
      </c>
      <c r="DA114" s="16">
        <v>0</v>
      </c>
      <c r="DB114" s="16">
        <v>0</v>
      </c>
      <c r="DC114" s="16">
        <v>0</v>
      </c>
      <c r="DD114" s="16">
        <v>0</v>
      </c>
      <c r="DE114" s="16">
        <v>1278</v>
      </c>
      <c r="DF114" s="16">
        <v>42985</v>
      </c>
      <c r="DG114" s="16">
        <v>47369</v>
      </c>
      <c r="DH114" s="16">
        <v>50842</v>
      </c>
      <c r="DI114" s="7">
        <v>49624</v>
      </c>
      <c r="DJ114" s="13">
        <v>40117</v>
      </c>
      <c r="DK114" s="13">
        <v>35530</v>
      </c>
      <c r="DL114" s="13">
        <v>30618</v>
      </c>
      <c r="DM114" s="13">
        <v>37103</v>
      </c>
      <c r="DN114" s="13">
        <v>36671</v>
      </c>
      <c r="DO114" s="13">
        <v>33333</v>
      </c>
      <c r="DP114" s="13">
        <v>36546</v>
      </c>
      <c r="DQ114" s="13">
        <v>71943</v>
      </c>
      <c r="DR114" s="13">
        <v>34390</v>
      </c>
      <c r="DS114" s="13">
        <v>63549</v>
      </c>
      <c r="DT114" s="13">
        <v>66383</v>
      </c>
      <c r="DU114" s="13">
        <v>70830</v>
      </c>
      <c r="DV114" s="13">
        <v>112953</v>
      </c>
      <c r="DW114" s="13">
        <v>125265</v>
      </c>
      <c r="DX114" s="13">
        <v>138221</v>
      </c>
      <c r="DY114" s="13">
        <v>147283</v>
      </c>
      <c r="DZ114" s="13">
        <v>157541</v>
      </c>
      <c r="EA114" s="13">
        <v>170955</v>
      </c>
      <c r="EB114" s="13">
        <v>181226</v>
      </c>
      <c r="EC114" s="13">
        <v>158980</v>
      </c>
      <c r="ED114" s="13">
        <v>183699</v>
      </c>
      <c r="EE114" s="13">
        <v>119518</v>
      </c>
      <c r="EF114" s="13">
        <v>121793</v>
      </c>
      <c r="EG114" s="13">
        <v>265838</v>
      </c>
      <c r="EH114" s="13">
        <v>386201</v>
      </c>
      <c r="EI114" s="13">
        <v>366028</v>
      </c>
      <c r="EJ114" s="13">
        <v>344387</v>
      </c>
      <c r="EK114" s="25">
        <f t="shared" si="6"/>
        <v>22093</v>
      </c>
      <c r="EL114" s="13">
        <v>366480</v>
      </c>
      <c r="EM114" s="25">
        <f t="shared" si="7"/>
        <v>12023</v>
      </c>
      <c r="EN114" s="13">
        <v>378503</v>
      </c>
      <c r="EO114" s="25">
        <f t="shared" si="8"/>
        <v>25429</v>
      </c>
      <c r="EP114" s="13">
        <v>403932</v>
      </c>
      <c r="EQ114" s="25">
        <f t="shared" si="9"/>
        <v>10145</v>
      </c>
      <c r="ER114" s="13">
        <v>414077</v>
      </c>
      <c r="ES114" s="25">
        <f t="shared" si="10"/>
        <v>485625</v>
      </c>
      <c r="ET114" s="13">
        <v>899702</v>
      </c>
      <c r="EU114" s="25">
        <f t="shared" si="11"/>
        <v>55528</v>
      </c>
      <c r="EV114" s="13">
        <v>955230</v>
      </c>
      <c r="EW114" s="13">
        <v>963176</v>
      </c>
      <c r="EX114" s="13">
        <v>971132</v>
      </c>
      <c r="EY114" s="13">
        <v>871302</v>
      </c>
      <c r="EZ114" s="13">
        <v>704673</v>
      </c>
      <c r="FA114" s="13">
        <v>688306</v>
      </c>
      <c r="FB114" s="13">
        <v>692668</v>
      </c>
      <c r="FC114" s="13">
        <v>751877</v>
      </c>
      <c r="FD114" s="13">
        <v>754543</v>
      </c>
      <c r="FE114" s="13">
        <v>806582</v>
      </c>
      <c r="FF114" s="13">
        <v>795543</v>
      </c>
      <c r="FG114" s="13">
        <v>411560</v>
      </c>
      <c r="FH114" s="13">
        <v>327351</v>
      </c>
      <c r="FI114" s="13">
        <v>293632</v>
      </c>
    </row>
    <row r="115" spans="1:165" x14ac:dyDescent="0.4">
      <c r="A115" s="35" t="s">
        <v>30</v>
      </c>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v>202299</v>
      </c>
      <c r="BW115" s="16">
        <v>192725</v>
      </c>
      <c r="BX115" s="16">
        <v>192757</v>
      </c>
      <c r="BY115" s="16">
        <v>190015</v>
      </c>
      <c r="BZ115" s="16">
        <v>189301</v>
      </c>
      <c r="CA115" s="16">
        <v>167562</v>
      </c>
      <c r="CB115" s="16">
        <v>163260</v>
      </c>
      <c r="CC115" s="16">
        <v>165380</v>
      </c>
      <c r="CD115" s="16">
        <v>172763</v>
      </c>
      <c r="CE115" s="16">
        <v>166658</v>
      </c>
      <c r="CF115" s="16">
        <v>166649</v>
      </c>
      <c r="CG115" s="16">
        <v>166924</v>
      </c>
      <c r="CH115" s="16">
        <v>162417</v>
      </c>
      <c r="CI115" s="16">
        <v>165163</v>
      </c>
      <c r="CJ115" s="16">
        <v>171447</v>
      </c>
      <c r="CK115" s="16">
        <v>202711</v>
      </c>
      <c r="CL115" s="16">
        <v>194370</v>
      </c>
      <c r="CM115" s="16">
        <v>186773</v>
      </c>
      <c r="CN115" s="16">
        <v>186864</v>
      </c>
      <c r="CO115" s="16">
        <v>148796</v>
      </c>
      <c r="CP115" s="16">
        <v>150660</v>
      </c>
      <c r="CQ115" s="16">
        <v>159853</v>
      </c>
      <c r="CR115" s="16">
        <v>159671</v>
      </c>
      <c r="CS115" s="16">
        <v>152476</v>
      </c>
      <c r="CT115" s="16">
        <v>174121</v>
      </c>
      <c r="CU115" s="16">
        <v>179830</v>
      </c>
      <c r="CV115" s="16">
        <v>173092</v>
      </c>
      <c r="CW115" s="16">
        <v>178215</v>
      </c>
      <c r="CX115" s="16">
        <v>174964</v>
      </c>
      <c r="CY115" s="16">
        <v>182241</v>
      </c>
      <c r="CZ115" s="16">
        <v>178371</v>
      </c>
      <c r="DA115" s="16">
        <v>226414</v>
      </c>
      <c r="DB115" s="16">
        <v>228381</v>
      </c>
      <c r="DC115" s="16">
        <v>226962</v>
      </c>
      <c r="DD115" s="16">
        <v>219882</v>
      </c>
      <c r="DE115" s="16">
        <v>233850</v>
      </c>
      <c r="DF115" s="16">
        <v>190873</v>
      </c>
      <c r="DG115" s="16">
        <v>193258</v>
      </c>
      <c r="DH115" s="16">
        <v>213790</v>
      </c>
      <c r="DI115" s="7">
        <v>210586</v>
      </c>
      <c r="DJ115" s="13">
        <v>177896</v>
      </c>
      <c r="DK115" s="13">
        <v>157731</v>
      </c>
      <c r="DL115" s="13">
        <v>131485</v>
      </c>
      <c r="DM115" s="13">
        <v>157919</v>
      </c>
      <c r="DN115" s="13">
        <v>220610</v>
      </c>
      <c r="DO115" s="13">
        <v>216101</v>
      </c>
      <c r="DP115" s="13">
        <v>655477</v>
      </c>
      <c r="DQ115" s="13">
        <v>759930</v>
      </c>
      <c r="DR115" s="13">
        <v>1094081</v>
      </c>
      <c r="DS115" s="13">
        <v>1229284</v>
      </c>
      <c r="DT115" s="13">
        <v>1442351</v>
      </c>
      <c r="DU115" s="13">
        <v>1648391</v>
      </c>
      <c r="DV115" s="13">
        <v>1687098</v>
      </c>
      <c r="DW115" s="13">
        <v>1673935</v>
      </c>
      <c r="DX115" s="13">
        <v>1838347</v>
      </c>
      <c r="DY115" s="13">
        <v>1935017</v>
      </c>
      <c r="DZ115" s="13">
        <v>2012630</v>
      </c>
      <c r="EA115" s="13">
        <v>2060343</v>
      </c>
      <c r="EB115" s="13">
        <v>2033321</v>
      </c>
      <c r="EC115" s="13">
        <v>1972812</v>
      </c>
      <c r="ED115" s="13">
        <v>2152425</v>
      </c>
      <c r="EE115" s="13">
        <v>2174380</v>
      </c>
      <c r="EF115" s="13">
        <v>2238665</v>
      </c>
      <c r="EG115" s="13">
        <v>2170059</v>
      </c>
      <c r="EH115" s="13">
        <v>2017374</v>
      </c>
      <c r="EI115" s="13">
        <v>1951055</v>
      </c>
      <c r="EJ115" s="13">
        <v>1838345</v>
      </c>
      <c r="EK115" s="25">
        <f t="shared" si="6"/>
        <v>-32857</v>
      </c>
      <c r="EL115" s="13">
        <v>1805488</v>
      </c>
      <c r="EM115" s="25">
        <f t="shared" si="7"/>
        <v>17205</v>
      </c>
      <c r="EN115" s="13">
        <v>1822693</v>
      </c>
      <c r="EO115" s="25">
        <f t="shared" si="8"/>
        <v>33072</v>
      </c>
      <c r="EP115" s="13">
        <v>1855765</v>
      </c>
      <c r="EQ115" s="25">
        <f t="shared" si="9"/>
        <v>-18774</v>
      </c>
      <c r="ER115" s="13">
        <v>1836991</v>
      </c>
      <c r="ES115" s="25">
        <f t="shared" si="10"/>
        <v>-270609</v>
      </c>
      <c r="ET115" s="13">
        <v>1566382</v>
      </c>
      <c r="EU115" s="25">
        <f t="shared" si="11"/>
        <v>-110614</v>
      </c>
      <c r="EV115" s="13">
        <v>1455768</v>
      </c>
      <c r="EW115" s="13">
        <v>1391041</v>
      </c>
      <c r="EX115" s="13">
        <v>1217772</v>
      </c>
      <c r="EY115" s="13">
        <v>1155025</v>
      </c>
      <c r="EZ115" s="13">
        <v>1183243</v>
      </c>
      <c r="FA115" s="13">
        <v>1298932</v>
      </c>
      <c r="FB115" s="13">
        <v>1311669</v>
      </c>
      <c r="FC115" s="13">
        <v>1358909</v>
      </c>
      <c r="FD115" s="13">
        <v>1361688</v>
      </c>
      <c r="FE115" s="13">
        <v>1467742</v>
      </c>
      <c r="FF115" s="13">
        <v>1434738</v>
      </c>
      <c r="FG115" s="13">
        <v>1774070</v>
      </c>
      <c r="FH115" s="13">
        <v>1477383</v>
      </c>
      <c r="FI115" s="13">
        <v>1428641</v>
      </c>
    </row>
    <row r="116" spans="1:165" x14ac:dyDescent="0.4">
      <c r="A116" s="34" t="s">
        <v>6</v>
      </c>
      <c r="B116" s="16">
        <v>0</v>
      </c>
      <c r="C116" s="16">
        <v>0</v>
      </c>
      <c r="D116" s="16">
        <v>0</v>
      </c>
      <c r="E116" s="16">
        <v>0</v>
      </c>
      <c r="F116" s="16">
        <v>0</v>
      </c>
      <c r="G116" s="16">
        <v>0</v>
      </c>
      <c r="H116" s="16">
        <v>0</v>
      </c>
      <c r="I116" s="16">
        <v>0</v>
      </c>
      <c r="J116" s="16">
        <v>0</v>
      </c>
      <c r="K116" s="16">
        <v>0</v>
      </c>
      <c r="L116" s="16">
        <v>0</v>
      </c>
      <c r="M116" s="16">
        <v>0</v>
      </c>
      <c r="N116" s="16">
        <v>0</v>
      </c>
      <c r="O116" s="16">
        <v>0</v>
      </c>
      <c r="P116" s="16">
        <v>0</v>
      </c>
      <c r="Q116" s="16">
        <v>0</v>
      </c>
      <c r="R116" s="16">
        <v>0</v>
      </c>
      <c r="S116" s="16">
        <v>0</v>
      </c>
      <c r="T116" s="16">
        <v>0</v>
      </c>
      <c r="U116" s="16">
        <v>0</v>
      </c>
      <c r="V116" s="16">
        <v>0</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0</v>
      </c>
      <c r="AP116" s="16">
        <v>0</v>
      </c>
      <c r="AQ116" s="16">
        <v>0</v>
      </c>
      <c r="AR116" s="16">
        <v>0</v>
      </c>
      <c r="AS116" s="16">
        <v>0</v>
      </c>
      <c r="AT116" s="16">
        <v>0</v>
      </c>
      <c r="AU116" s="16">
        <v>0</v>
      </c>
      <c r="AV116" s="16">
        <v>0</v>
      </c>
      <c r="AW116" s="16">
        <v>0</v>
      </c>
      <c r="AX116" s="16">
        <v>0</v>
      </c>
      <c r="AY116" s="16">
        <v>0</v>
      </c>
      <c r="AZ116" s="16">
        <v>0</v>
      </c>
      <c r="BA116" s="16">
        <v>0</v>
      </c>
      <c r="BB116" s="16">
        <v>0</v>
      </c>
      <c r="BC116" s="16">
        <v>0</v>
      </c>
      <c r="BD116" s="16">
        <v>0</v>
      </c>
      <c r="BE116" s="16">
        <v>0</v>
      </c>
      <c r="BF116" s="16">
        <v>0</v>
      </c>
      <c r="BG116" s="16">
        <v>0</v>
      </c>
      <c r="BH116" s="16">
        <v>0</v>
      </c>
      <c r="BI116" s="16">
        <v>0</v>
      </c>
      <c r="BJ116" s="16">
        <v>0</v>
      </c>
      <c r="BK116" s="16">
        <v>0</v>
      </c>
      <c r="BL116" s="16">
        <v>0</v>
      </c>
      <c r="BM116" s="16">
        <v>0</v>
      </c>
      <c r="BN116" s="16">
        <v>0</v>
      </c>
      <c r="BO116" s="16">
        <v>0</v>
      </c>
      <c r="BP116" s="16">
        <v>0</v>
      </c>
      <c r="BQ116" s="16">
        <v>0</v>
      </c>
      <c r="BR116" s="16">
        <v>0</v>
      </c>
      <c r="BS116" s="16">
        <v>0</v>
      </c>
      <c r="BT116" s="16">
        <v>0</v>
      </c>
      <c r="BU116" s="16">
        <v>0</v>
      </c>
      <c r="BV116" s="16">
        <v>0</v>
      </c>
      <c r="BW116" s="16">
        <v>0</v>
      </c>
      <c r="BX116" s="16">
        <v>0</v>
      </c>
      <c r="BY116" s="16">
        <v>0</v>
      </c>
      <c r="BZ116" s="16">
        <v>0</v>
      </c>
      <c r="CA116" s="16">
        <v>0</v>
      </c>
      <c r="CB116" s="16">
        <v>0</v>
      </c>
      <c r="CC116" s="16">
        <v>0</v>
      </c>
      <c r="CD116" s="16">
        <v>0</v>
      </c>
      <c r="CE116" s="16">
        <v>0</v>
      </c>
      <c r="CF116" s="27">
        <v>0</v>
      </c>
      <c r="CG116" s="27">
        <v>0</v>
      </c>
      <c r="CH116" s="27">
        <v>0</v>
      </c>
      <c r="CI116" s="27">
        <v>0</v>
      </c>
      <c r="CJ116" s="27">
        <v>0</v>
      </c>
      <c r="CK116" s="27">
        <v>0</v>
      </c>
      <c r="CL116" s="27">
        <v>0</v>
      </c>
      <c r="CM116" s="27">
        <v>0</v>
      </c>
      <c r="CN116" s="27">
        <v>0</v>
      </c>
      <c r="CO116" s="27">
        <v>0</v>
      </c>
      <c r="CP116" s="27">
        <v>0</v>
      </c>
      <c r="CQ116" s="27">
        <v>0</v>
      </c>
      <c r="CR116" s="27">
        <v>0</v>
      </c>
      <c r="CS116" s="27">
        <v>0</v>
      </c>
      <c r="CT116" s="27">
        <v>0</v>
      </c>
      <c r="CU116" s="27">
        <v>0</v>
      </c>
      <c r="CV116" s="27">
        <v>0</v>
      </c>
      <c r="CW116" s="27">
        <v>0</v>
      </c>
      <c r="CX116" s="27">
        <v>0</v>
      </c>
      <c r="CY116" s="27">
        <v>0</v>
      </c>
      <c r="CZ116" s="27">
        <v>0</v>
      </c>
      <c r="DA116" s="27">
        <v>0</v>
      </c>
      <c r="DB116" s="27">
        <v>0</v>
      </c>
      <c r="DC116" s="27">
        <v>0</v>
      </c>
      <c r="DD116" s="16">
        <v>0</v>
      </c>
      <c r="DE116" s="16">
        <v>0</v>
      </c>
      <c r="DF116" s="16">
        <v>0</v>
      </c>
      <c r="DG116" s="16">
        <v>0</v>
      </c>
      <c r="DH116" s="16">
        <v>0</v>
      </c>
      <c r="DI116" s="16">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25">
        <f t="shared" si="6"/>
        <v>0</v>
      </c>
      <c r="EL116" s="13">
        <v>0</v>
      </c>
      <c r="EM116" s="25">
        <f t="shared" si="7"/>
        <v>0</v>
      </c>
      <c r="EN116" s="13">
        <v>0</v>
      </c>
      <c r="EO116" s="25">
        <f t="shared" si="8"/>
        <v>0</v>
      </c>
      <c r="EP116" s="13">
        <v>0</v>
      </c>
      <c r="EQ116" s="25">
        <f t="shared" si="9"/>
        <v>0</v>
      </c>
      <c r="ER116" s="13">
        <v>0</v>
      </c>
      <c r="ES116" s="25">
        <f t="shared" si="10"/>
        <v>0</v>
      </c>
      <c r="ET116" s="13">
        <v>0</v>
      </c>
      <c r="EU116" s="25">
        <f t="shared" si="11"/>
        <v>2127801</v>
      </c>
      <c r="EV116" s="13">
        <v>2127801</v>
      </c>
      <c r="EW116" s="13">
        <v>2061989</v>
      </c>
      <c r="EX116" s="13">
        <v>1852717</v>
      </c>
      <c r="EY116" s="13">
        <v>1770278</v>
      </c>
      <c r="EZ116" s="13">
        <v>1749384</v>
      </c>
      <c r="FA116" s="13">
        <v>1684423</v>
      </c>
      <c r="FB116" s="13">
        <v>1686152</v>
      </c>
      <c r="FC116" s="13">
        <v>1757759</v>
      </c>
      <c r="FD116" s="13">
        <v>1737229</v>
      </c>
      <c r="FE116" s="13">
        <v>1786683</v>
      </c>
      <c r="FF116" s="13">
        <v>1731488</v>
      </c>
      <c r="FG116" s="13">
        <v>1682682</v>
      </c>
      <c r="FH116" s="13">
        <v>1774268</v>
      </c>
      <c r="FI116" s="13">
        <v>1730964</v>
      </c>
    </row>
    <row r="117" spans="1:165" x14ac:dyDescent="0.4">
      <c r="A117" s="35" t="s">
        <v>13</v>
      </c>
      <c r="B117" s="16">
        <v>0</v>
      </c>
      <c r="C117" s="16">
        <v>0</v>
      </c>
      <c r="D117" s="16">
        <v>0</v>
      </c>
      <c r="E117" s="16">
        <v>0</v>
      </c>
      <c r="F117" s="16">
        <v>0</v>
      </c>
      <c r="G117" s="16">
        <v>0</v>
      </c>
      <c r="H117" s="16">
        <v>0</v>
      </c>
      <c r="I117" s="16">
        <v>0</v>
      </c>
      <c r="J117" s="16">
        <v>0</v>
      </c>
      <c r="K117" s="16">
        <v>0</v>
      </c>
      <c r="L117" s="16">
        <v>0</v>
      </c>
      <c r="M117" s="16">
        <v>0</v>
      </c>
      <c r="N117" s="16">
        <v>0</v>
      </c>
      <c r="O117" s="16">
        <v>0</v>
      </c>
      <c r="P117" s="16">
        <v>0</v>
      </c>
      <c r="Q117" s="16">
        <v>0</v>
      </c>
      <c r="R117" s="16">
        <v>0</v>
      </c>
      <c r="S117" s="16">
        <v>0</v>
      </c>
      <c r="T117" s="16">
        <v>0</v>
      </c>
      <c r="U117" s="16">
        <v>0</v>
      </c>
      <c r="V117" s="16">
        <v>0</v>
      </c>
      <c r="W117" s="16">
        <v>0</v>
      </c>
      <c r="X117" s="16">
        <v>0</v>
      </c>
      <c r="Y117" s="16">
        <v>0</v>
      </c>
      <c r="Z117" s="16">
        <v>0</v>
      </c>
      <c r="AA117" s="16">
        <v>0</v>
      </c>
      <c r="AB117" s="16">
        <v>0</v>
      </c>
      <c r="AC117" s="16">
        <v>0</v>
      </c>
      <c r="AD117" s="16">
        <v>0</v>
      </c>
      <c r="AE117" s="16">
        <v>0</v>
      </c>
      <c r="AF117" s="16">
        <v>0</v>
      </c>
      <c r="AG117" s="16">
        <v>0</v>
      </c>
      <c r="AH117" s="16">
        <v>0</v>
      </c>
      <c r="AI117" s="16">
        <v>0</v>
      </c>
      <c r="AJ117" s="16">
        <v>0</v>
      </c>
      <c r="AK117" s="16">
        <v>0</v>
      </c>
      <c r="AL117" s="16">
        <v>0</v>
      </c>
      <c r="AM117" s="16">
        <v>0</v>
      </c>
      <c r="AN117" s="16">
        <v>0</v>
      </c>
      <c r="AO117" s="16">
        <v>0</v>
      </c>
      <c r="AP117" s="16">
        <v>0</v>
      </c>
      <c r="AQ117" s="16">
        <v>0</v>
      </c>
      <c r="AR117" s="16">
        <v>0</v>
      </c>
      <c r="AS117" s="16">
        <v>0</v>
      </c>
      <c r="AT117" s="16">
        <v>0</v>
      </c>
      <c r="AU117" s="16">
        <v>0</v>
      </c>
      <c r="AV117" s="16">
        <v>0</v>
      </c>
      <c r="AW117" s="16">
        <v>0</v>
      </c>
      <c r="AX117" s="16">
        <v>0</v>
      </c>
      <c r="AY117" s="16">
        <v>0</v>
      </c>
      <c r="AZ117" s="16">
        <v>0</v>
      </c>
      <c r="BA117" s="16">
        <v>0</v>
      </c>
      <c r="BB117" s="16">
        <v>0</v>
      </c>
      <c r="BC117" s="16">
        <v>0</v>
      </c>
      <c r="BD117" s="16">
        <v>0</v>
      </c>
      <c r="BE117" s="16">
        <v>0</v>
      </c>
      <c r="BF117" s="16">
        <v>0</v>
      </c>
      <c r="BG117" s="16">
        <v>0</v>
      </c>
      <c r="BH117" s="16">
        <v>0</v>
      </c>
      <c r="BI117" s="16">
        <v>0</v>
      </c>
      <c r="BJ117" s="16">
        <v>0</v>
      </c>
      <c r="BK117" s="16">
        <v>0</v>
      </c>
      <c r="BL117" s="16">
        <v>0</v>
      </c>
      <c r="BM117" s="16">
        <v>0</v>
      </c>
      <c r="BN117" s="16">
        <v>0</v>
      </c>
      <c r="BO117" s="16">
        <v>0</v>
      </c>
      <c r="BP117" s="16">
        <v>0</v>
      </c>
      <c r="BQ117" s="16">
        <v>0</v>
      </c>
      <c r="BR117" s="16">
        <v>0</v>
      </c>
      <c r="BS117" s="16">
        <v>0</v>
      </c>
      <c r="BT117" s="16">
        <v>0</v>
      </c>
      <c r="BU117" s="16">
        <v>0</v>
      </c>
      <c r="BV117" s="16">
        <v>0</v>
      </c>
      <c r="BW117" s="16">
        <v>0</v>
      </c>
      <c r="BX117" s="16">
        <v>0</v>
      </c>
      <c r="BY117" s="16">
        <v>0</v>
      </c>
      <c r="BZ117" s="16">
        <v>0</v>
      </c>
      <c r="CA117" s="16">
        <v>0</v>
      </c>
      <c r="CB117" s="16">
        <v>0</v>
      </c>
      <c r="CC117" s="16">
        <v>0</v>
      </c>
      <c r="CD117" s="16">
        <v>0</v>
      </c>
      <c r="CE117" s="16">
        <v>0</v>
      </c>
      <c r="CF117" s="27">
        <v>0</v>
      </c>
      <c r="CG117" s="27">
        <v>0</v>
      </c>
      <c r="CH117" s="27">
        <v>0</v>
      </c>
      <c r="CI117" s="27">
        <v>0</v>
      </c>
      <c r="CJ117" s="27">
        <v>0</v>
      </c>
      <c r="CK117" s="27">
        <v>0</v>
      </c>
      <c r="CL117" s="27">
        <v>0</v>
      </c>
      <c r="CM117" s="27">
        <v>0</v>
      </c>
      <c r="CN117" s="27">
        <v>0</v>
      </c>
      <c r="CO117" s="27">
        <v>0</v>
      </c>
      <c r="CP117" s="27">
        <v>0</v>
      </c>
      <c r="CQ117" s="27">
        <v>0</v>
      </c>
      <c r="CR117" s="27">
        <v>0</v>
      </c>
      <c r="CS117" s="27">
        <v>0</v>
      </c>
      <c r="CT117" s="27">
        <v>0</v>
      </c>
      <c r="CU117" s="27">
        <v>0</v>
      </c>
      <c r="CV117" s="27">
        <v>0</v>
      </c>
      <c r="CW117" s="27">
        <v>0</v>
      </c>
      <c r="CX117" s="27">
        <v>0</v>
      </c>
      <c r="CY117" s="27">
        <v>0</v>
      </c>
      <c r="CZ117" s="27">
        <v>0</v>
      </c>
      <c r="DA117" s="27">
        <v>0</v>
      </c>
      <c r="DB117" s="27">
        <v>0</v>
      </c>
      <c r="DC117" s="27">
        <v>0</v>
      </c>
      <c r="DD117" s="16">
        <v>0</v>
      </c>
      <c r="DE117" s="16">
        <v>0</v>
      </c>
      <c r="DF117" s="16">
        <v>0</v>
      </c>
      <c r="DG117" s="16">
        <v>0</v>
      </c>
      <c r="DH117" s="16">
        <v>0</v>
      </c>
      <c r="DI117" s="16">
        <v>0</v>
      </c>
      <c r="DJ117" s="13">
        <v>0</v>
      </c>
      <c r="DK117" s="13">
        <v>0</v>
      </c>
      <c r="DL117" s="13">
        <v>0</v>
      </c>
      <c r="DM117" s="13">
        <v>0</v>
      </c>
      <c r="DN117" s="13">
        <v>0</v>
      </c>
      <c r="DO117" s="13">
        <v>0</v>
      </c>
      <c r="DP117" s="13">
        <v>0</v>
      </c>
      <c r="DQ117" s="13">
        <v>0</v>
      </c>
      <c r="DR117" s="13">
        <v>0</v>
      </c>
      <c r="DS117" s="13">
        <v>0</v>
      </c>
      <c r="DT117" s="13">
        <v>0</v>
      </c>
      <c r="DU117" s="13">
        <v>0</v>
      </c>
      <c r="DV117" s="13">
        <v>0</v>
      </c>
      <c r="DW117" s="13">
        <v>0</v>
      </c>
      <c r="DX117" s="13">
        <v>0</v>
      </c>
      <c r="DY117" s="13">
        <v>0</v>
      </c>
      <c r="DZ117" s="13">
        <v>0</v>
      </c>
      <c r="EA117" s="13">
        <v>0</v>
      </c>
      <c r="EB117" s="13">
        <v>0</v>
      </c>
      <c r="EC117" s="13">
        <v>0</v>
      </c>
      <c r="ED117" s="13">
        <v>0</v>
      </c>
      <c r="EE117" s="13">
        <v>0</v>
      </c>
      <c r="EF117" s="13">
        <v>0</v>
      </c>
      <c r="EG117" s="13">
        <v>0</v>
      </c>
      <c r="EH117" s="13">
        <v>0</v>
      </c>
      <c r="EI117" s="13">
        <v>0</v>
      </c>
      <c r="EJ117" s="13">
        <v>0</v>
      </c>
      <c r="EK117" s="25">
        <f t="shared" si="6"/>
        <v>0</v>
      </c>
      <c r="EL117" s="13">
        <v>0</v>
      </c>
      <c r="EM117" s="25">
        <f t="shared" si="7"/>
        <v>0</v>
      </c>
      <c r="EN117" s="13">
        <v>0</v>
      </c>
      <c r="EO117" s="25">
        <f t="shared" si="8"/>
        <v>0</v>
      </c>
      <c r="EP117" s="13">
        <v>0</v>
      </c>
      <c r="EQ117" s="25">
        <f t="shared" si="9"/>
        <v>0</v>
      </c>
      <c r="ER117" s="13">
        <v>0</v>
      </c>
      <c r="ES117" s="25">
        <f t="shared" si="10"/>
        <v>0</v>
      </c>
      <c r="ET117" s="13">
        <v>0</v>
      </c>
      <c r="EU117" s="25">
        <f t="shared" si="11"/>
        <v>0</v>
      </c>
      <c r="EV117" s="13">
        <v>0</v>
      </c>
      <c r="EW117" s="13">
        <v>0</v>
      </c>
      <c r="EX117" s="13">
        <v>0</v>
      </c>
      <c r="EY117" s="13">
        <v>0</v>
      </c>
      <c r="EZ117" s="13">
        <v>0</v>
      </c>
      <c r="FA117" s="13">
        <v>0</v>
      </c>
      <c r="FB117" s="13">
        <v>0</v>
      </c>
      <c r="FC117" s="13">
        <v>0</v>
      </c>
      <c r="FD117" s="13">
        <v>0</v>
      </c>
      <c r="FE117" s="13">
        <v>0</v>
      </c>
      <c r="FF117" s="13">
        <v>0</v>
      </c>
      <c r="FG117" s="13">
        <v>0</v>
      </c>
      <c r="FH117" s="13">
        <v>0</v>
      </c>
      <c r="FI117" s="13">
        <v>0</v>
      </c>
    </row>
    <row r="118" spans="1:165" x14ac:dyDescent="0.4">
      <c r="A118" s="35" t="s">
        <v>14</v>
      </c>
      <c r="B118" s="16">
        <v>0</v>
      </c>
      <c r="C118" s="16">
        <v>0</v>
      </c>
      <c r="D118" s="16">
        <v>0</v>
      </c>
      <c r="E118" s="16">
        <v>0</v>
      </c>
      <c r="F118" s="16">
        <v>0</v>
      </c>
      <c r="G118" s="16">
        <v>0</v>
      </c>
      <c r="H118" s="16">
        <v>0</v>
      </c>
      <c r="I118" s="16">
        <v>0</v>
      </c>
      <c r="J118" s="16">
        <v>0</v>
      </c>
      <c r="K118" s="16">
        <v>0</v>
      </c>
      <c r="L118" s="16">
        <v>0</v>
      </c>
      <c r="M118" s="16">
        <v>0</v>
      </c>
      <c r="N118" s="16">
        <v>0</v>
      </c>
      <c r="O118" s="16">
        <v>0</v>
      </c>
      <c r="P118" s="16">
        <v>0</v>
      </c>
      <c r="Q118" s="16">
        <v>0</v>
      </c>
      <c r="R118" s="16">
        <v>0</v>
      </c>
      <c r="S118" s="16">
        <v>0</v>
      </c>
      <c r="T118" s="16">
        <v>0</v>
      </c>
      <c r="U118" s="16">
        <v>0</v>
      </c>
      <c r="V118" s="16">
        <v>0</v>
      </c>
      <c r="W118" s="16">
        <v>0</v>
      </c>
      <c r="X118" s="16">
        <v>0</v>
      </c>
      <c r="Y118" s="16">
        <v>0</v>
      </c>
      <c r="Z118" s="16">
        <v>0</v>
      </c>
      <c r="AA118" s="16">
        <v>0</v>
      </c>
      <c r="AB118" s="16">
        <v>0</v>
      </c>
      <c r="AC118" s="16">
        <v>0</v>
      </c>
      <c r="AD118" s="16">
        <v>0</v>
      </c>
      <c r="AE118" s="16">
        <v>0</v>
      </c>
      <c r="AF118" s="16">
        <v>0</v>
      </c>
      <c r="AG118" s="16">
        <v>0</v>
      </c>
      <c r="AH118" s="16">
        <v>0</v>
      </c>
      <c r="AI118" s="16">
        <v>0</v>
      </c>
      <c r="AJ118" s="16">
        <v>0</v>
      </c>
      <c r="AK118" s="16">
        <v>0</v>
      </c>
      <c r="AL118" s="16">
        <v>0</v>
      </c>
      <c r="AM118" s="16">
        <v>0</v>
      </c>
      <c r="AN118" s="16">
        <v>0</v>
      </c>
      <c r="AO118" s="16">
        <v>0</v>
      </c>
      <c r="AP118" s="16">
        <v>0</v>
      </c>
      <c r="AQ118" s="16">
        <v>0</v>
      </c>
      <c r="AR118" s="16">
        <v>0</v>
      </c>
      <c r="AS118" s="16">
        <v>0</v>
      </c>
      <c r="AT118" s="16">
        <v>0</v>
      </c>
      <c r="AU118" s="16">
        <v>0</v>
      </c>
      <c r="AV118" s="16">
        <v>0</v>
      </c>
      <c r="AW118" s="16">
        <v>0</v>
      </c>
      <c r="AX118" s="16">
        <v>0</v>
      </c>
      <c r="AY118" s="16">
        <v>0</v>
      </c>
      <c r="AZ118" s="16">
        <v>0</v>
      </c>
      <c r="BA118" s="16">
        <v>0</v>
      </c>
      <c r="BB118" s="16">
        <v>0</v>
      </c>
      <c r="BC118" s="16">
        <v>0</v>
      </c>
      <c r="BD118" s="16">
        <v>0</v>
      </c>
      <c r="BE118" s="16">
        <v>0</v>
      </c>
      <c r="BF118" s="16">
        <v>0</v>
      </c>
      <c r="BG118" s="16">
        <v>0</v>
      </c>
      <c r="BH118" s="16">
        <v>0</v>
      </c>
      <c r="BI118" s="16">
        <v>0</v>
      </c>
      <c r="BJ118" s="16">
        <v>0</v>
      </c>
      <c r="BK118" s="16">
        <v>0</v>
      </c>
      <c r="BL118" s="16">
        <v>0</v>
      </c>
      <c r="BM118" s="16">
        <v>0</v>
      </c>
      <c r="BN118" s="16">
        <v>0</v>
      </c>
      <c r="BO118" s="16">
        <v>0</v>
      </c>
      <c r="BP118" s="16">
        <v>0</v>
      </c>
      <c r="BQ118" s="16">
        <v>0</v>
      </c>
      <c r="BR118" s="16">
        <v>0</v>
      </c>
      <c r="BS118" s="16">
        <v>0</v>
      </c>
      <c r="BT118" s="16">
        <v>0</v>
      </c>
      <c r="BU118" s="16">
        <v>0</v>
      </c>
      <c r="BV118" s="16">
        <v>0</v>
      </c>
      <c r="BW118" s="16">
        <v>0</v>
      </c>
      <c r="BX118" s="16">
        <v>0</v>
      </c>
      <c r="BY118" s="16">
        <v>0</v>
      </c>
      <c r="BZ118" s="16">
        <v>0</v>
      </c>
      <c r="CA118" s="16">
        <v>0</v>
      </c>
      <c r="CB118" s="16">
        <v>0</v>
      </c>
      <c r="CC118" s="16">
        <v>0</v>
      </c>
      <c r="CD118" s="16">
        <v>0</v>
      </c>
      <c r="CE118" s="16">
        <v>0</v>
      </c>
      <c r="CF118" s="27">
        <v>0</v>
      </c>
      <c r="CG118" s="27">
        <v>0</v>
      </c>
      <c r="CH118" s="27">
        <v>0</v>
      </c>
      <c r="CI118" s="27">
        <v>0</v>
      </c>
      <c r="CJ118" s="27">
        <v>0</v>
      </c>
      <c r="CK118" s="27">
        <v>0</v>
      </c>
      <c r="CL118" s="27">
        <v>0</v>
      </c>
      <c r="CM118" s="27">
        <v>0</v>
      </c>
      <c r="CN118" s="27">
        <v>0</v>
      </c>
      <c r="CO118" s="27">
        <v>0</v>
      </c>
      <c r="CP118" s="27">
        <v>0</v>
      </c>
      <c r="CQ118" s="27">
        <v>0</v>
      </c>
      <c r="CR118" s="27">
        <v>0</v>
      </c>
      <c r="CS118" s="27">
        <v>0</v>
      </c>
      <c r="CT118" s="27">
        <v>0</v>
      </c>
      <c r="CU118" s="27">
        <v>0</v>
      </c>
      <c r="CV118" s="27">
        <v>0</v>
      </c>
      <c r="CW118" s="27">
        <v>0</v>
      </c>
      <c r="CX118" s="27">
        <v>0</v>
      </c>
      <c r="CY118" s="27">
        <v>0</v>
      </c>
      <c r="CZ118" s="27">
        <v>0</v>
      </c>
      <c r="DA118" s="27">
        <v>0</v>
      </c>
      <c r="DB118" s="27">
        <v>0</v>
      </c>
      <c r="DC118" s="27">
        <v>0</v>
      </c>
      <c r="DD118" s="16">
        <v>0</v>
      </c>
      <c r="DE118" s="16">
        <v>0</v>
      </c>
      <c r="DF118" s="16">
        <v>0</v>
      </c>
      <c r="DG118" s="16">
        <v>0</v>
      </c>
      <c r="DH118" s="16">
        <v>0</v>
      </c>
      <c r="DI118" s="16">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25">
        <f t="shared" si="6"/>
        <v>0</v>
      </c>
      <c r="EL118" s="13">
        <v>0</v>
      </c>
      <c r="EM118" s="25">
        <f t="shared" si="7"/>
        <v>0</v>
      </c>
      <c r="EN118" s="13">
        <v>0</v>
      </c>
      <c r="EO118" s="25">
        <f t="shared" si="8"/>
        <v>0</v>
      </c>
      <c r="EP118" s="13">
        <v>0</v>
      </c>
      <c r="EQ118" s="25">
        <f t="shared" si="9"/>
        <v>0</v>
      </c>
      <c r="ER118" s="13">
        <v>0</v>
      </c>
      <c r="ES118" s="25">
        <f t="shared" si="10"/>
        <v>0</v>
      </c>
      <c r="ET118" s="13">
        <v>0</v>
      </c>
      <c r="EU118" s="25">
        <f t="shared" si="11"/>
        <v>2127801</v>
      </c>
      <c r="EV118" s="13">
        <v>2127801</v>
      </c>
      <c r="EW118" s="13">
        <v>2061989</v>
      </c>
      <c r="EX118" s="13">
        <v>1852717</v>
      </c>
      <c r="EY118" s="13">
        <v>1770278</v>
      </c>
      <c r="EZ118" s="13">
        <v>1749384</v>
      </c>
      <c r="FA118" s="13">
        <v>1684423</v>
      </c>
      <c r="FB118" s="13">
        <v>1686152</v>
      </c>
      <c r="FC118" s="13">
        <v>1757759</v>
      </c>
      <c r="FD118" s="13">
        <v>1737229</v>
      </c>
      <c r="FE118" s="13">
        <v>1786683</v>
      </c>
      <c r="FF118" s="13">
        <v>1731488</v>
      </c>
      <c r="FG118" s="13">
        <v>1682682</v>
      </c>
      <c r="FH118" s="13">
        <v>1774268</v>
      </c>
      <c r="FI118" s="13">
        <v>1730964</v>
      </c>
    </row>
    <row r="119" spans="1:165" x14ac:dyDescent="0.4">
      <c r="A119" s="35" t="s">
        <v>27</v>
      </c>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v>0</v>
      </c>
      <c r="BW119" s="16">
        <v>0</v>
      </c>
      <c r="BX119" s="16">
        <v>0</v>
      </c>
      <c r="BY119" s="16">
        <v>0</v>
      </c>
      <c r="BZ119" s="16">
        <v>0</v>
      </c>
      <c r="CA119" s="16">
        <v>0</v>
      </c>
      <c r="CB119" s="16">
        <v>0</v>
      </c>
      <c r="CC119" s="16">
        <v>0</v>
      </c>
      <c r="CD119" s="16">
        <v>0</v>
      </c>
      <c r="CE119" s="16">
        <v>0</v>
      </c>
      <c r="CF119" s="27">
        <v>0</v>
      </c>
      <c r="CG119" s="27">
        <v>0</v>
      </c>
      <c r="CH119" s="27">
        <v>0</v>
      </c>
      <c r="CI119" s="27">
        <v>0</v>
      </c>
      <c r="CJ119" s="27">
        <v>0</v>
      </c>
      <c r="CK119" s="27">
        <v>0</v>
      </c>
      <c r="CL119" s="27">
        <v>0</v>
      </c>
      <c r="CM119" s="27">
        <v>0</v>
      </c>
      <c r="CN119" s="27">
        <v>0</v>
      </c>
      <c r="CO119" s="27">
        <v>0</v>
      </c>
      <c r="CP119" s="27">
        <v>0</v>
      </c>
      <c r="CQ119" s="27">
        <v>0</v>
      </c>
      <c r="CR119" s="27">
        <v>0</v>
      </c>
      <c r="CS119" s="27">
        <v>0</v>
      </c>
      <c r="CT119" s="27">
        <v>0</v>
      </c>
      <c r="CU119" s="27">
        <v>0</v>
      </c>
      <c r="CV119" s="27">
        <v>0</v>
      </c>
      <c r="CW119" s="27">
        <v>0</v>
      </c>
      <c r="CX119" s="27">
        <v>0</v>
      </c>
      <c r="CY119" s="27">
        <v>0</v>
      </c>
      <c r="CZ119" s="27">
        <v>0</v>
      </c>
      <c r="DA119" s="27">
        <v>0</v>
      </c>
      <c r="DB119" s="27">
        <v>0</v>
      </c>
      <c r="DC119" s="27">
        <v>0</v>
      </c>
      <c r="DD119" s="16">
        <v>0</v>
      </c>
      <c r="DE119" s="16">
        <v>0</v>
      </c>
      <c r="DF119" s="16">
        <v>0</v>
      </c>
      <c r="DG119" s="16">
        <v>0</v>
      </c>
      <c r="DH119" s="16">
        <v>0</v>
      </c>
      <c r="DI119" s="16">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25">
        <f t="shared" si="6"/>
        <v>0</v>
      </c>
      <c r="EL119" s="13">
        <v>0</v>
      </c>
      <c r="EM119" s="25">
        <f t="shared" si="7"/>
        <v>0</v>
      </c>
      <c r="EN119" s="13">
        <v>0</v>
      </c>
      <c r="EO119" s="25">
        <f t="shared" si="8"/>
        <v>0</v>
      </c>
      <c r="EP119" s="13">
        <v>0</v>
      </c>
      <c r="EQ119" s="25">
        <f t="shared" si="9"/>
        <v>0</v>
      </c>
      <c r="ER119" s="13">
        <v>0</v>
      </c>
      <c r="ES119" s="25">
        <f t="shared" si="10"/>
        <v>0</v>
      </c>
      <c r="ET119" s="13">
        <v>0</v>
      </c>
      <c r="EU119" s="25">
        <f t="shared" si="11"/>
        <v>0</v>
      </c>
      <c r="EV119" s="13">
        <v>0</v>
      </c>
      <c r="EW119" s="13">
        <v>0</v>
      </c>
      <c r="EX119" s="13">
        <v>124896</v>
      </c>
      <c r="EY119" s="13">
        <v>121961</v>
      </c>
      <c r="EZ119" s="13">
        <v>127043</v>
      </c>
      <c r="FA119" s="13">
        <v>304571</v>
      </c>
      <c r="FB119" s="13">
        <v>309379</v>
      </c>
      <c r="FC119" s="13">
        <v>321954</v>
      </c>
      <c r="FD119" s="13">
        <v>318242</v>
      </c>
      <c r="FE119" s="13">
        <v>329566</v>
      </c>
      <c r="FF119" s="13">
        <v>319824</v>
      </c>
      <c r="FG119" s="13">
        <v>307576</v>
      </c>
      <c r="FH119" s="13">
        <v>182394</v>
      </c>
      <c r="FI119" s="13">
        <v>177275</v>
      </c>
    </row>
    <row r="120" spans="1:165" x14ac:dyDescent="0.4">
      <c r="A120" s="35" t="s">
        <v>30</v>
      </c>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v>0</v>
      </c>
      <c r="BW120" s="16">
        <v>0</v>
      </c>
      <c r="BX120" s="16">
        <v>0</v>
      </c>
      <c r="BY120" s="16">
        <v>0</v>
      </c>
      <c r="BZ120" s="16">
        <v>0</v>
      </c>
      <c r="CA120" s="16">
        <v>0</v>
      </c>
      <c r="CB120" s="16">
        <v>0</v>
      </c>
      <c r="CC120" s="16">
        <v>0</v>
      </c>
      <c r="CD120" s="16">
        <v>0</v>
      </c>
      <c r="CE120" s="16">
        <v>0</v>
      </c>
      <c r="CF120" s="27">
        <v>0</v>
      </c>
      <c r="CG120" s="27">
        <v>0</v>
      </c>
      <c r="CH120" s="27">
        <v>0</v>
      </c>
      <c r="CI120" s="27">
        <v>0</v>
      </c>
      <c r="CJ120" s="27">
        <v>0</v>
      </c>
      <c r="CK120" s="27">
        <v>0</v>
      </c>
      <c r="CL120" s="27">
        <v>0</v>
      </c>
      <c r="CM120" s="27">
        <v>0</v>
      </c>
      <c r="CN120" s="27">
        <v>0</v>
      </c>
      <c r="CO120" s="27">
        <v>0</v>
      </c>
      <c r="CP120" s="27">
        <v>0</v>
      </c>
      <c r="CQ120" s="27">
        <v>0</v>
      </c>
      <c r="CR120" s="27">
        <v>0</v>
      </c>
      <c r="CS120" s="27">
        <v>0</v>
      </c>
      <c r="CT120" s="27">
        <v>0</v>
      </c>
      <c r="CU120" s="27">
        <v>0</v>
      </c>
      <c r="CV120" s="27">
        <v>0</v>
      </c>
      <c r="CW120" s="27">
        <v>0</v>
      </c>
      <c r="CX120" s="27">
        <v>0</v>
      </c>
      <c r="CY120" s="27">
        <v>0</v>
      </c>
      <c r="CZ120" s="27">
        <v>0</v>
      </c>
      <c r="DA120" s="27">
        <v>0</v>
      </c>
      <c r="DB120" s="27">
        <v>0</v>
      </c>
      <c r="DC120" s="27">
        <v>0</v>
      </c>
      <c r="DD120" s="16">
        <v>0</v>
      </c>
      <c r="DE120" s="16">
        <v>0</v>
      </c>
      <c r="DF120" s="16">
        <v>0</v>
      </c>
      <c r="DG120" s="16">
        <v>0</v>
      </c>
      <c r="DH120" s="16">
        <v>0</v>
      </c>
      <c r="DI120" s="16">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25">
        <f t="shared" si="6"/>
        <v>0</v>
      </c>
      <c r="EL120" s="13">
        <v>0</v>
      </c>
      <c r="EM120" s="25">
        <f t="shared" si="7"/>
        <v>0</v>
      </c>
      <c r="EN120" s="13">
        <v>0</v>
      </c>
      <c r="EO120" s="25">
        <f t="shared" si="8"/>
        <v>0</v>
      </c>
      <c r="EP120" s="13">
        <v>0</v>
      </c>
      <c r="EQ120" s="25">
        <f t="shared" si="9"/>
        <v>0</v>
      </c>
      <c r="ER120" s="13">
        <v>0</v>
      </c>
      <c r="ES120" s="25">
        <f t="shared" si="10"/>
        <v>0</v>
      </c>
      <c r="ET120" s="13">
        <v>0</v>
      </c>
      <c r="EU120" s="25">
        <f t="shared" si="11"/>
        <v>2127801</v>
      </c>
      <c r="EV120" s="13">
        <v>2127801</v>
      </c>
      <c r="EW120" s="13">
        <v>2061989</v>
      </c>
      <c r="EX120" s="13">
        <v>1727820</v>
      </c>
      <c r="EY120" s="13">
        <v>1648317</v>
      </c>
      <c r="EZ120" s="13">
        <v>1622341</v>
      </c>
      <c r="FA120" s="13">
        <v>1379852</v>
      </c>
      <c r="FB120" s="13">
        <v>1376773</v>
      </c>
      <c r="FC120" s="13">
        <v>1435805</v>
      </c>
      <c r="FD120" s="13">
        <v>1418987</v>
      </c>
      <c r="FE120" s="13">
        <v>1457117</v>
      </c>
      <c r="FF120" s="13">
        <v>1411664</v>
      </c>
      <c r="FG120" s="13">
        <v>1375106</v>
      </c>
      <c r="FH120" s="13">
        <v>1591873</v>
      </c>
      <c r="FI120" s="13">
        <v>1553689</v>
      </c>
    </row>
    <row r="121" spans="1:165" x14ac:dyDescent="0.4">
      <c r="A121" s="34" t="s">
        <v>7</v>
      </c>
      <c r="B121" s="16">
        <v>0</v>
      </c>
      <c r="C121" s="16">
        <v>0</v>
      </c>
      <c r="D121" s="16">
        <v>0</v>
      </c>
      <c r="E121" s="16">
        <v>0</v>
      </c>
      <c r="F121" s="16">
        <v>0</v>
      </c>
      <c r="G121" s="16">
        <v>0</v>
      </c>
      <c r="H121" s="16">
        <v>0</v>
      </c>
      <c r="I121" s="16">
        <v>0</v>
      </c>
      <c r="J121" s="16">
        <v>0</v>
      </c>
      <c r="K121" s="16">
        <v>0</v>
      </c>
      <c r="L121" s="16">
        <v>0</v>
      </c>
      <c r="M121" s="16">
        <v>0</v>
      </c>
      <c r="N121" s="16">
        <v>0</v>
      </c>
      <c r="O121" s="16">
        <v>0</v>
      </c>
      <c r="P121" s="16">
        <v>0</v>
      </c>
      <c r="Q121" s="16">
        <v>0</v>
      </c>
      <c r="R121" s="16">
        <v>0</v>
      </c>
      <c r="S121" s="16">
        <v>0</v>
      </c>
      <c r="T121" s="16">
        <v>0</v>
      </c>
      <c r="U121" s="16">
        <v>0</v>
      </c>
      <c r="V121" s="16">
        <v>0</v>
      </c>
      <c r="W121" s="16">
        <v>0</v>
      </c>
      <c r="X121" s="16">
        <v>0</v>
      </c>
      <c r="Y121" s="16">
        <v>0</v>
      </c>
      <c r="Z121" s="16">
        <v>0</v>
      </c>
      <c r="AA121" s="16">
        <v>0</v>
      </c>
      <c r="AB121" s="16">
        <v>0</v>
      </c>
      <c r="AC121" s="16">
        <v>0</v>
      </c>
      <c r="AD121" s="16">
        <v>0</v>
      </c>
      <c r="AE121" s="16">
        <v>0</v>
      </c>
      <c r="AF121" s="16">
        <v>0</v>
      </c>
      <c r="AG121" s="16">
        <v>0</v>
      </c>
      <c r="AH121" s="16">
        <v>0</v>
      </c>
      <c r="AI121" s="16">
        <v>0</v>
      </c>
      <c r="AJ121" s="16">
        <v>0</v>
      </c>
      <c r="AK121" s="16">
        <v>0</v>
      </c>
      <c r="AL121" s="16">
        <v>127545</v>
      </c>
      <c r="AM121" s="16">
        <v>135393</v>
      </c>
      <c r="AN121" s="16">
        <v>131408</v>
      </c>
      <c r="AO121" s="16">
        <v>199917</v>
      </c>
      <c r="AP121" s="16">
        <v>268947</v>
      </c>
      <c r="AQ121" s="16">
        <v>271813</v>
      </c>
      <c r="AR121" s="16">
        <v>264306</v>
      </c>
      <c r="AS121" s="16">
        <v>271936</v>
      </c>
      <c r="AT121" s="16">
        <v>266978</v>
      </c>
      <c r="AU121" s="16">
        <v>310310</v>
      </c>
      <c r="AV121" s="16">
        <v>309060</v>
      </c>
      <c r="AW121" s="16">
        <v>319089</v>
      </c>
      <c r="AX121" s="16">
        <v>298021</v>
      </c>
      <c r="AY121" s="16">
        <v>295589</v>
      </c>
      <c r="AZ121" s="16">
        <v>284658</v>
      </c>
      <c r="BA121" s="16">
        <v>276998</v>
      </c>
      <c r="BB121" s="16">
        <v>279910</v>
      </c>
      <c r="BC121" s="16">
        <v>277680</v>
      </c>
      <c r="BD121" s="16">
        <v>290301</v>
      </c>
      <c r="BE121" s="16">
        <v>292872</v>
      </c>
      <c r="BF121" s="16">
        <v>288856</v>
      </c>
      <c r="BG121" s="16">
        <v>287355</v>
      </c>
      <c r="BH121" s="16">
        <v>284906</v>
      </c>
      <c r="BI121" s="16">
        <v>287358</v>
      </c>
      <c r="BJ121" s="16">
        <v>283755</v>
      </c>
      <c r="BK121" s="16">
        <v>277324</v>
      </c>
      <c r="BL121" s="16">
        <v>274240</v>
      </c>
      <c r="BM121" s="16">
        <v>282118</v>
      </c>
      <c r="BN121" s="16">
        <v>313727</v>
      </c>
      <c r="BO121" s="16">
        <v>316669</v>
      </c>
      <c r="BP121" s="16">
        <v>320057</v>
      </c>
      <c r="BQ121" s="16">
        <v>317400</v>
      </c>
      <c r="BR121" s="16">
        <v>344204</v>
      </c>
      <c r="BS121" s="16">
        <v>332739</v>
      </c>
      <c r="BT121" s="16">
        <v>332429</v>
      </c>
      <c r="BU121" s="16">
        <v>336776</v>
      </c>
      <c r="BV121" s="16">
        <v>351111</v>
      </c>
      <c r="BW121" s="16">
        <v>334069</v>
      </c>
      <c r="BX121" s="16">
        <v>332342</v>
      </c>
      <c r="BY121" s="16">
        <v>275671</v>
      </c>
      <c r="BZ121" s="16">
        <v>275205</v>
      </c>
      <c r="CA121" s="16">
        <v>276764</v>
      </c>
      <c r="CB121" s="16">
        <v>268330</v>
      </c>
      <c r="CC121" s="16">
        <v>269621</v>
      </c>
      <c r="CD121" s="16">
        <v>282854</v>
      </c>
      <c r="CE121" s="16">
        <v>273974</v>
      </c>
      <c r="CF121" s="16">
        <v>271668</v>
      </c>
      <c r="CG121" s="16">
        <v>272634</v>
      </c>
      <c r="CH121" s="16">
        <v>263299</v>
      </c>
      <c r="CI121" s="16">
        <v>268106</v>
      </c>
      <c r="CJ121" s="16">
        <v>282116</v>
      </c>
      <c r="CK121" s="16">
        <v>332703</v>
      </c>
      <c r="CL121" s="16">
        <v>315782</v>
      </c>
      <c r="CM121" s="16">
        <v>303920</v>
      </c>
      <c r="CN121" s="16">
        <v>299126</v>
      </c>
      <c r="CO121" s="16">
        <v>314367</v>
      </c>
      <c r="CP121" s="16">
        <v>318453</v>
      </c>
      <c r="CQ121" s="16">
        <v>340570</v>
      </c>
      <c r="CR121" s="16">
        <v>339294</v>
      </c>
      <c r="CS121" s="16">
        <v>325002</v>
      </c>
      <c r="CT121" s="16">
        <v>315571</v>
      </c>
      <c r="CU121" s="16">
        <v>326004</v>
      </c>
      <c r="CV121" s="16">
        <v>314898</v>
      </c>
      <c r="CW121" s="16">
        <v>323492</v>
      </c>
      <c r="CX121" s="16">
        <v>318029</v>
      </c>
      <c r="CY121" s="16">
        <v>315167</v>
      </c>
      <c r="CZ121" s="16">
        <v>317135</v>
      </c>
      <c r="DA121" s="16">
        <v>504024</v>
      </c>
      <c r="DB121" s="16">
        <v>539656</v>
      </c>
      <c r="DC121" s="16">
        <v>533845</v>
      </c>
      <c r="DD121" s="16">
        <v>731181</v>
      </c>
      <c r="DE121" s="16">
        <v>777491</v>
      </c>
      <c r="DF121" s="16">
        <v>770022</v>
      </c>
      <c r="DG121" s="16">
        <v>806022</v>
      </c>
      <c r="DH121" s="16">
        <v>810896</v>
      </c>
      <c r="DI121" s="7">
        <v>718364</v>
      </c>
      <c r="DJ121" s="13">
        <v>605373</v>
      </c>
      <c r="DK121" s="13">
        <v>538192</v>
      </c>
      <c r="DL121" s="13">
        <v>430702</v>
      </c>
      <c r="DM121" s="13">
        <v>515225</v>
      </c>
      <c r="DN121" s="13">
        <v>565353</v>
      </c>
      <c r="DO121" s="13">
        <v>650893</v>
      </c>
      <c r="DP121" s="13">
        <v>776207</v>
      </c>
      <c r="DQ121" s="13">
        <v>798746</v>
      </c>
      <c r="DR121" s="13">
        <v>1050951</v>
      </c>
      <c r="DS121" s="13">
        <v>1047220</v>
      </c>
      <c r="DT121" s="13">
        <v>1085457</v>
      </c>
      <c r="DU121" s="13">
        <v>1281102</v>
      </c>
      <c r="DV121" s="13">
        <v>1335986</v>
      </c>
      <c r="DW121" s="13">
        <v>1352348</v>
      </c>
      <c r="DX121" s="13">
        <v>1436983</v>
      </c>
      <c r="DY121" s="13">
        <v>1565798</v>
      </c>
      <c r="DZ121" s="13">
        <v>1637368</v>
      </c>
      <c r="EA121" s="13">
        <v>1660480</v>
      </c>
      <c r="EB121" s="13">
        <v>1579501</v>
      </c>
      <c r="EC121" s="13">
        <v>1530509</v>
      </c>
      <c r="ED121" s="13">
        <v>1698605</v>
      </c>
      <c r="EE121" s="13">
        <v>1738260</v>
      </c>
      <c r="EF121" s="13">
        <v>1880856</v>
      </c>
      <c r="EG121" s="13">
        <v>2153105</v>
      </c>
      <c r="EH121" s="13">
        <v>2172601</v>
      </c>
      <c r="EI121" s="13">
        <v>2245932</v>
      </c>
      <c r="EJ121" s="13">
        <v>2223787</v>
      </c>
      <c r="EK121" s="25">
        <f t="shared" si="6"/>
        <v>52176</v>
      </c>
      <c r="EL121" s="13">
        <v>2275963</v>
      </c>
      <c r="EM121" s="25">
        <f t="shared" si="7"/>
        <v>122806</v>
      </c>
      <c r="EN121" s="13">
        <v>2398769</v>
      </c>
      <c r="EO121" s="25">
        <f t="shared" si="8"/>
        <v>317835</v>
      </c>
      <c r="EP121" s="13">
        <v>2716604</v>
      </c>
      <c r="EQ121" s="25">
        <f t="shared" si="9"/>
        <v>89457</v>
      </c>
      <c r="ER121" s="13">
        <v>2806061</v>
      </c>
      <c r="ES121" s="25">
        <f t="shared" si="10"/>
        <v>297931</v>
      </c>
      <c r="ET121" s="13">
        <v>3103992</v>
      </c>
      <c r="EU121" s="25">
        <f t="shared" si="11"/>
        <v>-155286</v>
      </c>
      <c r="EV121" s="13">
        <v>2948706</v>
      </c>
      <c r="EW121" s="13">
        <v>2851238</v>
      </c>
      <c r="EX121" s="13">
        <v>2670684</v>
      </c>
      <c r="EY121" s="13">
        <v>2674478</v>
      </c>
      <c r="EZ121" s="13">
        <v>2688151</v>
      </c>
      <c r="FA121" s="13">
        <v>2657663</v>
      </c>
      <c r="FB121" s="13">
        <v>2893217</v>
      </c>
      <c r="FC121" s="13">
        <v>3087215</v>
      </c>
      <c r="FD121" s="13">
        <v>3239166</v>
      </c>
      <c r="FE121" s="13">
        <v>3475136</v>
      </c>
      <c r="FF121" s="13">
        <v>3425356</v>
      </c>
      <c r="FG121" s="13">
        <v>3334818</v>
      </c>
      <c r="FH121" s="13">
        <v>3309731</v>
      </c>
      <c r="FI121" s="13">
        <v>3155599</v>
      </c>
    </row>
    <row r="122" spans="1:165" x14ac:dyDescent="0.4">
      <c r="A122" s="35" t="s">
        <v>13</v>
      </c>
      <c r="B122" s="16">
        <v>0</v>
      </c>
      <c r="C122" s="16">
        <v>0</v>
      </c>
      <c r="D122" s="16">
        <v>0</v>
      </c>
      <c r="E122" s="16">
        <v>0</v>
      </c>
      <c r="F122" s="16">
        <v>0</v>
      </c>
      <c r="G122" s="16">
        <v>0</v>
      </c>
      <c r="H122" s="16">
        <v>0</v>
      </c>
      <c r="I122" s="16">
        <v>0</v>
      </c>
      <c r="J122" s="16">
        <v>0</v>
      </c>
      <c r="K122" s="16">
        <v>0</v>
      </c>
      <c r="L122" s="16">
        <v>0</v>
      </c>
      <c r="M122" s="16">
        <v>0</v>
      </c>
      <c r="N122" s="16">
        <v>0</v>
      </c>
      <c r="O122" s="16">
        <v>0</v>
      </c>
      <c r="P122" s="16">
        <v>0</v>
      </c>
      <c r="Q122" s="16">
        <v>0</v>
      </c>
      <c r="R122" s="16">
        <v>0</v>
      </c>
      <c r="S122" s="16">
        <v>0</v>
      </c>
      <c r="T122" s="16">
        <v>0</v>
      </c>
      <c r="U122" s="16">
        <v>0</v>
      </c>
      <c r="V122" s="16">
        <v>0</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0</v>
      </c>
      <c r="AM122" s="16">
        <v>0</v>
      </c>
      <c r="AN122" s="16">
        <v>0</v>
      </c>
      <c r="AO122" s="16">
        <v>0</v>
      </c>
      <c r="AP122" s="16">
        <v>0</v>
      </c>
      <c r="AQ122" s="16">
        <v>0</v>
      </c>
      <c r="AR122" s="16">
        <v>0</v>
      </c>
      <c r="AS122" s="16">
        <v>0</v>
      </c>
      <c r="AT122" s="16">
        <v>0</v>
      </c>
      <c r="AU122" s="16">
        <v>0</v>
      </c>
      <c r="AV122" s="16">
        <v>0</v>
      </c>
      <c r="AW122" s="16">
        <v>0</v>
      </c>
      <c r="AX122" s="16">
        <v>0</v>
      </c>
      <c r="AY122" s="16">
        <v>0</v>
      </c>
      <c r="AZ122" s="16">
        <v>0</v>
      </c>
      <c r="BA122" s="16">
        <v>0</v>
      </c>
      <c r="BB122" s="16">
        <v>0</v>
      </c>
      <c r="BC122" s="16">
        <v>0</v>
      </c>
      <c r="BD122" s="16">
        <v>0</v>
      </c>
      <c r="BE122" s="16">
        <v>0</v>
      </c>
      <c r="BF122" s="16">
        <v>0</v>
      </c>
      <c r="BG122" s="16">
        <v>0</v>
      </c>
      <c r="BH122" s="16">
        <v>0</v>
      </c>
      <c r="BI122" s="16">
        <v>0</v>
      </c>
      <c r="BJ122" s="16">
        <v>0</v>
      </c>
      <c r="BK122" s="16">
        <v>0</v>
      </c>
      <c r="BL122" s="16">
        <v>0</v>
      </c>
      <c r="BM122" s="16">
        <v>0</v>
      </c>
      <c r="BN122" s="16">
        <v>0</v>
      </c>
      <c r="BO122" s="16">
        <v>0</v>
      </c>
      <c r="BP122" s="16">
        <v>0</v>
      </c>
      <c r="BQ122" s="16">
        <v>0</v>
      </c>
      <c r="BR122" s="16">
        <v>0</v>
      </c>
      <c r="BS122" s="16">
        <v>0</v>
      </c>
      <c r="BT122" s="16">
        <v>0</v>
      </c>
      <c r="BU122" s="16">
        <v>0</v>
      </c>
      <c r="BV122" s="16">
        <v>0</v>
      </c>
      <c r="BW122" s="16">
        <v>0</v>
      </c>
      <c r="BX122" s="16">
        <v>0</v>
      </c>
      <c r="BY122" s="16">
        <v>0</v>
      </c>
      <c r="BZ122" s="16">
        <v>0</v>
      </c>
      <c r="CA122" s="16">
        <v>0</v>
      </c>
      <c r="CB122" s="16">
        <v>0</v>
      </c>
      <c r="CC122" s="16">
        <v>0</v>
      </c>
      <c r="CD122" s="16">
        <v>0</v>
      </c>
      <c r="CE122" s="16">
        <v>0</v>
      </c>
      <c r="CF122" s="27">
        <v>0</v>
      </c>
      <c r="CG122" s="27">
        <v>0</v>
      </c>
      <c r="CH122" s="27">
        <v>0</v>
      </c>
      <c r="CI122" s="27">
        <v>0</v>
      </c>
      <c r="CJ122" s="27">
        <v>0</v>
      </c>
      <c r="CK122" s="27">
        <v>0</v>
      </c>
      <c r="CL122" s="27">
        <v>0</v>
      </c>
      <c r="CM122" s="27">
        <v>0</v>
      </c>
      <c r="CN122" s="27">
        <v>0</v>
      </c>
      <c r="CO122" s="27">
        <v>0</v>
      </c>
      <c r="CP122" s="27">
        <v>0</v>
      </c>
      <c r="CQ122" s="27">
        <v>0</v>
      </c>
      <c r="CR122" s="27">
        <v>0</v>
      </c>
      <c r="CS122" s="27">
        <v>0</v>
      </c>
      <c r="CT122" s="27">
        <v>0</v>
      </c>
      <c r="CU122" s="27">
        <v>0</v>
      </c>
      <c r="CV122" s="27">
        <v>0</v>
      </c>
      <c r="CW122" s="27">
        <v>0</v>
      </c>
      <c r="CX122" s="27">
        <v>0</v>
      </c>
      <c r="CY122" s="27">
        <v>0</v>
      </c>
      <c r="CZ122" s="27">
        <v>0</v>
      </c>
      <c r="DA122" s="27">
        <v>0</v>
      </c>
      <c r="DB122" s="27">
        <v>0</v>
      </c>
      <c r="DC122" s="27">
        <v>0</v>
      </c>
      <c r="DD122" s="16">
        <v>6284</v>
      </c>
      <c r="DE122" s="16">
        <v>6689</v>
      </c>
      <c r="DF122" s="16">
        <v>6636</v>
      </c>
      <c r="DG122" s="16">
        <v>6960</v>
      </c>
      <c r="DH122" s="16">
        <v>7481</v>
      </c>
      <c r="DI122" s="7">
        <v>7539</v>
      </c>
      <c r="DJ122" s="13">
        <v>6375</v>
      </c>
      <c r="DK122" s="13">
        <v>5671</v>
      </c>
      <c r="DL122" s="13">
        <v>4604</v>
      </c>
      <c r="DM122" s="13">
        <v>5524</v>
      </c>
      <c r="DN122" s="13">
        <v>5446</v>
      </c>
      <c r="DO122" s="13">
        <v>5186</v>
      </c>
      <c r="DP122" s="13">
        <v>34393</v>
      </c>
      <c r="DQ122" s="13">
        <v>34346</v>
      </c>
      <c r="DR122" s="13">
        <v>39612</v>
      </c>
      <c r="DS122" s="13">
        <v>39837</v>
      </c>
      <c r="DT122" s="13">
        <v>42526</v>
      </c>
      <c r="DU122" s="13">
        <v>44248</v>
      </c>
      <c r="DV122" s="13">
        <v>0</v>
      </c>
      <c r="DW122" s="13">
        <v>2019</v>
      </c>
      <c r="DX122" s="13">
        <v>2188</v>
      </c>
      <c r="DY122" s="13">
        <v>2297</v>
      </c>
      <c r="DZ122" s="13">
        <v>2434</v>
      </c>
      <c r="EA122" s="13">
        <v>2442</v>
      </c>
      <c r="EB122" s="13">
        <v>2348</v>
      </c>
      <c r="EC122" s="13">
        <v>2249</v>
      </c>
      <c r="ED122" s="13">
        <v>32785</v>
      </c>
      <c r="EE122" s="13">
        <v>56114</v>
      </c>
      <c r="EF122" s="13">
        <v>57914</v>
      </c>
      <c r="EG122" s="13">
        <v>55635</v>
      </c>
      <c r="EH122" s="13">
        <v>54898</v>
      </c>
      <c r="EI122" s="13">
        <v>54135</v>
      </c>
      <c r="EJ122" s="13">
        <v>63596</v>
      </c>
      <c r="EK122" s="25">
        <f t="shared" si="6"/>
        <v>827</v>
      </c>
      <c r="EL122" s="13">
        <v>64423</v>
      </c>
      <c r="EM122" s="25">
        <f t="shared" si="7"/>
        <v>3987</v>
      </c>
      <c r="EN122" s="13">
        <v>68410</v>
      </c>
      <c r="EO122" s="25">
        <f t="shared" si="8"/>
        <v>-36558</v>
      </c>
      <c r="EP122" s="13">
        <v>31852</v>
      </c>
      <c r="EQ122" s="25">
        <f t="shared" si="9"/>
        <v>-31852</v>
      </c>
      <c r="ER122" s="13">
        <v>0</v>
      </c>
      <c r="ES122" s="25">
        <f t="shared" si="10"/>
        <v>0</v>
      </c>
      <c r="ET122" s="13">
        <v>0</v>
      </c>
      <c r="EU122" s="25">
        <f t="shared" si="11"/>
        <v>0</v>
      </c>
      <c r="EV122" s="13">
        <v>0</v>
      </c>
      <c r="EW122" s="13">
        <v>0</v>
      </c>
      <c r="EX122" s="13">
        <v>0</v>
      </c>
      <c r="EY122" s="13">
        <v>0</v>
      </c>
      <c r="EZ122" s="13">
        <v>28735</v>
      </c>
      <c r="FA122" s="13">
        <v>27962</v>
      </c>
      <c r="FB122" s="13">
        <v>27659</v>
      </c>
      <c r="FC122" s="13">
        <v>28449</v>
      </c>
      <c r="FD122" s="13">
        <v>28459</v>
      </c>
      <c r="FE122" s="13">
        <v>28871</v>
      </c>
      <c r="FF122" s="13">
        <v>28450</v>
      </c>
      <c r="FG122" s="13">
        <v>27463</v>
      </c>
      <c r="FH122" s="13">
        <v>27603</v>
      </c>
      <c r="FI122" s="13">
        <v>26646</v>
      </c>
    </row>
    <row r="123" spans="1:165" x14ac:dyDescent="0.4">
      <c r="A123" s="35" t="s">
        <v>14</v>
      </c>
      <c r="B123" s="16">
        <v>0</v>
      </c>
      <c r="C123" s="16">
        <v>0</v>
      </c>
      <c r="D123" s="16">
        <v>0</v>
      </c>
      <c r="E123" s="16">
        <v>0</v>
      </c>
      <c r="F123" s="16">
        <v>0</v>
      </c>
      <c r="G123" s="16">
        <v>0</v>
      </c>
      <c r="H123" s="16">
        <v>0</v>
      </c>
      <c r="I123" s="16">
        <v>0</v>
      </c>
      <c r="J123" s="16">
        <v>0</v>
      </c>
      <c r="K123" s="16">
        <v>0</v>
      </c>
      <c r="L123" s="16">
        <v>0</v>
      </c>
      <c r="M123" s="16">
        <v>0</v>
      </c>
      <c r="N123" s="16">
        <v>0</v>
      </c>
      <c r="O123" s="16">
        <v>0</v>
      </c>
      <c r="P123" s="16">
        <v>0</v>
      </c>
      <c r="Q123" s="16">
        <v>0</v>
      </c>
      <c r="R123" s="16">
        <v>0</v>
      </c>
      <c r="S123" s="16">
        <v>0</v>
      </c>
      <c r="T123" s="16">
        <v>0</v>
      </c>
      <c r="U123" s="16">
        <v>0</v>
      </c>
      <c r="V123" s="16">
        <v>0</v>
      </c>
      <c r="W123" s="16">
        <v>0</v>
      </c>
      <c r="X123" s="16">
        <v>0</v>
      </c>
      <c r="Y123" s="16">
        <v>0</v>
      </c>
      <c r="Z123" s="16">
        <v>0</v>
      </c>
      <c r="AA123" s="16">
        <v>0</v>
      </c>
      <c r="AB123" s="16">
        <v>0</v>
      </c>
      <c r="AC123" s="16">
        <v>0</v>
      </c>
      <c r="AD123" s="16">
        <v>0</v>
      </c>
      <c r="AE123" s="16">
        <v>0</v>
      </c>
      <c r="AF123" s="16">
        <v>0</v>
      </c>
      <c r="AG123" s="16">
        <v>0</v>
      </c>
      <c r="AH123" s="16">
        <v>0</v>
      </c>
      <c r="AI123" s="16">
        <v>0</v>
      </c>
      <c r="AJ123" s="16">
        <v>0</v>
      </c>
      <c r="AK123" s="16">
        <v>0</v>
      </c>
      <c r="AL123" s="16">
        <v>127545</v>
      </c>
      <c r="AM123" s="16">
        <v>135393</v>
      </c>
      <c r="AN123" s="16">
        <v>131408</v>
      </c>
      <c r="AO123" s="16">
        <v>199917</v>
      </c>
      <c r="AP123" s="16">
        <v>268947</v>
      </c>
      <c r="AQ123" s="16">
        <v>271813</v>
      </c>
      <c r="AR123" s="16">
        <v>264306</v>
      </c>
      <c r="AS123" s="16">
        <v>271936</v>
      </c>
      <c r="AT123" s="16">
        <v>266978</v>
      </c>
      <c r="AU123" s="16">
        <v>310310</v>
      </c>
      <c r="AV123" s="16">
        <v>309060</v>
      </c>
      <c r="AW123" s="16">
        <v>319089</v>
      </c>
      <c r="AX123" s="16">
        <v>298021</v>
      </c>
      <c r="AY123" s="16">
        <v>295589</v>
      </c>
      <c r="AZ123" s="16">
        <v>284658</v>
      </c>
      <c r="BA123" s="16">
        <v>276998</v>
      </c>
      <c r="BB123" s="16">
        <v>279910</v>
      </c>
      <c r="BC123" s="16">
        <v>277680</v>
      </c>
      <c r="BD123" s="16">
        <v>290301</v>
      </c>
      <c r="BE123" s="16">
        <v>292872</v>
      </c>
      <c r="BF123" s="16">
        <v>288856</v>
      </c>
      <c r="BG123" s="16">
        <v>287355</v>
      </c>
      <c r="BH123" s="16">
        <v>284906</v>
      </c>
      <c r="BI123" s="16">
        <v>287358</v>
      </c>
      <c r="BJ123" s="16">
        <v>283755</v>
      </c>
      <c r="BK123" s="16">
        <v>277324</v>
      </c>
      <c r="BL123" s="16">
        <v>274240</v>
      </c>
      <c r="BM123" s="16">
        <v>282118</v>
      </c>
      <c r="BN123" s="16">
        <v>313727</v>
      </c>
      <c r="BO123" s="16">
        <v>316669</v>
      </c>
      <c r="BP123" s="16">
        <v>320057</v>
      </c>
      <c r="BQ123" s="16">
        <v>317400</v>
      </c>
      <c r="BR123" s="16">
        <v>344204</v>
      </c>
      <c r="BS123" s="16">
        <v>332739</v>
      </c>
      <c r="BT123" s="16">
        <v>332429</v>
      </c>
      <c r="BU123" s="16">
        <v>336776</v>
      </c>
      <c r="BV123" s="16">
        <v>351111</v>
      </c>
      <c r="BW123" s="16">
        <v>334069</v>
      </c>
      <c r="BX123" s="16">
        <v>332342</v>
      </c>
      <c r="BY123" s="16">
        <v>275671</v>
      </c>
      <c r="BZ123" s="16">
        <v>275205</v>
      </c>
      <c r="CA123" s="16">
        <v>276764</v>
      </c>
      <c r="CB123" s="16">
        <v>268330</v>
      </c>
      <c r="CC123" s="16">
        <v>269621</v>
      </c>
      <c r="CD123" s="16">
        <v>282854</v>
      </c>
      <c r="CE123" s="16">
        <v>273974</v>
      </c>
      <c r="CF123" s="16">
        <v>271668</v>
      </c>
      <c r="CG123" s="16">
        <v>272634</v>
      </c>
      <c r="CH123" s="16">
        <v>263299</v>
      </c>
      <c r="CI123" s="16">
        <v>268106</v>
      </c>
      <c r="CJ123" s="16">
        <v>282116</v>
      </c>
      <c r="CK123" s="16">
        <v>332703</v>
      </c>
      <c r="CL123" s="16">
        <v>315782</v>
      </c>
      <c r="CM123" s="16">
        <v>303920</v>
      </c>
      <c r="CN123" s="16">
        <v>299126</v>
      </c>
      <c r="CO123" s="16">
        <v>314367</v>
      </c>
      <c r="CP123" s="16">
        <v>318453</v>
      </c>
      <c r="CQ123" s="16">
        <v>340570</v>
      </c>
      <c r="CR123" s="16">
        <v>339294</v>
      </c>
      <c r="CS123" s="16">
        <v>325002</v>
      </c>
      <c r="CT123" s="16">
        <v>315571</v>
      </c>
      <c r="CU123" s="16">
        <v>326004</v>
      </c>
      <c r="CV123" s="16">
        <v>314898</v>
      </c>
      <c r="CW123" s="16">
        <v>323492</v>
      </c>
      <c r="CX123" s="16">
        <v>318029</v>
      </c>
      <c r="CY123" s="16">
        <v>315167</v>
      </c>
      <c r="CZ123" s="16">
        <v>317135</v>
      </c>
      <c r="DA123" s="16">
        <v>504024</v>
      </c>
      <c r="DB123" s="16">
        <v>539656</v>
      </c>
      <c r="DC123" s="16">
        <v>533845</v>
      </c>
      <c r="DD123" s="16">
        <v>724898</v>
      </c>
      <c r="DE123" s="16">
        <v>770801</v>
      </c>
      <c r="DF123" s="16">
        <v>763386</v>
      </c>
      <c r="DG123" s="16">
        <v>799062</v>
      </c>
      <c r="DH123" s="16">
        <v>803415</v>
      </c>
      <c r="DI123" s="7">
        <v>710826</v>
      </c>
      <c r="DJ123" s="13">
        <v>598998</v>
      </c>
      <c r="DK123" s="13">
        <v>532521</v>
      </c>
      <c r="DL123" s="13">
        <v>426099</v>
      </c>
      <c r="DM123" s="13">
        <v>509701</v>
      </c>
      <c r="DN123" s="13">
        <v>559907</v>
      </c>
      <c r="DO123" s="13">
        <v>645707</v>
      </c>
      <c r="DP123" s="13">
        <v>741814</v>
      </c>
      <c r="DQ123" s="13">
        <v>764400</v>
      </c>
      <c r="DR123" s="13">
        <v>1011339</v>
      </c>
      <c r="DS123" s="13">
        <v>1007383</v>
      </c>
      <c r="DT123" s="13">
        <v>1042931</v>
      </c>
      <c r="DU123" s="13">
        <v>1236854</v>
      </c>
      <c r="DV123" s="13">
        <v>1335986</v>
      </c>
      <c r="DW123" s="13">
        <v>1350329</v>
      </c>
      <c r="DX123" s="13">
        <v>1434795</v>
      </c>
      <c r="DY123" s="13">
        <v>1563501</v>
      </c>
      <c r="DZ123" s="13">
        <v>1634935</v>
      </c>
      <c r="EA123" s="13">
        <v>1658038</v>
      </c>
      <c r="EB123" s="13">
        <v>1577153</v>
      </c>
      <c r="EC123" s="13">
        <v>1528261</v>
      </c>
      <c r="ED123" s="13">
        <v>1665820</v>
      </c>
      <c r="EE123" s="13">
        <v>1682146</v>
      </c>
      <c r="EF123" s="13">
        <v>1822943</v>
      </c>
      <c r="EG123" s="13">
        <v>2097471</v>
      </c>
      <c r="EH123" s="13">
        <v>2117703</v>
      </c>
      <c r="EI123" s="13">
        <v>2191797</v>
      </c>
      <c r="EJ123" s="13">
        <v>2160191</v>
      </c>
      <c r="EK123" s="25">
        <f t="shared" si="6"/>
        <v>51349</v>
      </c>
      <c r="EL123" s="13">
        <v>2211540</v>
      </c>
      <c r="EM123" s="25">
        <f t="shared" si="7"/>
        <v>118819</v>
      </c>
      <c r="EN123" s="13">
        <v>2330359</v>
      </c>
      <c r="EO123" s="25">
        <f t="shared" si="8"/>
        <v>354393</v>
      </c>
      <c r="EP123" s="13">
        <v>2684752</v>
      </c>
      <c r="EQ123" s="25">
        <f t="shared" si="9"/>
        <v>121309</v>
      </c>
      <c r="ER123" s="13">
        <v>2806061</v>
      </c>
      <c r="ES123" s="25">
        <f t="shared" si="10"/>
        <v>297931</v>
      </c>
      <c r="ET123" s="13">
        <v>3103992</v>
      </c>
      <c r="EU123" s="25">
        <f t="shared" si="11"/>
        <v>-155286</v>
      </c>
      <c r="EV123" s="13">
        <v>2948706</v>
      </c>
      <c r="EW123" s="13">
        <v>2851238</v>
      </c>
      <c r="EX123" s="13">
        <v>2670684</v>
      </c>
      <c r="EY123" s="13">
        <v>2674478</v>
      </c>
      <c r="EZ123" s="13">
        <v>2659417</v>
      </c>
      <c r="FA123" s="13">
        <v>2629701</v>
      </c>
      <c r="FB123" s="13">
        <v>2865558</v>
      </c>
      <c r="FC123" s="13">
        <v>3058766</v>
      </c>
      <c r="FD123" s="13">
        <v>3210707</v>
      </c>
      <c r="FE123" s="13">
        <v>3446265</v>
      </c>
      <c r="FF123" s="13">
        <v>3396906</v>
      </c>
      <c r="FG123" s="13">
        <v>3307355</v>
      </c>
      <c r="FH123" s="13">
        <v>3282129</v>
      </c>
      <c r="FI123" s="13">
        <v>3128953</v>
      </c>
    </row>
    <row r="124" spans="1:165" x14ac:dyDescent="0.4">
      <c r="A124" s="35" t="s">
        <v>27</v>
      </c>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v>0</v>
      </c>
      <c r="BW124" s="16">
        <v>0</v>
      </c>
      <c r="BX124" s="16">
        <v>52606</v>
      </c>
      <c r="BY124" s="16">
        <v>0</v>
      </c>
      <c r="BZ124" s="16">
        <v>0</v>
      </c>
      <c r="CA124" s="16">
        <v>0</v>
      </c>
      <c r="CB124" s="16">
        <v>0</v>
      </c>
      <c r="CC124" s="16">
        <v>0</v>
      </c>
      <c r="CD124" s="16">
        <v>58</v>
      </c>
      <c r="CE124" s="16">
        <v>0</v>
      </c>
      <c r="CF124" s="16">
        <v>0</v>
      </c>
      <c r="CG124" s="16">
        <v>0</v>
      </c>
      <c r="CH124" s="16">
        <v>0</v>
      </c>
      <c r="CI124" s="16">
        <v>0</v>
      </c>
      <c r="CJ124" s="16">
        <v>0</v>
      </c>
      <c r="CK124" s="16">
        <v>1</v>
      </c>
      <c r="CL124" s="16">
        <v>1</v>
      </c>
      <c r="CM124" s="16">
        <v>1</v>
      </c>
      <c r="CN124" s="16">
        <v>2</v>
      </c>
      <c r="CO124" s="16">
        <v>2</v>
      </c>
      <c r="CP124" s="16">
        <v>0</v>
      </c>
      <c r="CQ124" s="16">
        <v>0</v>
      </c>
      <c r="CR124" s="16">
        <v>0</v>
      </c>
      <c r="CS124" s="16">
        <v>0</v>
      </c>
      <c r="CT124" s="16">
        <v>0</v>
      </c>
      <c r="CU124" s="16">
        <v>0</v>
      </c>
      <c r="CV124" s="16">
        <v>0</v>
      </c>
      <c r="CW124" s="16">
        <v>0</v>
      </c>
      <c r="CX124" s="16">
        <v>0</v>
      </c>
      <c r="CY124" s="16">
        <v>0</v>
      </c>
      <c r="CZ124" s="16">
        <v>0</v>
      </c>
      <c r="DA124" s="16">
        <v>0</v>
      </c>
      <c r="DB124" s="16">
        <v>0</v>
      </c>
      <c r="DC124" s="16">
        <v>0</v>
      </c>
      <c r="DD124" s="16">
        <v>0</v>
      </c>
      <c r="DE124" s="16">
        <v>0</v>
      </c>
      <c r="DF124" s="16">
        <v>0</v>
      </c>
      <c r="DG124" s="16">
        <v>0</v>
      </c>
      <c r="DH124" s="16">
        <v>0</v>
      </c>
      <c r="DI124" s="7">
        <v>0</v>
      </c>
      <c r="DJ124" s="13">
        <v>0</v>
      </c>
      <c r="DK124" s="13">
        <v>0</v>
      </c>
      <c r="DL124" s="13">
        <v>0</v>
      </c>
      <c r="DM124" s="13">
        <v>0</v>
      </c>
      <c r="DN124" s="13">
        <v>0</v>
      </c>
      <c r="DO124" s="13">
        <v>0</v>
      </c>
      <c r="DP124" s="13">
        <v>7540</v>
      </c>
      <c r="DQ124" s="13">
        <v>7493</v>
      </c>
      <c r="DR124" s="13">
        <v>8641</v>
      </c>
      <c r="DS124" s="13">
        <v>8560</v>
      </c>
      <c r="DT124" s="13">
        <v>9289</v>
      </c>
      <c r="DU124" s="13">
        <v>9505</v>
      </c>
      <c r="DV124" s="13">
        <v>9939</v>
      </c>
      <c r="DW124" s="13">
        <v>9974</v>
      </c>
      <c r="DX124" s="13">
        <v>37341</v>
      </c>
      <c r="DY124" s="13">
        <v>38917</v>
      </c>
      <c r="DZ124" s="13">
        <v>41192</v>
      </c>
      <c r="EA124" s="13">
        <v>46000</v>
      </c>
      <c r="EB124" s="13">
        <v>43949</v>
      </c>
      <c r="EC124" s="13">
        <v>50915</v>
      </c>
      <c r="ED124" s="13">
        <v>50874</v>
      </c>
      <c r="EE124" s="13">
        <v>82246</v>
      </c>
      <c r="EF124" s="13">
        <v>84514</v>
      </c>
      <c r="EG124" s="13">
        <v>93061</v>
      </c>
      <c r="EH124" s="13">
        <v>92872</v>
      </c>
      <c r="EI124" s="13">
        <v>103447</v>
      </c>
      <c r="EJ124" s="13">
        <v>71217</v>
      </c>
      <c r="EK124" s="25">
        <f t="shared" si="6"/>
        <v>27161</v>
      </c>
      <c r="EL124" s="13">
        <v>98378</v>
      </c>
      <c r="EM124" s="25">
        <f t="shared" si="7"/>
        <v>4791</v>
      </c>
      <c r="EN124" s="13">
        <v>103169</v>
      </c>
      <c r="EO124" s="25">
        <f t="shared" si="8"/>
        <v>28612</v>
      </c>
      <c r="EP124" s="13">
        <v>131781</v>
      </c>
      <c r="EQ124" s="25">
        <f t="shared" si="9"/>
        <v>14091</v>
      </c>
      <c r="ER124" s="13">
        <v>145872</v>
      </c>
      <c r="ES124" s="25">
        <f t="shared" si="10"/>
        <v>4884</v>
      </c>
      <c r="ET124" s="13">
        <v>150756</v>
      </c>
      <c r="EU124" s="25">
        <f t="shared" si="11"/>
        <v>130999</v>
      </c>
      <c r="EV124" s="13">
        <v>281755</v>
      </c>
      <c r="EW124" s="13">
        <v>240944</v>
      </c>
      <c r="EX124" s="13">
        <v>222914</v>
      </c>
      <c r="EY124" s="13">
        <v>242214</v>
      </c>
      <c r="EZ124" s="13">
        <v>253263</v>
      </c>
      <c r="FA124" s="13">
        <v>280371</v>
      </c>
      <c r="FB124" s="13">
        <v>348749</v>
      </c>
      <c r="FC124" s="13">
        <v>336863</v>
      </c>
      <c r="FD124" s="13">
        <v>347171</v>
      </c>
      <c r="FE124" s="13">
        <v>330479</v>
      </c>
      <c r="FF124" s="13">
        <v>355532</v>
      </c>
      <c r="FG124" s="13">
        <v>399462</v>
      </c>
      <c r="FH124" s="13">
        <v>355928</v>
      </c>
      <c r="FI124" s="13">
        <v>321328</v>
      </c>
    </row>
    <row r="125" spans="1:165" x14ac:dyDescent="0.4">
      <c r="A125" s="35" t="s">
        <v>30</v>
      </c>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v>351111</v>
      </c>
      <c r="BW125" s="16">
        <v>334069</v>
      </c>
      <c r="BX125" s="16">
        <v>279737</v>
      </c>
      <c r="BY125" s="16">
        <v>275671</v>
      </c>
      <c r="BZ125" s="16">
        <v>275205</v>
      </c>
      <c r="CA125" s="16">
        <v>276764</v>
      </c>
      <c r="CB125" s="16">
        <v>268330</v>
      </c>
      <c r="CC125" s="16">
        <v>269621</v>
      </c>
      <c r="CD125" s="16">
        <v>282796</v>
      </c>
      <c r="CE125" s="16">
        <v>273974</v>
      </c>
      <c r="CF125" s="16">
        <v>271668</v>
      </c>
      <c r="CG125" s="16">
        <v>272634</v>
      </c>
      <c r="CH125" s="16">
        <v>263299</v>
      </c>
      <c r="CI125" s="16">
        <v>268106</v>
      </c>
      <c r="CJ125" s="16">
        <v>282116</v>
      </c>
      <c r="CK125" s="16">
        <v>332702</v>
      </c>
      <c r="CL125" s="16">
        <v>315781</v>
      </c>
      <c r="CM125" s="16">
        <v>303919</v>
      </c>
      <c r="CN125" s="16">
        <v>299124</v>
      </c>
      <c r="CO125" s="16">
        <v>314364</v>
      </c>
      <c r="CP125" s="16">
        <v>318453</v>
      </c>
      <c r="CQ125" s="16">
        <v>340570</v>
      </c>
      <c r="CR125" s="16">
        <v>339294</v>
      </c>
      <c r="CS125" s="16">
        <v>325002</v>
      </c>
      <c r="CT125" s="16">
        <v>315571</v>
      </c>
      <c r="CU125" s="16">
        <v>326004</v>
      </c>
      <c r="CV125" s="16">
        <v>314898</v>
      </c>
      <c r="CW125" s="16">
        <v>323492</v>
      </c>
      <c r="CX125" s="16">
        <v>318029</v>
      </c>
      <c r="CY125" s="16">
        <v>315167</v>
      </c>
      <c r="CZ125" s="16">
        <v>317135</v>
      </c>
      <c r="DA125" s="16">
        <v>504024</v>
      </c>
      <c r="DB125" s="16">
        <v>539656</v>
      </c>
      <c r="DC125" s="16">
        <v>533845</v>
      </c>
      <c r="DD125" s="16">
        <v>724898</v>
      </c>
      <c r="DE125" s="16">
        <v>770801</v>
      </c>
      <c r="DF125" s="16">
        <v>763386</v>
      </c>
      <c r="DG125" s="16">
        <v>799062</v>
      </c>
      <c r="DH125" s="16">
        <v>803415</v>
      </c>
      <c r="DI125" s="7">
        <v>710826</v>
      </c>
      <c r="DJ125" s="13">
        <v>598998</v>
      </c>
      <c r="DK125" s="13">
        <v>532521</v>
      </c>
      <c r="DL125" s="13">
        <v>426099</v>
      </c>
      <c r="DM125" s="13">
        <v>509701</v>
      </c>
      <c r="DN125" s="13">
        <v>559907</v>
      </c>
      <c r="DO125" s="13">
        <v>645707</v>
      </c>
      <c r="DP125" s="13">
        <v>734274</v>
      </c>
      <c r="DQ125" s="13">
        <v>756907</v>
      </c>
      <c r="DR125" s="13">
        <v>1002699</v>
      </c>
      <c r="DS125" s="13">
        <v>998823</v>
      </c>
      <c r="DT125" s="13">
        <v>1033642</v>
      </c>
      <c r="DU125" s="13">
        <v>1227350</v>
      </c>
      <c r="DV125" s="13">
        <v>1326047</v>
      </c>
      <c r="DW125" s="13">
        <v>1340355</v>
      </c>
      <c r="DX125" s="13">
        <v>1397453</v>
      </c>
      <c r="DY125" s="13">
        <v>1524584</v>
      </c>
      <c r="DZ125" s="13">
        <v>1593743</v>
      </c>
      <c r="EA125" s="13">
        <v>1612038</v>
      </c>
      <c r="EB125" s="13">
        <v>1533204</v>
      </c>
      <c r="EC125" s="13">
        <v>1477346</v>
      </c>
      <c r="ED125" s="13">
        <v>1614946</v>
      </c>
      <c r="EE125" s="13">
        <v>1599900</v>
      </c>
      <c r="EF125" s="13">
        <v>1738428</v>
      </c>
      <c r="EG125" s="13">
        <v>2004410</v>
      </c>
      <c r="EH125" s="13">
        <v>2024831</v>
      </c>
      <c r="EI125" s="13">
        <v>2088350</v>
      </c>
      <c r="EJ125" s="13">
        <v>2088974</v>
      </c>
      <c r="EK125" s="56">
        <f t="shared" si="6"/>
        <v>24188</v>
      </c>
      <c r="EL125" s="13">
        <v>2113162</v>
      </c>
      <c r="EM125" s="56">
        <f t="shared" si="7"/>
        <v>114028</v>
      </c>
      <c r="EN125" s="13">
        <v>2227190</v>
      </c>
      <c r="EO125" s="56">
        <f t="shared" si="8"/>
        <v>325781</v>
      </c>
      <c r="EP125" s="13">
        <v>2552971</v>
      </c>
      <c r="EQ125" s="56">
        <f t="shared" si="9"/>
        <v>107218</v>
      </c>
      <c r="ER125" s="13">
        <v>2660189</v>
      </c>
      <c r="ES125" s="56">
        <f t="shared" si="10"/>
        <v>293047</v>
      </c>
      <c r="ET125" s="13">
        <v>2953236</v>
      </c>
      <c r="EU125" s="25">
        <f t="shared" si="11"/>
        <v>-286285</v>
      </c>
      <c r="EV125" s="13">
        <v>2666951</v>
      </c>
      <c r="EW125" s="13">
        <v>2610294</v>
      </c>
      <c r="EX125" s="13">
        <v>2447770</v>
      </c>
      <c r="EY125" s="13">
        <v>2432264</v>
      </c>
      <c r="EZ125" s="13">
        <v>2406154</v>
      </c>
      <c r="FA125" s="13">
        <v>2349330</v>
      </c>
      <c r="FB125" s="13">
        <v>2516808</v>
      </c>
      <c r="FC125" s="13">
        <v>2721903</v>
      </c>
      <c r="FD125" s="13">
        <v>2863535</v>
      </c>
      <c r="FE125" s="13">
        <v>3115786</v>
      </c>
      <c r="FF125" s="13">
        <v>3041373</v>
      </c>
      <c r="FG125" s="13">
        <v>2907893</v>
      </c>
      <c r="FH125" s="13">
        <v>2926201</v>
      </c>
      <c r="FI125" s="13">
        <v>2807625</v>
      </c>
    </row>
    <row r="126" spans="1:165" x14ac:dyDescent="0.4">
      <c r="A126" s="34" t="s">
        <v>8</v>
      </c>
      <c r="B126" s="16">
        <v>0</v>
      </c>
      <c r="C126" s="16">
        <v>0</v>
      </c>
      <c r="D126" s="16">
        <v>0</v>
      </c>
      <c r="E126" s="16">
        <v>0</v>
      </c>
      <c r="F126" s="16">
        <v>0</v>
      </c>
      <c r="G126" s="16">
        <v>0</v>
      </c>
      <c r="H126" s="16">
        <v>0</v>
      </c>
      <c r="I126" s="16">
        <v>0</v>
      </c>
      <c r="J126" s="16">
        <v>0</v>
      </c>
      <c r="K126" s="16">
        <v>0</v>
      </c>
      <c r="L126" s="16">
        <v>0</v>
      </c>
      <c r="M126" s="16">
        <v>0</v>
      </c>
      <c r="N126" s="16">
        <v>0</v>
      </c>
      <c r="O126" s="16">
        <v>0</v>
      </c>
      <c r="P126" s="16">
        <v>0</v>
      </c>
      <c r="Q126" s="16">
        <v>0</v>
      </c>
      <c r="R126" s="16">
        <v>0</v>
      </c>
      <c r="S126" s="16">
        <v>0</v>
      </c>
      <c r="T126" s="16">
        <v>0</v>
      </c>
      <c r="U126" s="16">
        <v>0</v>
      </c>
      <c r="V126" s="16">
        <v>0</v>
      </c>
      <c r="W126" s="16">
        <v>0</v>
      </c>
      <c r="X126" s="16">
        <v>0</v>
      </c>
      <c r="Y126" s="16">
        <v>0</v>
      </c>
      <c r="Z126" s="16">
        <v>0</v>
      </c>
      <c r="AA126" s="16">
        <v>0</v>
      </c>
      <c r="AB126" s="16">
        <v>0</v>
      </c>
      <c r="AC126" s="16">
        <v>0</v>
      </c>
      <c r="AD126" s="16">
        <v>0</v>
      </c>
      <c r="AE126" s="16">
        <v>0</v>
      </c>
      <c r="AF126" s="16">
        <v>0</v>
      </c>
      <c r="AG126" s="16">
        <v>0</v>
      </c>
      <c r="AH126" s="16">
        <v>0</v>
      </c>
      <c r="AI126" s="16">
        <v>0</v>
      </c>
      <c r="AJ126" s="16">
        <v>0</v>
      </c>
      <c r="AK126" s="16">
        <v>0</v>
      </c>
      <c r="AL126" s="16">
        <v>0</v>
      </c>
      <c r="AM126" s="16">
        <v>0</v>
      </c>
      <c r="AN126" s="16">
        <v>0</v>
      </c>
      <c r="AO126" s="16">
        <v>0</v>
      </c>
      <c r="AP126" s="16">
        <v>0</v>
      </c>
      <c r="AQ126" s="16">
        <v>0</v>
      </c>
      <c r="AR126" s="16">
        <v>0</v>
      </c>
      <c r="AS126" s="16">
        <v>0</v>
      </c>
      <c r="AT126" s="16">
        <v>0</v>
      </c>
      <c r="AU126" s="16">
        <v>0</v>
      </c>
      <c r="AV126" s="16">
        <v>0</v>
      </c>
      <c r="AW126" s="16">
        <v>0</v>
      </c>
      <c r="AX126" s="16">
        <v>0</v>
      </c>
      <c r="AY126" s="16">
        <v>0</v>
      </c>
      <c r="AZ126" s="16">
        <v>0</v>
      </c>
      <c r="BA126" s="16">
        <v>0</v>
      </c>
      <c r="BB126" s="16">
        <v>0</v>
      </c>
      <c r="BC126" s="16">
        <v>0</v>
      </c>
      <c r="BD126" s="16">
        <v>0</v>
      </c>
      <c r="BE126" s="16">
        <v>0</v>
      </c>
      <c r="BF126" s="16">
        <v>0</v>
      </c>
      <c r="BG126" s="16">
        <v>0</v>
      </c>
      <c r="BH126" s="16">
        <v>0</v>
      </c>
      <c r="BI126" s="16">
        <v>0</v>
      </c>
      <c r="BJ126" s="16">
        <v>0</v>
      </c>
      <c r="BK126" s="16">
        <v>0</v>
      </c>
      <c r="BL126" s="16">
        <v>0</v>
      </c>
      <c r="BM126" s="16">
        <v>0</v>
      </c>
      <c r="BN126" s="16">
        <v>0</v>
      </c>
      <c r="BO126" s="16">
        <v>0</v>
      </c>
      <c r="BP126" s="16">
        <v>0</v>
      </c>
      <c r="BQ126" s="16">
        <v>0</v>
      </c>
      <c r="BR126" s="16">
        <v>0</v>
      </c>
      <c r="BS126" s="16">
        <v>0</v>
      </c>
      <c r="BT126" s="16">
        <v>0</v>
      </c>
      <c r="BU126" s="16">
        <v>0</v>
      </c>
      <c r="BV126" s="16">
        <v>0</v>
      </c>
      <c r="BW126" s="16">
        <v>0</v>
      </c>
      <c r="BX126" s="16">
        <v>0</v>
      </c>
      <c r="BY126" s="16">
        <v>0</v>
      </c>
      <c r="BZ126" s="16">
        <v>0</v>
      </c>
      <c r="CA126" s="16">
        <v>0</v>
      </c>
      <c r="CB126" s="16">
        <v>0</v>
      </c>
      <c r="CC126" s="16">
        <v>0</v>
      </c>
      <c r="CD126" s="16">
        <v>0</v>
      </c>
      <c r="CE126" s="16">
        <v>0</v>
      </c>
      <c r="CF126" s="27">
        <v>0</v>
      </c>
      <c r="CG126" s="27">
        <v>0</v>
      </c>
      <c r="CH126" s="27">
        <v>0</v>
      </c>
      <c r="CI126" s="27">
        <v>0</v>
      </c>
      <c r="CJ126" s="27">
        <v>0</v>
      </c>
      <c r="CK126" s="27">
        <v>0</v>
      </c>
      <c r="CL126" s="27">
        <v>0</v>
      </c>
      <c r="CM126" s="27">
        <v>0</v>
      </c>
      <c r="CN126" s="27">
        <v>0</v>
      </c>
      <c r="CO126" s="27">
        <v>0</v>
      </c>
      <c r="CP126" s="27">
        <v>0</v>
      </c>
      <c r="CQ126" s="27">
        <v>0</v>
      </c>
      <c r="CR126" s="27">
        <v>0</v>
      </c>
      <c r="CS126" s="27">
        <v>0</v>
      </c>
      <c r="CT126" s="27">
        <v>0</v>
      </c>
      <c r="CU126" s="27">
        <v>0</v>
      </c>
      <c r="CV126" s="27">
        <v>0</v>
      </c>
      <c r="CW126" s="27">
        <v>0</v>
      </c>
      <c r="CX126" s="27">
        <v>0</v>
      </c>
      <c r="CY126" s="27">
        <v>0</v>
      </c>
      <c r="CZ126" s="27">
        <v>0</v>
      </c>
      <c r="DA126" s="27">
        <v>0</v>
      </c>
      <c r="DB126" s="27">
        <v>0</v>
      </c>
      <c r="DC126" s="27">
        <v>0</v>
      </c>
      <c r="DD126" s="16">
        <v>0</v>
      </c>
      <c r="DE126" s="16">
        <v>0</v>
      </c>
      <c r="DF126" s="16">
        <v>0</v>
      </c>
      <c r="DG126" s="16">
        <v>0</v>
      </c>
      <c r="DH126" s="16">
        <v>0</v>
      </c>
      <c r="DI126" s="16">
        <v>0</v>
      </c>
      <c r="DJ126" s="13">
        <v>0</v>
      </c>
      <c r="DK126" s="13">
        <v>0</v>
      </c>
      <c r="DL126" s="13">
        <v>0</v>
      </c>
      <c r="DM126" s="13">
        <v>0</v>
      </c>
      <c r="DN126" s="13">
        <v>0</v>
      </c>
      <c r="DO126" s="13">
        <v>40063</v>
      </c>
      <c r="DP126" s="13">
        <v>43087</v>
      </c>
      <c r="DQ126" s="13">
        <v>59030</v>
      </c>
      <c r="DR126" s="13">
        <v>68453</v>
      </c>
      <c r="DS126" s="13">
        <v>68408</v>
      </c>
      <c r="DT126" s="13">
        <v>72755</v>
      </c>
      <c r="DU126" s="13">
        <v>73736</v>
      </c>
      <c r="DV126" s="13">
        <v>69643</v>
      </c>
      <c r="DW126" s="13">
        <v>67015</v>
      </c>
      <c r="DX126" s="13">
        <v>72906</v>
      </c>
      <c r="DY126" s="13">
        <v>77214</v>
      </c>
      <c r="DZ126" s="13">
        <v>82819</v>
      </c>
      <c r="EA126" s="13">
        <v>86529</v>
      </c>
      <c r="EB126" s="13">
        <v>80995</v>
      </c>
      <c r="EC126" s="13">
        <v>79221</v>
      </c>
      <c r="ED126" s="13">
        <v>80116</v>
      </c>
      <c r="EE126" s="13">
        <v>79623</v>
      </c>
      <c r="EF126" s="13">
        <v>85686</v>
      </c>
      <c r="EG126" s="13">
        <v>107720</v>
      </c>
      <c r="EH126" s="13">
        <v>107203</v>
      </c>
      <c r="EI126" s="13">
        <v>102852</v>
      </c>
      <c r="EJ126" s="13">
        <v>97604</v>
      </c>
      <c r="EK126" s="25">
        <f t="shared" si="6"/>
        <v>-3377</v>
      </c>
      <c r="EL126" s="13">
        <v>94227</v>
      </c>
      <c r="EM126" s="25">
        <f t="shared" si="7"/>
        <v>-4938</v>
      </c>
      <c r="EN126" s="13">
        <v>89289</v>
      </c>
      <c r="EO126" s="25">
        <f t="shared" si="8"/>
        <v>9913</v>
      </c>
      <c r="EP126" s="13">
        <v>99202</v>
      </c>
      <c r="EQ126" s="25">
        <f t="shared" si="9"/>
        <v>1427</v>
      </c>
      <c r="ER126" s="13">
        <v>100629</v>
      </c>
      <c r="ES126" s="25">
        <f t="shared" si="10"/>
        <v>14022</v>
      </c>
      <c r="ET126" s="13">
        <v>114651</v>
      </c>
      <c r="EU126" s="25">
        <f t="shared" si="11"/>
        <v>-9214</v>
      </c>
      <c r="EV126" s="13">
        <v>105437</v>
      </c>
      <c r="EW126" s="13">
        <v>109194</v>
      </c>
      <c r="EX126" s="13">
        <v>98987</v>
      </c>
      <c r="EY126" s="13">
        <v>95048</v>
      </c>
      <c r="EZ126" s="13">
        <v>95213</v>
      </c>
      <c r="FA126" s="13">
        <v>90919</v>
      </c>
      <c r="FB126" s="13">
        <v>90262</v>
      </c>
      <c r="FC126" s="13">
        <v>97005</v>
      </c>
      <c r="FD126" s="13">
        <v>93198</v>
      </c>
      <c r="FE126" s="13">
        <v>98753</v>
      </c>
      <c r="FF126" s="13">
        <v>96133</v>
      </c>
      <c r="FG126" s="13">
        <v>90734</v>
      </c>
      <c r="FH126" s="13">
        <v>91385</v>
      </c>
      <c r="FI126" s="13">
        <v>90268</v>
      </c>
    </row>
    <row r="127" spans="1:165" x14ac:dyDescent="0.4">
      <c r="A127" s="35" t="s">
        <v>13</v>
      </c>
      <c r="B127" s="16">
        <v>0</v>
      </c>
      <c r="C127" s="16">
        <v>0</v>
      </c>
      <c r="D127" s="16">
        <v>0</v>
      </c>
      <c r="E127" s="16">
        <v>0</v>
      </c>
      <c r="F127" s="16">
        <v>0</v>
      </c>
      <c r="G127" s="16">
        <v>0</v>
      </c>
      <c r="H127" s="16">
        <v>0</v>
      </c>
      <c r="I127" s="16">
        <v>0</v>
      </c>
      <c r="J127" s="16">
        <v>0</v>
      </c>
      <c r="K127" s="16">
        <v>0</v>
      </c>
      <c r="L127" s="16">
        <v>0</v>
      </c>
      <c r="M127" s="16">
        <v>0</v>
      </c>
      <c r="N127" s="16">
        <v>0</v>
      </c>
      <c r="O127" s="16">
        <v>0</v>
      </c>
      <c r="P127" s="16">
        <v>0</v>
      </c>
      <c r="Q127" s="16">
        <v>0</v>
      </c>
      <c r="R127" s="16">
        <v>0</v>
      </c>
      <c r="S127" s="16">
        <v>0</v>
      </c>
      <c r="T127" s="16">
        <v>0</v>
      </c>
      <c r="U127" s="16">
        <v>0</v>
      </c>
      <c r="V127" s="16">
        <v>0</v>
      </c>
      <c r="W127" s="16">
        <v>0</v>
      </c>
      <c r="X127" s="16">
        <v>0</v>
      </c>
      <c r="Y127" s="16">
        <v>0</v>
      </c>
      <c r="Z127" s="16">
        <v>0</v>
      </c>
      <c r="AA127" s="16">
        <v>0</v>
      </c>
      <c r="AB127" s="16">
        <v>0</v>
      </c>
      <c r="AC127" s="16">
        <v>0</v>
      </c>
      <c r="AD127" s="16">
        <v>0</v>
      </c>
      <c r="AE127" s="16">
        <v>0</v>
      </c>
      <c r="AF127" s="16">
        <v>0</v>
      </c>
      <c r="AG127" s="16">
        <v>0</v>
      </c>
      <c r="AH127" s="16">
        <v>0</v>
      </c>
      <c r="AI127" s="16">
        <v>0</v>
      </c>
      <c r="AJ127" s="16">
        <v>0</v>
      </c>
      <c r="AK127" s="16">
        <v>0</v>
      </c>
      <c r="AL127" s="16">
        <v>0</v>
      </c>
      <c r="AM127" s="16">
        <v>0</v>
      </c>
      <c r="AN127" s="16">
        <v>0</v>
      </c>
      <c r="AO127" s="16">
        <v>0</v>
      </c>
      <c r="AP127" s="16">
        <v>0</v>
      </c>
      <c r="AQ127" s="16">
        <v>0</v>
      </c>
      <c r="AR127" s="16">
        <v>0</v>
      </c>
      <c r="AS127" s="16">
        <v>0</v>
      </c>
      <c r="AT127" s="16">
        <v>0</v>
      </c>
      <c r="AU127" s="16">
        <v>0</v>
      </c>
      <c r="AV127" s="16">
        <v>0</v>
      </c>
      <c r="AW127" s="16">
        <v>0</v>
      </c>
      <c r="AX127" s="16">
        <v>0</v>
      </c>
      <c r="AY127" s="16">
        <v>0</v>
      </c>
      <c r="AZ127" s="16">
        <v>0</v>
      </c>
      <c r="BA127" s="16">
        <v>0</v>
      </c>
      <c r="BB127" s="16">
        <v>0</v>
      </c>
      <c r="BC127" s="16">
        <v>0</v>
      </c>
      <c r="BD127" s="16">
        <v>0</v>
      </c>
      <c r="BE127" s="16">
        <v>0</v>
      </c>
      <c r="BF127" s="16">
        <v>0</v>
      </c>
      <c r="BG127" s="16">
        <v>0</v>
      </c>
      <c r="BH127" s="16">
        <v>0</v>
      </c>
      <c r="BI127" s="16">
        <v>0</v>
      </c>
      <c r="BJ127" s="16">
        <v>0</v>
      </c>
      <c r="BK127" s="16">
        <v>0</v>
      </c>
      <c r="BL127" s="16">
        <v>0</v>
      </c>
      <c r="BM127" s="16">
        <v>0</v>
      </c>
      <c r="BN127" s="16">
        <v>0</v>
      </c>
      <c r="BO127" s="16">
        <v>0</v>
      </c>
      <c r="BP127" s="16">
        <v>0</v>
      </c>
      <c r="BQ127" s="16">
        <v>0</v>
      </c>
      <c r="BR127" s="16">
        <v>0</v>
      </c>
      <c r="BS127" s="16">
        <v>0</v>
      </c>
      <c r="BT127" s="16">
        <v>0</v>
      </c>
      <c r="BU127" s="16">
        <v>0</v>
      </c>
      <c r="BV127" s="16">
        <v>0</v>
      </c>
      <c r="BW127" s="16">
        <v>0</v>
      </c>
      <c r="BX127" s="16">
        <v>0</v>
      </c>
      <c r="BY127" s="16">
        <v>0</v>
      </c>
      <c r="BZ127" s="16">
        <v>0</v>
      </c>
      <c r="CA127" s="16">
        <v>0</v>
      </c>
      <c r="CB127" s="16">
        <v>0</v>
      </c>
      <c r="CC127" s="16">
        <v>0</v>
      </c>
      <c r="CD127" s="16">
        <v>0</v>
      </c>
      <c r="CE127" s="16">
        <v>0</v>
      </c>
      <c r="CF127" s="27">
        <v>0</v>
      </c>
      <c r="CG127" s="27">
        <v>0</v>
      </c>
      <c r="CH127" s="27">
        <v>0</v>
      </c>
      <c r="CI127" s="27">
        <v>0</v>
      </c>
      <c r="CJ127" s="27">
        <v>0</v>
      </c>
      <c r="CK127" s="27">
        <v>0</v>
      </c>
      <c r="CL127" s="27">
        <v>0</v>
      </c>
      <c r="CM127" s="27">
        <v>0</v>
      </c>
      <c r="CN127" s="27">
        <v>0</v>
      </c>
      <c r="CO127" s="27">
        <v>0</v>
      </c>
      <c r="CP127" s="27">
        <v>0</v>
      </c>
      <c r="CQ127" s="27">
        <v>0</v>
      </c>
      <c r="CR127" s="27">
        <v>0</v>
      </c>
      <c r="CS127" s="27">
        <v>0</v>
      </c>
      <c r="CT127" s="27">
        <v>0</v>
      </c>
      <c r="CU127" s="27">
        <v>0</v>
      </c>
      <c r="CV127" s="27">
        <v>0</v>
      </c>
      <c r="CW127" s="27">
        <v>0</v>
      </c>
      <c r="CX127" s="27">
        <v>0</v>
      </c>
      <c r="CY127" s="27">
        <v>0</v>
      </c>
      <c r="CZ127" s="27">
        <v>0</v>
      </c>
      <c r="DA127" s="27">
        <v>0</v>
      </c>
      <c r="DB127" s="27">
        <v>0</v>
      </c>
      <c r="DC127" s="27">
        <v>0</v>
      </c>
      <c r="DD127" s="16">
        <v>0</v>
      </c>
      <c r="DE127" s="16">
        <v>0</v>
      </c>
      <c r="DF127" s="16">
        <v>0</v>
      </c>
      <c r="DG127" s="16">
        <v>0</v>
      </c>
      <c r="DH127" s="16">
        <v>0</v>
      </c>
      <c r="DI127" s="16">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25">
        <f t="shared" si="6"/>
        <v>0</v>
      </c>
      <c r="EL127" s="13">
        <v>0</v>
      </c>
      <c r="EM127" s="25">
        <f t="shared" si="7"/>
        <v>0</v>
      </c>
      <c r="EN127" s="13">
        <v>0</v>
      </c>
      <c r="EO127" s="25">
        <f t="shared" si="8"/>
        <v>0</v>
      </c>
      <c r="EP127" s="13">
        <v>0</v>
      </c>
      <c r="EQ127" s="25">
        <f t="shared" si="9"/>
        <v>0</v>
      </c>
      <c r="ER127" s="13">
        <v>0</v>
      </c>
      <c r="ES127" s="25">
        <f t="shared" si="10"/>
        <v>0</v>
      </c>
      <c r="ET127" s="13">
        <v>0</v>
      </c>
      <c r="EU127" s="25">
        <f t="shared" si="11"/>
        <v>0</v>
      </c>
      <c r="EV127" s="13">
        <v>0</v>
      </c>
      <c r="EW127" s="13">
        <v>0</v>
      </c>
      <c r="EX127" s="13">
        <v>0</v>
      </c>
      <c r="EY127" s="13">
        <v>0</v>
      </c>
      <c r="EZ127" s="13">
        <v>0</v>
      </c>
      <c r="FA127" s="13">
        <v>0</v>
      </c>
      <c r="FB127" s="13">
        <v>0</v>
      </c>
      <c r="FC127" s="13">
        <v>0</v>
      </c>
      <c r="FD127" s="13">
        <v>0</v>
      </c>
      <c r="FE127" s="13">
        <v>0</v>
      </c>
      <c r="FF127" s="13">
        <v>0</v>
      </c>
      <c r="FG127" s="13">
        <v>0</v>
      </c>
      <c r="FH127" s="13">
        <v>0</v>
      </c>
      <c r="FI127" s="13">
        <v>0</v>
      </c>
    </row>
    <row r="128" spans="1:165" x14ac:dyDescent="0.4">
      <c r="A128" s="35" t="s">
        <v>14</v>
      </c>
      <c r="B128" s="16">
        <v>0</v>
      </c>
      <c r="C128" s="16">
        <v>0</v>
      </c>
      <c r="D128" s="16">
        <v>0</v>
      </c>
      <c r="E128" s="16">
        <v>0</v>
      </c>
      <c r="F128" s="16">
        <v>0</v>
      </c>
      <c r="G128" s="16">
        <v>0</v>
      </c>
      <c r="H128" s="16">
        <v>0</v>
      </c>
      <c r="I128" s="16">
        <v>0</v>
      </c>
      <c r="J128" s="16">
        <v>0</v>
      </c>
      <c r="K128" s="16">
        <v>0</v>
      </c>
      <c r="L128" s="16">
        <v>0</v>
      </c>
      <c r="M128" s="16">
        <v>0</v>
      </c>
      <c r="N128" s="16">
        <v>0</v>
      </c>
      <c r="O128" s="16">
        <v>0</v>
      </c>
      <c r="P128" s="16">
        <v>0</v>
      </c>
      <c r="Q128" s="16">
        <v>0</v>
      </c>
      <c r="R128" s="16">
        <v>0</v>
      </c>
      <c r="S128" s="16">
        <v>0</v>
      </c>
      <c r="T128" s="16">
        <v>0</v>
      </c>
      <c r="U128" s="16">
        <v>0</v>
      </c>
      <c r="V128" s="16">
        <v>0</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0</v>
      </c>
      <c r="AQ128" s="16">
        <v>0</v>
      </c>
      <c r="AR128" s="16">
        <v>0</v>
      </c>
      <c r="AS128" s="16">
        <v>0</v>
      </c>
      <c r="AT128" s="16">
        <v>0</v>
      </c>
      <c r="AU128" s="16">
        <v>0</v>
      </c>
      <c r="AV128" s="16">
        <v>0</v>
      </c>
      <c r="AW128" s="16">
        <v>0</v>
      </c>
      <c r="AX128" s="16">
        <v>0</v>
      </c>
      <c r="AY128" s="16">
        <v>0</v>
      </c>
      <c r="AZ128" s="16">
        <v>0</v>
      </c>
      <c r="BA128" s="16">
        <v>0</v>
      </c>
      <c r="BB128" s="16">
        <v>0</v>
      </c>
      <c r="BC128" s="16">
        <v>0</v>
      </c>
      <c r="BD128" s="16">
        <v>0</v>
      </c>
      <c r="BE128" s="16">
        <v>0</v>
      </c>
      <c r="BF128" s="16">
        <v>0</v>
      </c>
      <c r="BG128" s="16">
        <v>0</v>
      </c>
      <c r="BH128" s="16">
        <v>0</v>
      </c>
      <c r="BI128" s="16">
        <v>0</v>
      </c>
      <c r="BJ128" s="16">
        <v>0</v>
      </c>
      <c r="BK128" s="27">
        <v>0</v>
      </c>
      <c r="BL128" s="27">
        <v>0</v>
      </c>
      <c r="BM128" s="27">
        <v>0</v>
      </c>
      <c r="BN128" s="27">
        <v>0</v>
      </c>
      <c r="BO128" s="27">
        <v>0</v>
      </c>
      <c r="BP128" s="27">
        <v>0</v>
      </c>
      <c r="BQ128" s="27">
        <v>0</v>
      </c>
      <c r="BR128" s="27">
        <v>0</v>
      </c>
      <c r="BS128" s="27">
        <v>0</v>
      </c>
      <c r="BT128" s="27">
        <v>0</v>
      </c>
      <c r="BU128" s="27">
        <v>0</v>
      </c>
      <c r="BV128" s="27">
        <v>0</v>
      </c>
      <c r="BW128" s="27">
        <v>0</v>
      </c>
      <c r="BX128" s="27">
        <v>0</v>
      </c>
      <c r="BY128" s="27">
        <v>0</v>
      </c>
      <c r="BZ128" s="27">
        <v>0</v>
      </c>
      <c r="CA128" s="27">
        <v>0</v>
      </c>
      <c r="CB128" s="27">
        <v>0</v>
      </c>
      <c r="CC128" s="27">
        <v>0</v>
      </c>
      <c r="CD128" s="27">
        <v>0</v>
      </c>
      <c r="CE128" s="27">
        <v>0</v>
      </c>
      <c r="CF128" s="27">
        <v>0</v>
      </c>
      <c r="CG128" s="27">
        <v>0</v>
      </c>
      <c r="CH128" s="27">
        <v>0</v>
      </c>
      <c r="CI128" s="27">
        <v>0</v>
      </c>
      <c r="CJ128" s="27">
        <v>0</v>
      </c>
      <c r="CK128" s="27">
        <v>0</v>
      </c>
      <c r="CL128" s="27">
        <v>0</v>
      </c>
      <c r="CM128" s="27">
        <v>0</v>
      </c>
      <c r="CN128" s="27">
        <v>0</v>
      </c>
      <c r="CO128" s="27">
        <v>0</v>
      </c>
      <c r="CP128" s="27">
        <v>0</v>
      </c>
      <c r="CQ128" s="27">
        <v>0</v>
      </c>
      <c r="CR128" s="27">
        <v>0</v>
      </c>
      <c r="CS128" s="27">
        <v>0</v>
      </c>
      <c r="CT128" s="27">
        <v>0</v>
      </c>
      <c r="CU128" s="27">
        <v>0</v>
      </c>
      <c r="CV128" s="27">
        <v>0</v>
      </c>
      <c r="CW128" s="27">
        <v>0</v>
      </c>
      <c r="CX128" s="27">
        <v>0</v>
      </c>
      <c r="CY128" s="27">
        <v>0</v>
      </c>
      <c r="CZ128" s="27">
        <v>0</v>
      </c>
      <c r="DA128" s="27">
        <v>0</v>
      </c>
      <c r="DB128" s="27">
        <v>0</v>
      </c>
      <c r="DC128" s="27">
        <v>0</v>
      </c>
      <c r="DD128" s="27">
        <v>0</v>
      </c>
      <c r="DE128" s="27">
        <v>0</v>
      </c>
      <c r="DF128" s="27">
        <v>0</v>
      </c>
      <c r="DG128" s="27">
        <v>0</v>
      </c>
      <c r="DH128" s="27">
        <v>0</v>
      </c>
      <c r="DI128" s="16">
        <v>0</v>
      </c>
      <c r="DJ128" s="13">
        <v>0</v>
      </c>
      <c r="DK128" s="13">
        <v>0</v>
      </c>
      <c r="DL128" s="13">
        <v>0</v>
      </c>
      <c r="DM128" s="13">
        <v>0</v>
      </c>
      <c r="DN128" s="13">
        <v>0</v>
      </c>
      <c r="DO128" s="13">
        <v>40063</v>
      </c>
      <c r="DP128" s="13">
        <v>43087</v>
      </c>
      <c r="DQ128" s="13">
        <v>59030</v>
      </c>
      <c r="DR128" s="13">
        <v>68453</v>
      </c>
      <c r="DS128" s="13">
        <v>68408</v>
      </c>
      <c r="DT128" s="13">
        <v>72755</v>
      </c>
      <c r="DU128" s="13">
        <v>73736</v>
      </c>
      <c r="DV128" s="13">
        <v>69643</v>
      </c>
      <c r="DW128" s="13">
        <v>67015</v>
      </c>
      <c r="DX128" s="13">
        <v>72906</v>
      </c>
      <c r="DY128" s="13">
        <v>77214</v>
      </c>
      <c r="DZ128" s="13">
        <v>82819</v>
      </c>
      <c r="EA128" s="13">
        <v>86529</v>
      </c>
      <c r="EB128" s="13">
        <v>80995</v>
      </c>
      <c r="EC128" s="13">
        <v>79221</v>
      </c>
      <c r="ED128" s="13">
        <v>80116</v>
      </c>
      <c r="EE128" s="13">
        <v>79623</v>
      </c>
      <c r="EF128" s="13">
        <v>85686</v>
      </c>
      <c r="EG128" s="13">
        <v>107720</v>
      </c>
      <c r="EH128" s="13">
        <v>107203</v>
      </c>
      <c r="EI128" s="13">
        <v>102852</v>
      </c>
      <c r="EJ128" s="13">
        <v>97604</v>
      </c>
      <c r="EK128" s="25">
        <f t="shared" si="6"/>
        <v>-3377</v>
      </c>
      <c r="EL128" s="13">
        <v>94227</v>
      </c>
      <c r="EM128" s="25">
        <f t="shared" si="7"/>
        <v>-4938</v>
      </c>
      <c r="EN128" s="13">
        <v>89289</v>
      </c>
      <c r="EO128" s="25">
        <f t="shared" si="8"/>
        <v>9913</v>
      </c>
      <c r="EP128" s="13">
        <v>99202</v>
      </c>
      <c r="EQ128" s="25">
        <f t="shared" si="9"/>
        <v>1427</v>
      </c>
      <c r="ER128" s="13">
        <v>100629</v>
      </c>
      <c r="ES128" s="25">
        <f t="shared" si="10"/>
        <v>14022</v>
      </c>
      <c r="ET128" s="13">
        <v>114651</v>
      </c>
      <c r="EU128" s="25">
        <f t="shared" si="11"/>
        <v>-9214</v>
      </c>
      <c r="EV128" s="13">
        <v>105437</v>
      </c>
      <c r="EW128" s="13">
        <v>109194</v>
      </c>
      <c r="EX128" s="13">
        <v>98987</v>
      </c>
      <c r="EY128" s="13">
        <v>95048</v>
      </c>
      <c r="EZ128" s="13">
        <v>95213</v>
      </c>
      <c r="FA128" s="13">
        <v>90919</v>
      </c>
      <c r="FB128" s="13">
        <v>90262</v>
      </c>
      <c r="FC128" s="13">
        <v>97005</v>
      </c>
      <c r="FD128" s="13">
        <v>93198</v>
      </c>
      <c r="FE128" s="13">
        <v>98753</v>
      </c>
      <c r="FF128" s="13">
        <v>96133</v>
      </c>
      <c r="FG128" s="13">
        <v>90734</v>
      </c>
      <c r="FH128" s="13">
        <v>91385</v>
      </c>
      <c r="FI128" s="13">
        <v>90268</v>
      </c>
    </row>
    <row r="129" spans="1:165" x14ac:dyDescent="0.4">
      <c r="A129" s="35" t="s">
        <v>27</v>
      </c>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27"/>
      <c r="BL129" s="27"/>
      <c r="BM129" s="27"/>
      <c r="BN129" s="27"/>
      <c r="BO129" s="27"/>
      <c r="BP129" s="27"/>
      <c r="BQ129" s="27"/>
      <c r="BR129" s="27"/>
      <c r="BS129" s="27"/>
      <c r="BT129" s="27"/>
      <c r="BU129" s="27"/>
      <c r="BV129" s="27">
        <v>0</v>
      </c>
      <c r="BW129" s="27">
        <v>0</v>
      </c>
      <c r="BX129" s="27">
        <v>0</v>
      </c>
      <c r="BY129" s="27">
        <v>0</v>
      </c>
      <c r="BZ129" s="27">
        <v>0</v>
      </c>
      <c r="CA129" s="27">
        <v>0</v>
      </c>
      <c r="CB129" s="27">
        <v>0</v>
      </c>
      <c r="CC129" s="27">
        <v>0</v>
      </c>
      <c r="CD129" s="27">
        <v>0</v>
      </c>
      <c r="CE129" s="27">
        <v>0</v>
      </c>
      <c r="CF129" s="27">
        <v>0</v>
      </c>
      <c r="CG129" s="27">
        <v>0</v>
      </c>
      <c r="CH129" s="27">
        <v>0</v>
      </c>
      <c r="CI129" s="27">
        <v>0</v>
      </c>
      <c r="CJ129" s="27">
        <v>0</v>
      </c>
      <c r="CK129" s="27">
        <v>0</v>
      </c>
      <c r="CL129" s="27">
        <v>0</v>
      </c>
      <c r="CM129" s="27">
        <v>0</v>
      </c>
      <c r="CN129" s="27">
        <v>0</v>
      </c>
      <c r="CO129" s="27">
        <v>0</v>
      </c>
      <c r="CP129" s="27">
        <v>0</v>
      </c>
      <c r="CQ129" s="27">
        <v>0</v>
      </c>
      <c r="CR129" s="27">
        <v>0</v>
      </c>
      <c r="CS129" s="27">
        <v>0</v>
      </c>
      <c r="CT129" s="27">
        <v>0</v>
      </c>
      <c r="CU129" s="27">
        <v>0</v>
      </c>
      <c r="CV129" s="27">
        <v>0</v>
      </c>
      <c r="CW129" s="27">
        <v>0</v>
      </c>
      <c r="CX129" s="27">
        <v>0</v>
      </c>
      <c r="CY129" s="27">
        <v>0</v>
      </c>
      <c r="CZ129" s="27">
        <v>0</v>
      </c>
      <c r="DA129" s="27">
        <v>0</v>
      </c>
      <c r="DB129" s="27">
        <v>0</v>
      </c>
      <c r="DC129" s="27">
        <v>0</v>
      </c>
      <c r="DD129" s="27">
        <v>0</v>
      </c>
      <c r="DE129" s="27">
        <v>0</v>
      </c>
      <c r="DF129" s="27">
        <v>0</v>
      </c>
      <c r="DG129" s="27">
        <v>0</v>
      </c>
      <c r="DH129" s="27">
        <v>0</v>
      </c>
      <c r="DI129" s="16">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25">
        <f t="shared" si="6"/>
        <v>0</v>
      </c>
      <c r="EL129" s="13">
        <v>0</v>
      </c>
      <c r="EM129" s="25">
        <f t="shared" si="7"/>
        <v>0</v>
      </c>
      <c r="EN129" s="13">
        <v>0</v>
      </c>
      <c r="EO129" s="25">
        <f t="shared" si="8"/>
        <v>0</v>
      </c>
      <c r="EP129" s="13">
        <v>0</v>
      </c>
      <c r="EQ129" s="25">
        <f t="shared" si="9"/>
        <v>0</v>
      </c>
      <c r="ER129" s="13">
        <v>0</v>
      </c>
      <c r="ES129" s="25">
        <f t="shared" si="10"/>
        <v>0</v>
      </c>
      <c r="ET129" s="13">
        <v>0</v>
      </c>
      <c r="EU129" s="25">
        <f t="shared" si="11"/>
        <v>0</v>
      </c>
      <c r="EV129" s="13">
        <v>0</v>
      </c>
      <c r="EW129" s="13">
        <v>0</v>
      </c>
      <c r="EX129" s="13">
        <v>0</v>
      </c>
      <c r="EY129" s="13">
        <v>0</v>
      </c>
      <c r="EZ129" s="13">
        <v>0</v>
      </c>
      <c r="FA129" s="13">
        <v>0</v>
      </c>
      <c r="FB129" s="13">
        <v>0</v>
      </c>
      <c r="FC129" s="13">
        <v>0</v>
      </c>
      <c r="FD129" s="13">
        <v>0</v>
      </c>
      <c r="FE129" s="13">
        <v>0</v>
      </c>
      <c r="FF129" s="13">
        <v>0</v>
      </c>
      <c r="FG129" s="13">
        <v>0</v>
      </c>
      <c r="FH129" s="13">
        <v>0</v>
      </c>
      <c r="FI129" s="13">
        <v>0</v>
      </c>
    </row>
    <row r="130" spans="1:165" x14ac:dyDescent="0.4">
      <c r="A130" s="35" t="s">
        <v>30</v>
      </c>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27"/>
      <c r="BL130" s="27"/>
      <c r="BM130" s="27"/>
      <c r="BN130" s="27"/>
      <c r="BO130" s="27"/>
      <c r="BP130" s="27"/>
      <c r="BQ130" s="27"/>
      <c r="BR130" s="27"/>
      <c r="BS130" s="27"/>
      <c r="BT130" s="27"/>
      <c r="BU130" s="27"/>
      <c r="BV130" s="27">
        <v>0</v>
      </c>
      <c r="BW130" s="27">
        <v>0</v>
      </c>
      <c r="BX130" s="27">
        <v>0</v>
      </c>
      <c r="BY130" s="27">
        <v>0</v>
      </c>
      <c r="BZ130" s="27">
        <v>0</v>
      </c>
      <c r="CA130" s="27">
        <v>0</v>
      </c>
      <c r="CB130" s="27">
        <v>0</v>
      </c>
      <c r="CC130" s="27">
        <v>0</v>
      </c>
      <c r="CD130" s="27">
        <v>0</v>
      </c>
      <c r="CE130" s="27">
        <v>0</v>
      </c>
      <c r="CF130" s="27">
        <v>0</v>
      </c>
      <c r="CG130" s="27">
        <v>0</v>
      </c>
      <c r="CH130" s="27">
        <v>0</v>
      </c>
      <c r="CI130" s="27">
        <v>0</v>
      </c>
      <c r="CJ130" s="27">
        <v>0</v>
      </c>
      <c r="CK130" s="27">
        <v>0</v>
      </c>
      <c r="CL130" s="27">
        <v>0</v>
      </c>
      <c r="CM130" s="27">
        <v>0</v>
      </c>
      <c r="CN130" s="27">
        <v>0</v>
      </c>
      <c r="CO130" s="27">
        <v>0</v>
      </c>
      <c r="CP130" s="27">
        <v>0</v>
      </c>
      <c r="CQ130" s="27">
        <v>0</v>
      </c>
      <c r="CR130" s="27">
        <v>0</v>
      </c>
      <c r="CS130" s="27">
        <v>0</v>
      </c>
      <c r="CT130" s="27">
        <v>0</v>
      </c>
      <c r="CU130" s="27">
        <v>0</v>
      </c>
      <c r="CV130" s="27">
        <v>0</v>
      </c>
      <c r="CW130" s="27">
        <v>0</v>
      </c>
      <c r="CX130" s="27">
        <v>0</v>
      </c>
      <c r="CY130" s="27">
        <v>0</v>
      </c>
      <c r="CZ130" s="27">
        <v>0</v>
      </c>
      <c r="DA130" s="27">
        <v>0</v>
      </c>
      <c r="DB130" s="27">
        <v>0</v>
      </c>
      <c r="DC130" s="27">
        <v>0</v>
      </c>
      <c r="DD130" s="27">
        <v>0</v>
      </c>
      <c r="DE130" s="27">
        <v>0</v>
      </c>
      <c r="DF130" s="27">
        <v>0</v>
      </c>
      <c r="DG130" s="27">
        <v>0</v>
      </c>
      <c r="DH130" s="27">
        <v>0</v>
      </c>
      <c r="DI130" s="16">
        <v>0</v>
      </c>
      <c r="DJ130" s="13">
        <v>0</v>
      </c>
      <c r="DK130" s="13">
        <v>0</v>
      </c>
      <c r="DL130" s="13">
        <v>0</v>
      </c>
      <c r="DM130" s="13">
        <v>0</v>
      </c>
      <c r="DN130" s="13">
        <v>0</v>
      </c>
      <c r="DO130" s="13">
        <v>40063</v>
      </c>
      <c r="DP130" s="13">
        <v>43087</v>
      </c>
      <c r="DQ130" s="13">
        <v>59030</v>
      </c>
      <c r="DR130" s="13">
        <v>68453</v>
      </c>
      <c r="DS130" s="13">
        <v>68408</v>
      </c>
      <c r="DT130" s="13">
        <v>72755</v>
      </c>
      <c r="DU130" s="13">
        <v>73736</v>
      </c>
      <c r="DV130" s="13">
        <v>69643</v>
      </c>
      <c r="DW130" s="13">
        <v>67015</v>
      </c>
      <c r="DX130" s="13">
        <v>72906</v>
      </c>
      <c r="DY130" s="13">
        <v>77214</v>
      </c>
      <c r="DZ130" s="13">
        <v>82819</v>
      </c>
      <c r="EA130" s="13">
        <v>86529</v>
      </c>
      <c r="EB130" s="13">
        <v>80995</v>
      </c>
      <c r="EC130" s="13">
        <v>79221</v>
      </c>
      <c r="ED130" s="13">
        <v>80116</v>
      </c>
      <c r="EE130" s="13">
        <v>79623</v>
      </c>
      <c r="EF130" s="13">
        <v>85686</v>
      </c>
      <c r="EG130" s="13">
        <v>107720</v>
      </c>
      <c r="EH130" s="13">
        <v>107203</v>
      </c>
      <c r="EI130" s="13">
        <v>102852</v>
      </c>
      <c r="EJ130" s="13">
        <v>97604</v>
      </c>
      <c r="EK130" s="25">
        <f t="shared" si="6"/>
        <v>-3377</v>
      </c>
      <c r="EL130" s="13">
        <v>94227</v>
      </c>
      <c r="EM130" s="25">
        <f t="shared" si="7"/>
        <v>-4938</v>
      </c>
      <c r="EN130" s="13">
        <v>89289</v>
      </c>
      <c r="EO130" s="25">
        <f t="shared" si="8"/>
        <v>9913</v>
      </c>
      <c r="EP130" s="13">
        <v>99202</v>
      </c>
      <c r="EQ130" s="25">
        <f t="shared" si="9"/>
        <v>1427</v>
      </c>
      <c r="ER130" s="13">
        <v>100629</v>
      </c>
      <c r="ES130" s="25">
        <f t="shared" si="10"/>
        <v>14022</v>
      </c>
      <c r="ET130" s="13">
        <v>114651</v>
      </c>
      <c r="EU130" s="25">
        <f t="shared" si="11"/>
        <v>-9214</v>
      </c>
      <c r="EV130" s="13">
        <v>105437</v>
      </c>
      <c r="EW130" s="13">
        <v>109194</v>
      </c>
      <c r="EX130" s="13">
        <v>98987</v>
      </c>
      <c r="EY130" s="13">
        <v>95048</v>
      </c>
      <c r="EZ130" s="13">
        <v>95213</v>
      </c>
      <c r="FA130" s="13">
        <v>90919</v>
      </c>
      <c r="FB130" s="13">
        <v>90262</v>
      </c>
      <c r="FC130" s="13">
        <v>97005</v>
      </c>
      <c r="FD130" s="13">
        <v>93198</v>
      </c>
      <c r="FE130" s="13">
        <v>98753</v>
      </c>
      <c r="FF130" s="13">
        <v>96133</v>
      </c>
      <c r="FG130" s="13">
        <v>90734</v>
      </c>
      <c r="FH130" s="13">
        <v>91385</v>
      </c>
      <c r="FI130" s="13">
        <v>90268</v>
      </c>
    </row>
    <row r="131" spans="1:165" x14ac:dyDescent="0.4">
      <c r="A131" s="19"/>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row>
    <row r="132" spans="1:165" x14ac:dyDescent="0.4">
      <c r="A132" s="51" t="s">
        <v>29</v>
      </c>
      <c r="B132" s="51"/>
      <c r="C132" s="51"/>
      <c r="D132" s="51"/>
      <c r="E132" s="51"/>
      <c r="F132" s="51"/>
      <c r="G132" s="51"/>
      <c r="H132" s="51"/>
      <c r="I132" s="51"/>
      <c r="J132" s="15"/>
      <c r="K132" s="15"/>
      <c r="L132" s="15"/>
      <c r="O132" s="17"/>
      <c r="P132" s="17"/>
    </row>
    <row r="133" spans="1:165" x14ac:dyDescent="0.4">
      <c r="A133" s="49"/>
      <c r="B133" s="49"/>
      <c r="C133" s="49"/>
      <c r="D133" s="49"/>
      <c r="E133" s="49"/>
      <c r="F133" s="49"/>
      <c r="G133" s="49"/>
      <c r="H133" s="49"/>
      <c r="I133" s="49"/>
      <c r="J133" s="15"/>
      <c r="K133" s="15"/>
      <c r="L133" s="15"/>
      <c r="O133" s="17"/>
      <c r="P133" s="17"/>
    </row>
    <row r="134" spans="1:165" x14ac:dyDescent="0.4">
      <c r="A134" s="8" t="s">
        <v>9</v>
      </c>
      <c r="B134" s="15"/>
      <c r="D134" s="15"/>
      <c r="E134" s="15"/>
      <c r="F134" s="15"/>
      <c r="H134" s="15"/>
      <c r="I134" s="15"/>
    </row>
    <row r="135" spans="1:165" x14ac:dyDescent="0.4">
      <c r="A135" s="8"/>
      <c r="B135" s="15"/>
      <c r="C135" s="1" t="s">
        <v>22</v>
      </c>
      <c r="D135" s="15"/>
      <c r="E135" s="15"/>
      <c r="F135" s="15"/>
      <c r="H135" s="15"/>
      <c r="I135" s="15"/>
    </row>
    <row r="136" spans="1:165" x14ac:dyDescent="0.4">
      <c r="A136" s="8" t="s">
        <v>10</v>
      </c>
      <c r="B136" s="15"/>
      <c r="D136" s="15"/>
      <c r="E136" s="15"/>
      <c r="F136" s="15"/>
      <c r="H136" s="15"/>
      <c r="I136" s="15"/>
      <c r="J136" s="15"/>
      <c r="K136" s="15"/>
      <c r="L136" s="15"/>
      <c r="O136" s="17"/>
      <c r="P136" s="17"/>
      <c r="DI136" s="9"/>
    </row>
    <row r="137" spans="1:165" s="9" customFormat="1" ht="18.75" customHeight="1" x14ac:dyDescent="0.4">
      <c r="A137" s="54" t="s">
        <v>24</v>
      </c>
      <c r="B137" s="54"/>
      <c r="C137" s="54"/>
      <c r="D137" s="54"/>
      <c r="E137" s="54"/>
      <c r="F137" s="54"/>
      <c r="G137" s="54"/>
      <c r="H137" s="54"/>
      <c r="I137" s="54"/>
      <c r="L137" s="21"/>
    </row>
    <row r="138" spans="1:165" s="9" customFormat="1" x14ac:dyDescent="0.4">
      <c r="A138" s="51" t="s">
        <v>37</v>
      </c>
      <c r="B138" s="51"/>
      <c r="C138" s="51"/>
      <c r="D138" s="51"/>
      <c r="E138" s="51"/>
      <c r="F138" s="51"/>
      <c r="G138" s="51"/>
      <c r="H138" s="51"/>
      <c r="I138" s="51"/>
      <c r="L138" s="21"/>
    </row>
    <row r="139" spans="1:165" s="11" customFormat="1" ht="18" customHeight="1" x14ac:dyDescent="0.4">
      <c r="A139" s="54" t="s">
        <v>31</v>
      </c>
      <c r="B139" s="54"/>
      <c r="C139" s="54"/>
      <c r="D139" s="54"/>
      <c r="E139" s="54"/>
      <c r="F139" s="54"/>
      <c r="G139" s="54"/>
      <c r="H139" s="54"/>
      <c r="I139" s="54"/>
      <c r="L139" s="20"/>
      <c r="DH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row>
    <row r="140" spans="1:165" x14ac:dyDescent="0.4">
      <c r="A140" s="54" t="s">
        <v>32</v>
      </c>
      <c r="B140" s="54"/>
      <c r="C140" s="54"/>
      <c r="D140" s="54"/>
      <c r="E140" s="10"/>
      <c r="F140" s="11"/>
      <c r="G140" s="11"/>
      <c r="H140" s="11"/>
      <c r="I140" s="11"/>
      <c r="L140" s="20"/>
      <c r="DH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row>
    <row r="141" spans="1:165" x14ac:dyDescent="0.4">
      <c r="A141" s="52" t="s">
        <v>33</v>
      </c>
      <c r="B141" s="52"/>
      <c r="C141" s="52"/>
      <c r="D141" s="52"/>
      <c r="E141" s="15"/>
      <c r="L141" s="20"/>
    </row>
    <row r="142" spans="1:165" x14ac:dyDescent="0.4">
      <c r="A142" s="54" t="s">
        <v>34</v>
      </c>
      <c r="B142" s="54"/>
      <c r="C142" s="54"/>
      <c r="D142" s="54"/>
      <c r="E142" s="12"/>
      <c r="F142" s="12"/>
      <c r="L142" s="20"/>
    </row>
    <row r="143" spans="1:165" ht="36" x14ac:dyDescent="0.4">
      <c r="A143" s="50" t="s">
        <v>35</v>
      </c>
      <c r="B143" s="50"/>
      <c r="C143" s="50"/>
      <c r="D143" s="50"/>
      <c r="E143" s="12"/>
      <c r="F143" s="12"/>
      <c r="J143" s="12"/>
      <c r="K143" s="12"/>
      <c r="L143" s="12"/>
      <c r="M143" s="12"/>
      <c r="N143" s="12"/>
    </row>
    <row r="144" spans="1:165" x14ac:dyDescent="0.4">
      <c r="A144" s="47"/>
      <c r="B144" s="12"/>
      <c r="C144" s="12"/>
      <c r="D144" s="12"/>
      <c r="E144" s="12"/>
      <c r="F144" s="12"/>
      <c r="G144" s="12"/>
      <c r="H144" s="12"/>
      <c r="I144" s="12"/>
      <c r="J144" s="12"/>
      <c r="K144" s="12"/>
      <c r="L144" s="12"/>
      <c r="M144" s="12"/>
      <c r="N144" s="12"/>
    </row>
    <row r="145" spans="99:106" x14ac:dyDescent="0.4">
      <c r="CU145" s="24"/>
      <c r="CV145" s="24"/>
      <c r="CW145" s="24"/>
      <c r="CX145" s="24"/>
      <c r="CY145" s="24"/>
      <c r="CZ145" s="24"/>
      <c r="DA145" s="24"/>
      <c r="DB145" s="24"/>
    </row>
    <row r="146" spans="99:106" x14ac:dyDescent="0.4">
      <c r="CU146" s="25"/>
      <c r="CV146" s="25"/>
      <c r="CW146" s="25"/>
      <c r="CX146" s="25"/>
      <c r="CY146" s="25"/>
      <c r="CZ146" s="25"/>
      <c r="DA146" s="25"/>
      <c r="DB146" s="25"/>
    </row>
    <row r="147" spans="99:106" x14ac:dyDescent="0.4">
      <c r="CU147" s="25"/>
      <c r="CV147" s="25"/>
      <c r="CW147" s="25"/>
      <c r="CX147" s="25"/>
      <c r="CY147" s="25"/>
      <c r="CZ147" s="25"/>
      <c r="DA147" s="25"/>
      <c r="DB147" s="25"/>
    </row>
    <row r="148" spans="99:106" x14ac:dyDescent="0.4">
      <c r="CU148" s="25"/>
      <c r="CV148" s="25"/>
      <c r="CW148" s="25"/>
      <c r="CX148" s="25"/>
      <c r="CY148" s="25"/>
      <c r="CZ148" s="25"/>
      <c r="DA148" s="25"/>
      <c r="DB148" s="25"/>
    </row>
    <row r="149" spans="99:106" x14ac:dyDescent="0.4">
      <c r="CU149" s="13"/>
      <c r="CV149" s="13"/>
      <c r="CW149" s="13"/>
      <c r="CX149" s="13"/>
      <c r="CY149" s="13"/>
      <c r="CZ149" s="13"/>
      <c r="DA149" s="13"/>
      <c r="DB149" s="13"/>
    </row>
    <row r="150" spans="99:106" x14ac:dyDescent="0.4">
      <c r="CU150" s="13"/>
      <c r="CV150" s="13"/>
      <c r="CW150" s="13"/>
      <c r="CX150" s="13"/>
      <c r="CY150" s="13"/>
      <c r="CZ150" s="13"/>
      <c r="DA150" s="13"/>
      <c r="DB150" s="13"/>
    </row>
    <row r="151" spans="99:106" x14ac:dyDescent="0.4">
      <c r="CU151" s="13"/>
      <c r="CV151" s="13"/>
      <c r="CW151" s="13"/>
      <c r="CX151" s="13"/>
      <c r="CY151" s="13"/>
      <c r="CZ151" s="13"/>
      <c r="DA151" s="13"/>
      <c r="DB151" s="13"/>
    </row>
    <row r="152" spans="99:106" x14ac:dyDescent="0.4">
      <c r="CU152" s="13"/>
      <c r="CV152" s="13"/>
      <c r="CW152" s="13"/>
      <c r="CX152" s="13"/>
      <c r="CY152" s="13"/>
      <c r="CZ152" s="13"/>
      <c r="DA152" s="13"/>
      <c r="DB152" s="13"/>
    </row>
    <row r="153" spans="99:106" x14ac:dyDescent="0.4">
      <c r="CU153" s="13"/>
      <c r="CV153" s="13"/>
      <c r="CW153" s="13"/>
      <c r="CX153" s="13"/>
      <c r="CY153" s="13"/>
      <c r="CZ153" s="13"/>
      <c r="DA153" s="13"/>
      <c r="DB153" s="13"/>
    </row>
    <row r="154" spans="99:106" x14ac:dyDescent="0.4">
      <c r="CU154" s="13"/>
      <c r="CV154" s="13"/>
      <c r="CW154" s="13"/>
      <c r="CX154" s="13"/>
      <c r="CY154" s="13"/>
      <c r="CZ154" s="13"/>
      <c r="DA154" s="13"/>
      <c r="DB154" s="13"/>
    </row>
    <row r="155" spans="99:106" x14ac:dyDescent="0.4">
      <c r="CU155" s="13"/>
      <c r="CV155" s="13"/>
      <c r="CW155" s="13"/>
      <c r="CX155" s="13"/>
      <c r="CY155" s="13"/>
      <c r="CZ155" s="13"/>
      <c r="DA155" s="13"/>
      <c r="DB155" s="13"/>
    </row>
    <row r="156" spans="99:106" x14ac:dyDescent="0.4">
      <c r="CU156" s="13"/>
      <c r="CV156" s="13"/>
      <c r="CW156" s="13"/>
      <c r="CX156" s="13"/>
      <c r="CY156" s="13"/>
      <c r="CZ156" s="13"/>
      <c r="DA156" s="13"/>
      <c r="DB156" s="13"/>
    </row>
    <row r="157" spans="99:106" x14ac:dyDescent="0.4">
      <c r="CU157" s="13"/>
      <c r="CV157" s="13"/>
      <c r="CW157" s="13"/>
      <c r="CX157" s="13"/>
      <c r="CY157" s="13"/>
      <c r="CZ157" s="13"/>
      <c r="DA157" s="13"/>
      <c r="DB157" s="13"/>
    </row>
    <row r="158" spans="99:106" x14ac:dyDescent="0.4">
      <c r="CU158" s="13"/>
      <c r="CV158" s="13"/>
      <c r="CW158" s="13"/>
      <c r="CX158" s="13"/>
      <c r="CY158" s="13"/>
      <c r="CZ158" s="13"/>
      <c r="DA158" s="13"/>
      <c r="DB158" s="13"/>
    </row>
    <row r="159" spans="99:106" x14ac:dyDescent="0.4">
      <c r="CU159" s="13"/>
      <c r="CV159" s="13"/>
      <c r="CW159" s="13"/>
      <c r="CX159" s="13"/>
      <c r="CY159" s="13"/>
      <c r="CZ159" s="13"/>
      <c r="DA159" s="13"/>
      <c r="DB159" s="13"/>
    </row>
    <row r="160" spans="99:106" x14ac:dyDescent="0.4">
      <c r="CU160" s="13"/>
      <c r="CV160" s="13"/>
      <c r="CW160" s="13"/>
      <c r="CX160" s="13"/>
      <c r="CY160" s="13"/>
      <c r="CZ160" s="13"/>
      <c r="DA160" s="13"/>
      <c r="DB160" s="13"/>
    </row>
    <row r="161" spans="99:106" x14ac:dyDescent="0.4">
      <c r="CU161" s="13"/>
      <c r="CV161" s="13"/>
      <c r="CW161" s="13"/>
      <c r="CX161" s="13"/>
      <c r="CY161" s="13"/>
      <c r="CZ161" s="13"/>
      <c r="DA161" s="13"/>
      <c r="DB161" s="13"/>
    </row>
    <row r="162" spans="99:106" x14ac:dyDescent="0.4">
      <c r="CU162" s="13"/>
      <c r="CV162" s="13"/>
      <c r="CW162" s="13"/>
      <c r="CX162" s="13"/>
      <c r="CY162" s="13"/>
      <c r="CZ162" s="13"/>
      <c r="DA162" s="13"/>
      <c r="DB162" s="13"/>
    </row>
    <row r="163" spans="99:106" x14ac:dyDescent="0.4">
      <c r="CU163" s="13"/>
      <c r="CV163" s="13"/>
      <c r="CW163" s="13"/>
      <c r="CX163" s="13"/>
      <c r="CY163" s="13"/>
      <c r="CZ163" s="13"/>
      <c r="DA163" s="13"/>
      <c r="DB163" s="13"/>
    </row>
    <row r="164" spans="99:106" x14ac:dyDescent="0.4">
      <c r="CU164" s="13"/>
      <c r="CV164" s="13"/>
      <c r="CW164" s="13"/>
      <c r="CX164" s="13"/>
      <c r="CY164" s="13"/>
      <c r="CZ164" s="13"/>
      <c r="DA164" s="13"/>
      <c r="DB164" s="13"/>
    </row>
    <row r="165" spans="99:106" x14ac:dyDescent="0.4">
      <c r="CU165" s="13"/>
      <c r="CV165" s="13"/>
      <c r="CW165" s="13"/>
      <c r="CX165" s="13"/>
      <c r="CY165" s="13"/>
      <c r="CZ165" s="13"/>
      <c r="DA165" s="13"/>
      <c r="DB165" s="13"/>
    </row>
    <row r="166" spans="99:106" x14ac:dyDescent="0.4">
      <c r="CU166" s="13"/>
      <c r="CV166" s="13"/>
      <c r="CW166" s="13"/>
      <c r="CX166" s="13"/>
      <c r="CY166" s="13"/>
      <c r="CZ166" s="13"/>
      <c r="DA166" s="13"/>
      <c r="DB166" s="13"/>
    </row>
    <row r="167" spans="99:106" x14ac:dyDescent="0.4">
      <c r="CU167" s="13"/>
      <c r="CV167" s="13"/>
      <c r="CW167" s="13"/>
      <c r="CX167" s="13"/>
      <c r="CY167" s="13"/>
      <c r="CZ167" s="13"/>
      <c r="DA167" s="13"/>
      <c r="DB167" s="13"/>
    </row>
    <row r="168" spans="99:106" x14ac:dyDescent="0.4">
      <c r="CU168" s="13"/>
      <c r="CV168" s="13"/>
      <c r="CW168" s="13"/>
      <c r="CX168" s="13"/>
      <c r="CY168" s="13"/>
      <c r="CZ168" s="13"/>
      <c r="DA168" s="13"/>
      <c r="DB168" s="13"/>
    </row>
    <row r="169" spans="99:106" x14ac:dyDescent="0.4">
      <c r="CU169" s="13"/>
      <c r="CV169" s="13"/>
      <c r="CW169" s="13"/>
      <c r="CX169" s="13"/>
      <c r="CY169" s="13"/>
      <c r="CZ169" s="13"/>
      <c r="DA169" s="13"/>
      <c r="DB169" s="13"/>
    </row>
  </sheetData>
  <mergeCells count="7">
    <mergeCell ref="A142:D142"/>
    <mergeCell ref="A132:I132"/>
    <mergeCell ref="A141:D141"/>
    <mergeCell ref="A137:I137"/>
    <mergeCell ref="A138:I138"/>
    <mergeCell ref="A140:D140"/>
    <mergeCell ref="A139:I139"/>
  </mergeCells>
  <pageMargins left="0.25" right="0.25" top="0.75" bottom="0.75" header="0.3" footer="0.3"/>
  <pageSetup paperSize="9"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4</vt:i4>
      </vt:variant>
    </vt:vector>
  </HeadingPairs>
  <TitlesOfParts>
    <vt:vector size="8" baseType="lpstr">
      <vt:lpstr>Quarter (nominal value)</vt:lpstr>
      <vt:lpstr>Month (nominal value)</vt:lpstr>
      <vt:lpstr>Quarter (market value)</vt:lpstr>
      <vt:lpstr>Month (market value)</vt:lpstr>
      <vt:lpstr>'Month (market value)'!Область_печати</vt:lpstr>
      <vt:lpstr>'Month (nominal value)'!Область_печати</vt:lpstr>
      <vt:lpstr>'Quarter (market value)'!Область_печати</vt:lpstr>
      <vt:lpstr>'Quarter (nominal value)'!Область_печати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2020-05-12T14:01:20Z</dcterms:created>
  <dcterms:modified xsi:type="dcterms:W3CDTF">2026-02-26T07:01:56Z</dcterms:modified>
</cp:coreProperties>
</file>