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10800" windowHeight="7050" tabRatio="885"/>
  </bookViews>
  <sheets>
    <sheet name="Main_" sheetId="1" r:id="rId1"/>
    <sheet name="rnwf_structure" sheetId="10" r:id="rId2"/>
    <sheet name="structure" sheetId="13" r:id="rId3"/>
    <sheet name="recepients" sheetId="14" r:id="rId4"/>
    <sheet name="income_rub" sheetId="18" r:id="rId5"/>
    <sheet name="infra_invest" sheetId="8" r:id="rId6"/>
    <sheet name="projects" sheetId="15" r:id="rId7"/>
    <sheet name="%% Усть-Луга" sheetId="17" r:id="rId8"/>
  </sheets>
  <definedNames>
    <definedName name="_xlnm._FilterDatabase" localSheetId="5" hidden="1">infra_invest!$A$1:$G$263</definedName>
    <definedName name="_xlnm._FilterDatabase" localSheetId="3" hidden="1">recepients!$A$1:$B$23</definedName>
  </definedNames>
  <calcPr calcId="162913"/>
  <pivotCaches>
    <pivotCache cacheId="4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4" l="1"/>
  <c r="B21" i="14"/>
  <c r="B19" i="14"/>
  <c r="B18" i="14"/>
  <c r="B17" i="14"/>
  <c r="B16" i="14"/>
  <c r="B15" i="14"/>
  <c r="B11" i="14"/>
  <c r="B12" i="14"/>
  <c r="B9" i="14"/>
  <c r="B8" i="14"/>
  <c r="B7" i="14"/>
  <c r="B5" i="14"/>
  <c r="B3" i="14"/>
  <c r="B2" i="14"/>
  <c r="AT4" i="13"/>
  <c r="AT5" i="13"/>
  <c r="AT6" i="13"/>
  <c r="AT7" i="13"/>
  <c r="AT8" i="13"/>
  <c r="AT9" i="13"/>
  <c r="AT10" i="13"/>
  <c r="AT11" i="13"/>
  <c r="AT12" i="13"/>
  <c r="AT5" i="10"/>
  <c r="AT6" i="10"/>
  <c r="AT7" i="10"/>
  <c r="AT8" i="10"/>
  <c r="AT9" i="10"/>
  <c r="AT10" i="10"/>
  <c r="AT11" i="10"/>
  <c r="AT12" i="10"/>
  <c r="AT13" i="10"/>
  <c r="AT14" i="10"/>
  <c r="AT15" i="10"/>
  <c r="AT16" i="10"/>
  <c r="AT17" i="10"/>
  <c r="AT18" i="10"/>
  <c r="AT19" i="10"/>
  <c r="AT20" i="10"/>
  <c r="AT3" i="10"/>
  <c r="AT2" i="10"/>
  <c r="AU62" i="1"/>
  <c r="AV62" i="1" s="1"/>
  <c r="AU61" i="1"/>
  <c r="AW61" i="1" s="1"/>
  <c r="AU48" i="1"/>
  <c r="AW48" i="1" s="1"/>
  <c r="AU47" i="1"/>
  <c r="AW47" i="1" s="1"/>
  <c r="AU33" i="1"/>
  <c r="AU46" i="1"/>
  <c r="AV46" i="1" s="1"/>
  <c r="AU39" i="1"/>
  <c r="AW39" i="1" s="1"/>
  <c r="AU40" i="1"/>
  <c r="AW40" i="1" s="1"/>
  <c r="AU36" i="1"/>
  <c r="AW36" i="1" s="1"/>
  <c r="AU35" i="1"/>
  <c r="AV35" i="1" s="1"/>
  <c r="AU38" i="1"/>
  <c r="AW38" i="1" s="1"/>
  <c r="AU37" i="1"/>
  <c r="AV37" i="1" s="1"/>
  <c r="AU34" i="1"/>
  <c r="AV34" i="1" s="1"/>
  <c r="AU31" i="1"/>
  <c r="AU32" i="1"/>
  <c r="AV32" i="1" s="1"/>
  <c r="AU44" i="1"/>
  <c r="AV44" i="1" s="1"/>
  <c r="AU53" i="1"/>
  <c r="AW53" i="1" s="1"/>
  <c r="AU52" i="1"/>
  <c r="AW52" i="1" s="1"/>
  <c r="AU51" i="1"/>
  <c r="AV51" i="1" s="1"/>
  <c r="AU50" i="1"/>
  <c r="AU29" i="1"/>
  <c r="AV29" i="1" s="1"/>
  <c r="AU23" i="1"/>
  <c r="AU24" i="1"/>
  <c r="AU25" i="1"/>
  <c r="AW25" i="1" s="1"/>
  <c r="AU26" i="1"/>
  <c r="AW26" i="1" s="1"/>
  <c r="AU27" i="1"/>
  <c r="AV27" i="1" s="1"/>
  <c r="AU22" i="1"/>
  <c r="AU18" i="1"/>
  <c r="AV18" i="1" s="1"/>
  <c r="AU19" i="1"/>
  <c r="AV19" i="1" s="1"/>
  <c r="AU20" i="1"/>
  <c r="AV20" i="1" s="1"/>
  <c r="AU17" i="1"/>
  <c r="AW17" i="1" s="1"/>
  <c r="AU15" i="1"/>
  <c r="AW15" i="1" s="1"/>
  <c r="AU9" i="1"/>
  <c r="AU10" i="1"/>
  <c r="AU11" i="1"/>
  <c r="AW11" i="1" s="1"/>
  <c r="AU12" i="1"/>
  <c r="AW12" i="1" s="1"/>
  <c r="AU13" i="1"/>
  <c r="AW13" i="1" s="1"/>
  <c r="AU8" i="1"/>
  <c r="AV8" i="1" s="1"/>
  <c r="AU16" i="1"/>
  <c r="AV16" i="1" s="1"/>
  <c r="AU14" i="1"/>
  <c r="AU21" i="1"/>
  <c r="AW21" i="1" s="1"/>
  <c r="AW3" i="1"/>
  <c r="AW4" i="1"/>
  <c r="AW5" i="1"/>
  <c r="AW6" i="1"/>
  <c r="AW7" i="1"/>
  <c r="AW8" i="1"/>
  <c r="AW9" i="1"/>
  <c r="AW10" i="1"/>
  <c r="AW14" i="1"/>
  <c r="AW22" i="1"/>
  <c r="AW23" i="1"/>
  <c r="AW24" i="1"/>
  <c r="AW30" i="1"/>
  <c r="AW31" i="1"/>
  <c r="AW32" i="1"/>
  <c r="AW33" i="1"/>
  <c r="AW35" i="1"/>
  <c r="AW41" i="1"/>
  <c r="AW42" i="1"/>
  <c r="AW43" i="1"/>
  <c r="AW45" i="1"/>
  <c r="AW46" i="1"/>
  <c r="AW49" i="1"/>
  <c r="AW50" i="1"/>
  <c r="AW54" i="1"/>
  <c r="AW55" i="1"/>
  <c r="AW56" i="1"/>
  <c r="AW57" i="1"/>
  <c r="AW58" i="1"/>
  <c r="AW59" i="1"/>
  <c r="AW60" i="1"/>
  <c r="AV3" i="1"/>
  <c r="AV4" i="1"/>
  <c r="AV5" i="1"/>
  <c r="AV6" i="1"/>
  <c r="AV7" i="1"/>
  <c r="AV9" i="1"/>
  <c r="AV10" i="1"/>
  <c r="AV14" i="1"/>
  <c r="AV15" i="1"/>
  <c r="AV22" i="1"/>
  <c r="AV23" i="1"/>
  <c r="AV24" i="1"/>
  <c r="AV30" i="1"/>
  <c r="AV31" i="1"/>
  <c r="AV33" i="1"/>
  <c r="AV38" i="1"/>
  <c r="AV39" i="1"/>
  <c r="AV41" i="1"/>
  <c r="AV42" i="1"/>
  <c r="AV43" i="1"/>
  <c r="AV45" i="1"/>
  <c r="AV49" i="1"/>
  <c r="AV50" i="1"/>
  <c r="AV54" i="1"/>
  <c r="AV55" i="1"/>
  <c r="AV56" i="1"/>
  <c r="AV57" i="1"/>
  <c r="AV58" i="1"/>
  <c r="AV59" i="1"/>
  <c r="AV60" i="1"/>
  <c r="AW2" i="1"/>
  <c r="AV2" i="1"/>
  <c r="B10" i="14"/>
  <c r="B4" i="14"/>
  <c r="AU28" i="1"/>
  <c r="AW62" i="1" l="1"/>
  <c r="AV61" i="1"/>
  <c r="AV48" i="1"/>
  <c r="AV47" i="1"/>
  <c r="AV40" i="1"/>
  <c r="AV36" i="1"/>
  <c r="AW37" i="1"/>
  <c r="AW34" i="1"/>
  <c r="AW44" i="1"/>
  <c r="AV53" i="1"/>
  <c r="AV52" i="1"/>
  <c r="AW51" i="1"/>
  <c r="AW29" i="1"/>
  <c r="AV26" i="1"/>
  <c r="AW27" i="1"/>
  <c r="AV25" i="1"/>
  <c r="AW18" i="1"/>
  <c r="AW20" i="1"/>
  <c r="AW19" i="1"/>
  <c r="AV17" i="1"/>
  <c r="AV13" i="1"/>
  <c r="AV12" i="1"/>
  <c r="AV11" i="1"/>
  <c r="AW16" i="1"/>
  <c r="AV21" i="1"/>
  <c r="AW28" i="1"/>
  <c r="AS11" i="13"/>
  <c r="AS10" i="13"/>
  <c r="AS6" i="13"/>
  <c r="AS5" i="13"/>
  <c r="AS20" i="10"/>
  <c r="AS19" i="10"/>
  <c r="AS18" i="10"/>
  <c r="AS12" i="13" s="1"/>
  <c r="AS17" i="10"/>
  <c r="AS16" i="10"/>
  <c r="AS15" i="10"/>
  <c r="AS14" i="10"/>
  <c r="AS9" i="13" s="1"/>
  <c r="AS13" i="10"/>
  <c r="AS12" i="10"/>
  <c r="AS8" i="13" s="1"/>
  <c r="AS11" i="10"/>
  <c r="AS9" i="10"/>
  <c r="AS8" i="10"/>
  <c r="AS7" i="10"/>
  <c r="AS6" i="10"/>
  <c r="AS5" i="10"/>
  <c r="AS3" i="10"/>
  <c r="AS2" i="10"/>
  <c r="AS4" i="13" s="1"/>
  <c r="AT62" i="1"/>
  <c r="AT48" i="1"/>
  <c r="AT47" i="1"/>
  <c r="AT39" i="1"/>
  <c r="AT40" i="1"/>
  <c r="AT36" i="1"/>
  <c r="AT38" i="1"/>
  <c r="AT37" i="1"/>
  <c r="AT34" i="1"/>
  <c r="AT46" i="1"/>
  <c r="AT53" i="1"/>
  <c r="AT50" i="1"/>
  <c r="AT52" i="1"/>
  <c r="AT51" i="1"/>
  <c r="AT29" i="1"/>
  <c r="AT27" i="1"/>
  <c r="AT26" i="1"/>
  <c r="AT25" i="1"/>
  <c r="AT24" i="1"/>
  <c r="AT23" i="1"/>
  <c r="AT20" i="1"/>
  <c r="AT17" i="1"/>
  <c r="AT15" i="1"/>
  <c r="AT13" i="1"/>
  <c r="AT12" i="1"/>
  <c r="AT11" i="1"/>
  <c r="AT10" i="1"/>
  <c r="AT9" i="1"/>
  <c r="AT8" i="1"/>
  <c r="AT22" i="1"/>
  <c r="AT18" i="1"/>
  <c r="AT19" i="1"/>
  <c r="AT16" i="1"/>
  <c r="AT14" i="1"/>
  <c r="AT21" i="1"/>
  <c r="AV28" i="1" l="1"/>
  <c r="AS10" i="10"/>
  <c r="AS7" i="13" s="1"/>
  <c r="GK27" i="18"/>
  <c r="GL27" i="18"/>
  <c r="GF27" i="18"/>
  <c r="GE27" i="18"/>
  <c r="AR20" i="10" l="1"/>
  <c r="AR19" i="10"/>
  <c r="AR18" i="10"/>
  <c r="AR12" i="13" s="1"/>
  <c r="AR17" i="10"/>
  <c r="AR16" i="10"/>
  <c r="AR11" i="13" s="1"/>
  <c r="AR15" i="10"/>
  <c r="AR10" i="13" s="1"/>
  <c r="AR14" i="10"/>
  <c r="AR9" i="13" s="1"/>
  <c r="AR13" i="10"/>
  <c r="AR12" i="10"/>
  <c r="AR11" i="10"/>
  <c r="AR9" i="10"/>
  <c r="AR6" i="13" s="1"/>
  <c r="AR8" i="10"/>
  <c r="AR5" i="13" s="1"/>
  <c r="AR7" i="10"/>
  <c r="AR6" i="10"/>
  <c r="AR5" i="10"/>
  <c r="AR3" i="10"/>
  <c r="AR2" i="10"/>
  <c r="AR4" i="13" s="1"/>
  <c r="AS36" i="1"/>
  <c r="AS40" i="1"/>
  <c r="AS38" i="1"/>
  <c r="AS37" i="1"/>
  <c r="AS34" i="1"/>
  <c r="AS31" i="1"/>
  <c r="AS32" i="1"/>
  <c r="AS30" i="1"/>
  <c r="AS44" i="1"/>
  <c r="AS46" i="1"/>
  <c r="AS29" i="1"/>
  <c r="AS52" i="1"/>
  <c r="AS51" i="1"/>
  <c r="AS53" i="1"/>
  <c r="AS50" i="1"/>
  <c r="AS27" i="1"/>
  <c r="AS26" i="1"/>
  <c r="AS25" i="1"/>
  <c r="AS24" i="1"/>
  <c r="AS23" i="1"/>
  <c r="AS22" i="1"/>
  <c r="AS21" i="1"/>
  <c r="AS20" i="1"/>
  <c r="AS19" i="1"/>
  <c r="AS18" i="1"/>
  <c r="AS13" i="1"/>
  <c r="AS12" i="1"/>
  <c r="AS11" i="1"/>
  <c r="AS10" i="1"/>
  <c r="AS9" i="1"/>
  <c r="AS8" i="1"/>
  <c r="AS62" i="1"/>
  <c r="AS15" i="1"/>
  <c r="AS16" i="1"/>
  <c r="AS14" i="1"/>
  <c r="AS17" i="1"/>
  <c r="AR8" i="13" l="1"/>
  <c r="AR10" i="10"/>
  <c r="AR7" i="13" s="1"/>
  <c r="GK47" i="18"/>
  <c r="GK45" i="18"/>
  <c r="GL55" i="18"/>
  <c r="GJ47" i="18"/>
  <c r="GJ48" i="18"/>
  <c r="GI47" i="18"/>
  <c r="GL54" i="18"/>
  <c r="DX28" i="18"/>
  <c r="AQ20" i="10" l="1"/>
  <c r="AQ19" i="10"/>
  <c r="AQ18" i="10"/>
  <c r="AQ12" i="13" s="1"/>
  <c r="AQ17" i="10"/>
  <c r="AQ16" i="10"/>
  <c r="AQ11" i="13" s="1"/>
  <c r="AQ15" i="10"/>
  <c r="AQ10" i="13" s="1"/>
  <c r="AQ14" i="10"/>
  <c r="AQ9" i="13" s="1"/>
  <c r="AQ13" i="10"/>
  <c r="AQ12" i="10"/>
  <c r="AQ11" i="10"/>
  <c r="AQ9" i="10"/>
  <c r="AQ6" i="13" s="1"/>
  <c r="AQ8" i="10"/>
  <c r="AQ5" i="13" s="1"/>
  <c r="AQ7" i="10"/>
  <c r="AQ6" i="10"/>
  <c r="AQ5" i="10"/>
  <c r="AQ3" i="10"/>
  <c r="AQ2" i="10"/>
  <c r="AQ4" i="13" s="1"/>
  <c r="AR62" i="1"/>
  <c r="AR39" i="1"/>
  <c r="AR40" i="1"/>
  <c r="AR36" i="1"/>
  <c r="AR35" i="1"/>
  <c r="AR38" i="1"/>
  <c r="AR37" i="1"/>
  <c r="AR34" i="1"/>
  <c r="AR30" i="1"/>
  <c r="AR31" i="1"/>
  <c r="AR32" i="1"/>
  <c r="AR46" i="1"/>
  <c r="AR29" i="1"/>
  <c r="AR52" i="1"/>
  <c r="AR51" i="1"/>
  <c r="AR53" i="1"/>
  <c r="AR50" i="1"/>
  <c r="AR27" i="1"/>
  <c r="AR14" i="1"/>
  <c r="AR16" i="1"/>
  <c r="AR26" i="1"/>
  <c r="AR25" i="1"/>
  <c r="AR24" i="1"/>
  <c r="AR23" i="1"/>
  <c r="AR22" i="1"/>
  <c r="AR21" i="1"/>
  <c r="AR19" i="1"/>
  <c r="AR18" i="1"/>
  <c r="AR17" i="1"/>
  <c r="AR15" i="1"/>
  <c r="AR13" i="1"/>
  <c r="AR12" i="1"/>
  <c r="AR11" i="1"/>
  <c r="AR10" i="1"/>
  <c r="AR9" i="1"/>
  <c r="AR8" i="1"/>
  <c r="AQ8" i="13" l="1"/>
  <c r="AQ10" i="10"/>
  <c r="AQ7" i="13" s="1"/>
  <c r="AP3" i="10"/>
  <c r="AP5" i="10"/>
  <c r="AP6" i="10"/>
  <c r="AP7" i="10"/>
  <c r="AP9" i="10"/>
  <c r="AP6" i="13" s="1"/>
  <c r="AP11" i="10"/>
  <c r="AP12" i="10"/>
  <c r="AP13" i="10"/>
  <c r="AP14" i="10"/>
  <c r="AP9" i="13" s="1"/>
  <c r="AP15" i="10"/>
  <c r="AP10" i="13" s="1"/>
  <c r="AP16" i="10"/>
  <c r="AP17" i="10"/>
  <c r="AP18" i="10"/>
  <c r="AP12" i="13" s="1"/>
  <c r="AP19" i="10"/>
  <c r="AP20" i="10"/>
  <c r="AP2" i="10"/>
  <c r="AP4" i="13" s="1"/>
  <c r="AQ62" i="1"/>
  <c r="AQ40" i="1"/>
  <c r="AQ39" i="1"/>
  <c r="AQ38" i="1"/>
  <c r="AQ37" i="1"/>
  <c r="AQ34" i="1"/>
  <c r="AQ31" i="1"/>
  <c r="AQ46" i="1"/>
  <c r="AQ32" i="1"/>
  <c r="AQ45" i="1"/>
  <c r="AQ30" i="1"/>
  <c r="AQ44" i="1"/>
  <c r="AQ29" i="1"/>
  <c r="AQ52" i="1"/>
  <c r="AQ51" i="1"/>
  <c r="AQ53" i="1"/>
  <c r="AQ50" i="1"/>
  <c r="AQ27" i="1"/>
  <c r="AQ26" i="1"/>
  <c r="AQ25" i="1"/>
  <c r="AQ24" i="1"/>
  <c r="AQ23" i="1"/>
  <c r="AQ15" i="1"/>
  <c r="AQ22" i="1"/>
  <c r="AQ16" i="1"/>
  <c r="AQ14" i="1"/>
  <c r="AP8" i="13" l="1"/>
  <c r="AP11" i="13"/>
  <c r="AP10" i="10"/>
  <c r="AP7" i="13" s="1"/>
  <c r="GO35" i="18"/>
  <c r="GO34" i="18"/>
  <c r="GO32" i="18"/>
  <c r="GM31" i="18"/>
  <c r="GP31" i="18"/>
  <c r="ET39" i="18"/>
  <c r="EZ39" i="18"/>
  <c r="FG39" i="18"/>
  <c r="FL39" i="18"/>
  <c r="FR39" i="18"/>
  <c r="FX39" i="18"/>
  <c r="GD39" i="18"/>
  <c r="GJ39" i="18"/>
  <c r="GP39" i="18"/>
  <c r="EA38" i="18" l="1"/>
  <c r="EG38" i="18"/>
  <c r="EM38" i="18"/>
  <c r="ES38" i="18"/>
  <c r="AO20" i="10" l="1"/>
  <c r="AO19" i="10"/>
  <c r="AO18" i="10"/>
  <c r="AO12" i="13" s="1"/>
  <c r="AO17" i="10"/>
  <c r="AO16" i="10"/>
  <c r="AO15" i="10"/>
  <c r="AO10" i="13" s="1"/>
  <c r="AO14" i="10"/>
  <c r="AO9" i="13" s="1"/>
  <c r="AO13" i="10"/>
  <c r="AO12" i="10"/>
  <c r="AO11" i="10"/>
  <c r="AO9" i="10"/>
  <c r="AO6" i="13" s="1"/>
  <c r="AO7" i="10"/>
  <c r="AO6" i="10"/>
  <c r="AO5" i="10"/>
  <c r="AO3" i="10"/>
  <c r="AO2" i="10"/>
  <c r="AO4" i="13" s="1"/>
  <c r="AP62" i="1"/>
  <c r="AP61" i="1"/>
  <c r="AP39" i="1"/>
  <c r="AP40" i="1"/>
  <c r="D2" i="15" s="1"/>
  <c r="AP36" i="1"/>
  <c r="AP35" i="1"/>
  <c r="AP37" i="1"/>
  <c r="AP34" i="1"/>
  <c r="AP31" i="1"/>
  <c r="AP32" i="1"/>
  <c r="AP30" i="1"/>
  <c r="AP46" i="1"/>
  <c r="AP52" i="1"/>
  <c r="AP29" i="1"/>
  <c r="AP50" i="1"/>
  <c r="AP27" i="1"/>
  <c r="AP24" i="1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A5" i="17"/>
  <c r="AP25" i="1"/>
  <c r="AP22" i="1"/>
  <c r="AP5" i="1"/>
  <c r="AP15" i="1"/>
  <c r="AP16" i="1"/>
  <c r="AP14" i="1"/>
  <c r="AP53" i="1"/>
  <c r="AP23" i="1"/>
  <c r="AP51" i="1"/>
  <c r="AO8" i="13" l="1"/>
  <c r="AO11" i="13"/>
  <c r="AO10" i="10"/>
  <c r="AO7" i="13" s="1"/>
  <c r="EB28" i="18" l="1"/>
  <c r="EB27" i="18" s="1"/>
  <c r="EE29" i="18"/>
  <c r="EH28" i="18"/>
  <c r="EK29" i="18"/>
  <c r="EN28" i="18"/>
  <c r="EP29" i="18"/>
  <c r="ET28" i="18"/>
  <c r="EV29" i="18"/>
  <c r="EZ28" i="18"/>
  <c r="FB29" i="18"/>
  <c r="FF28" i="18"/>
  <c r="FH29" i="18"/>
  <c r="FL28" i="18"/>
  <c r="FN29" i="18"/>
  <c r="AN20" i="10" l="1"/>
  <c r="AN19" i="10"/>
  <c r="AN18" i="10"/>
  <c r="AN12" i="13" s="1"/>
  <c r="AN17" i="10"/>
  <c r="AN16" i="10"/>
  <c r="AN11" i="13" s="1"/>
  <c r="AN15" i="10"/>
  <c r="AN10" i="13" s="1"/>
  <c r="AN14" i="10"/>
  <c r="AN9" i="13" s="1"/>
  <c r="AN9" i="10"/>
  <c r="AN6" i="13" s="1"/>
  <c r="AN7" i="10"/>
  <c r="AN6" i="10"/>
  <c r="AN5" i="10"/>
  <c r="AN3" i="10"/>
  <c r="AN2" i="10"/>
  <c r="AN4" i="13" s="1"/>
  <c r="AO62" i="1"/>
  <c r="AO44" i="1"/>
  <c r="AO43" i="1"/>
  <c r="AO46" i="1"/>
  <c r="AO52" i="1"/>
  <c r="AO51" i="1"/>
  <c r="AO53" i="1"/>
  <c r="AO50" i="1"/>
  <c r="AO27" i="1"/>
  <c r="AO25" i="1"/>
  <c r="AO23" i="1"/>
  <c r="AO22" i="1"/>
  <c r="AO15" i="1"/>
  <c r="AO5" i="1"/>
  <c r="AO16" i="1"/>
  <c r="AO14" i="1"/>
  <c r="AN10" i="10" l="1"/>
  <c r="AM20" i="10"/>
  <c r="AM19" i="10"/>
  <c r="AM18" i="10"/>
  <c r="AM12" i="13" s="1"/>
  <c r="AM17" i="10"/>
  <c r="AM16" i="10"/>
  <c r="AM15" i="10"/>
  <c r="AM10" i="13" s="1"/>
  <c r="AM14" i="10"/>
  <c r="AM9" i="13" s="1"/>
  <c r="AM9" i="10"/>
  <c r="AM6" i="13" s="1"/>
  <c r="AM7" i="10"/>
  <c r="AM6" i="10"/>
  <c r="AM5" i="10"/>
  <c r="AM3" i="10"/>
  <c r="AM2" i="10"/>
  <c r="AM4" i="13" s="1"/>
  <c r="AN62" i="1"/>
  <c r="AN44" i="1"/>
  <c r="AN43" i="1"/>
  <c r="AN46" i="1"/>
  <c r="AN53" i="1"/>
  <c r="AN50" i="1"/>
  <c r="AN52" i="1"/>
  <c r="AN51" i="1"/>
  <c r="AN27" i="1"/>
  <c r="AN25" i="1"/>
  <c r="AN23" i="1"/>
  <c r="AN15" i="1"/>
  <c r="AN5" i="1"/>
  <c r="AN16" i="1"/>
  <c r="AN14" i="1"/>
  <c r="AM11" i="13" l="1"/>
  <c r="AM10" i="10"/>
  <c r="AL20" i="10"/>
  <c r="AL19" i="10"/>
  <c r="AL18" i="10"/>
  <c r="AL12" i="13" s="1"/>
  <c r="AL17" i="10"/>
  <c r="AL16" i="10"/>
  <c r="AL15" i="10"/>
  <c r="AL10" i="13" s="1"/>
  <c r="AL14" i="10"/>
  <c r="AL9" i="13" s="1"/>
  <c r="AL9" i="10"/>
  <c r="AL6" i="13" s="1"/>
  <c r="AL7" i="10"/>
  <c r="AL6" i="10"/>
  <c r="AL5" i="10"/>
  <c r="AL3" i="10"/>
  <c r="AL2" i="10"/>
  <c r="AL4" i="13" s="1"/>
  <c r="AM62" i="1"/>
  <c r="AM46" i="1"/>
  <c r="AM44" i="1"/>
  <c r="AM40" i="1"/>
  <c r="AN40" i="1" s="1"/>
  <c r="AO40" i="1" s="1"/>
  <c r="AM33" i="1"/>
  <c r="AM34" i="1"/>
  <c r="AN34" i="1" s="1"/>
  <c r="AM43" i="1"/>
  <c r="AM52" i="1"/>
  <c r="AM51" i="1"/>
  <c r="AM53" i="1"/>
  <c r="AM50" i="1"/>
  <c r="AM27" i="1"/>
  <c r="AM23" i="1"/>
  <c r="AM15" i="1"/>
  <c r="AM16" i="1"/>
  <c r="AM14" i="1"/>
  <c r="AM25" i="1"/>
  <c r="AO34" i="1" l="1"/>
  <c r="AL11" i="13"/>
  <c r="AL10" i="10"/>
  <c r="GI36" i="18" l="1"/>
  <c r="GL36" i="18"/>
  <c r="GF36" i="18"/>
  <c r="GJ36" i="18"/>
  <c r="GD36" i="18"/>
  <c r="GK46" i="18" l="1"/>
  <c r="AK20" i="10"/>
  <c r="AK19" i="10"/>
  <c r="AK18" i="10"/>
  <c r="AK12" i="13" s="1"/>
  <c r="AJ19" i="10"/>
  <c r="AJ20" i="10"/>
  <c r="AK17" i="10"/>
  <c r="AK16" i="10"/>
  <c r="AK11" i="13" s="1"/>
  <c r="AK15" i="10"/>
  <c r="AK10" i="13" s="1"/>
  <c r="AK14" i="10"/>
  <c r="AK9" i="13" s="1"/>
  <c r="AK9" i="10"/>
  <c r="AK6" i="13" s="1"/>
  <c r="AK7" i="10"/>
  <c r="AK6" i="10"/>
  <c r="AK5" i="10"/>
  <c r="AK3" i="10"/>
  <c r="AK2" i="10"/>
  <c r="AK4" i="13" s="1"/>
  <c r="AL62" i="1"/>
  <c r="AL61" i="1"/>
  <c r="AL40" i="1"/>
  <c r="AL34" i="1"/>
  <c r="AL44" i="1"/>
  <c r="AL43" i="1"/>
  <c r="AL46" i="1"/>
  <c r="AL52" i="1"/>
  <c r="AL51" i="1"/>
  <c r="AL53" i="1"/>
  <c r="AL50" i="1"/>
  <c r="AL27" i="1"/>
  <c r="AL23" i="1"/>
  <c r="AL15" i="1"/>
  <c r="AL16" i="1"/>
  <c r="AL14" i="1"/>
  <c r="AL25" i="1"/>
  <c r="AK10" i="10" l="1"/>
  <c r="H2" i="15"/>
  <c r="AJ18" i="10"/>
  <c r="AJ12" i="13" s="1"/>
  <c r="AJ17" i="10"/>
  <c r="AJ16" i="10"/>
  <c r="AJ15" i="10"/>
  <c r="AJ10" i="13" s="1"/>
  <c r="AJ14" i="10"/>
  <c r="AJ9" i="13" s="1"/>
  <c r="AJ9" i="10"/>
  <c r="AJ6" i="13" s="1"/>
  <c r="AJ7" i="10"/>
  <c r="AJ6" i="10"/>
  <c r="AJ5" i="10"/>
  <c r="AJ4" i="10"/>
  <c r="AJ3" i="10"/>
  <c r="AJ2" i="10"/>
  <c r="AJ4" i="13" s="1"/>
  <c r="AK62" i="1"/>
  <c r="AK34" i="1"/>
  <c r="AJ11" i="13" l="1"/>
  <c r="AJ10" i="10"/>
  <c r="AI19" i="10"/>
  <c r="AI18" i="10"/>
  <c r="AI12" i="13" s="1"/>
  <c r="AI7" i="10"/>
  <c r="AI6" i="10"/>
  <c r="AI5" i="10"/>
  <c r="AI4" i="10"/>
  <c r="AI3" i="10"/>
  <c r="AI2" i="10"/>
  <c r="AI4" i="13" s="1"/>
  <c r="AJ62" i="1"/>
  <c r="AJ39" i="1"/>
  <c r="AK39" i="1" s="1"/>
  <c r="AL39" i="1" s="1"/>
  <c r="AM39" i="1" s="1"/>
  <c r="AN39" i="1" s="1"/>
  <c r="AO39" i="1" s="1"/>
  <c r="AJ36" i="1"/>
  <c r="AK36" i="1" s="1"/>
  <c r="AL36" i="1" s="1"/>
  <c r="AM36" i="1" s="1"/>
  <c r="AN36" i="1" s="1"/>
  <c r="AO36" i="1" s="1"/>
  <c r="AJ35" i="1"/>
  <c r="AK35" i="1" s="1"/>
  <c r="AJ37" i="1"/>
  <c r="AK37" i="1" s="1"/>
  <c r="AL37" i="1" s="1"/>
  <c r="AM37" i="1" s="1"/>
  <c r="AN37" i="1" s="1"/>
  <c r="AO37" i="1" s="1"/>
  <c r="AJ27" i="1"/>
  <c r="AL35" i="1" l="1"/>
  <c r="AJ13" i="10"/>
  <c r="AK27" i="1"/>
  <c r="AI9" i="10"/>
  <c r="AI6" i="13" s="1"/>
  <c r="AI20" i="10"/>
  <c r="AI10" i="10"/>
  <c r="D4" i="15"/>
  <c r="H4" i="15" s="1"/>
  <c r="AH19" i="10"/>
  <c r="AH18" i="10"/>
  <c r="AH12" i="13" s="1"/>
  <c r="AH9" i="10"/>
  <c r="AH6" i="13" s="1"/>
  <c r="AH7" i="10"/>
  <c r="AH6" i="10"/>
  <c r="AH5" i="10"/>
  <c r="AH4" i="10"/>
  <c r="AH3" i="10"/>
  <c r="AH2" i="10"/>
  <c r="AH4" i="13" s="1"/>
  <c r="AI62" i="1"/>
  <c r="AH20" i="10" s="1"/>
  <c r="AI30" i="1"/>
  <c r="AJ30" i="1" s="1"/>
  <c r="AK30" i="1" s="1"/>
  <c r="AI12" i="1"/>
  <c r="AJ12" i="1" s="1"/>
  <c r="AI11" i="1"/>
  <c r="AJ11" i="1" s="1"/>
  <c r="AI10" i="1"/>
  <c r="AJ10" i="1" s="1"/>
  <c r="AI9" i="1"/>
  <c r="AJ9" i="1" s="1"/>
  <c r="AI8" i="1"/>
  <c r="AJ8" i="1" s="1"/>
  <c r="AK8" i="1" s="1"/>
  <c r="AL30" i="1" l="1"/>
  <c r="AM35" i="1"/>
  <c r="AK13" i="10"/>
  <c r="AL8" i="1"/>
  <c r="AK9" i="1"/>
  <c r="AL9" i="1" s="1"/>
  <c r="AM9" i="1" s="1"/>
  <c r="AN9" i="1" s="1"/>
  <c r="AO9" i="1" s="1"/>
  <c r="AP9" i="1" s="1"/>
  <c r="AQ9" i="1" s="1"/>
  <c r="AK10" i="1"/>
  <c r="AL10" i="1" s="1"/>
  <c r="AM10" i="1" s="1"/>
  <c r="AN10" i="1" s="1"/>
  <c r="AO10" i="1" s="1"/>
  <c r="AP10" i="1" s="1"/>
  <c r="AQ10" i="1" s="1"/>
  <c r="AK11" i="1"/>
  <c r="AL11" i="1" s="1"/>
  <c r="AM11" i="1" s="1"/>
  <c r="AN11" i="1" s="1"/>
  <c r="AO11" i="1" s="1"/>
  <c r="AP11" i="1" s="1"/>
  <c r="AQ11" i="1" s="1"/>
  <c r="AK12" i="1"/>
  <c r="AL12" i="1" s="1"/>
  <c r="AM12" i="1" s="1"/>
  <c r="AN12" i="1" s="1"/>
  <c r="AO12" i="1" s="1"/>
  <c r="AP12" i="1" s="1"/>
  <c r="AQ12" i="1" s="1"/>
  <c r="AH10" i="10"/>
  <c r="AG19" i="10"/>
  <c r="AG18" i="10"/>
  <c r="AG12" i="13" s="1"/>
  <c r="AG7" i="10"/>
  <c r="AG6" i="10"/>
  <c r="AG5" i="10"/>
  <c r="AG4" i="10"/>
  <c r="AG3" i="10"/>
  <c r="AG2" i="10"/>
  <c r="AG4" i="13" s="1"/>
  <c r="AH62" i="1"/>
  <c r="AG20" i="10" s="1"/>
  <c r="AH44" i="1"/>
  <c r="AI44" i="1" s="1"/>
  <c r="AJ44" i="1" s="1"/>
  <c r="AK44" i="1" s="1"/>
  <c r="AN35" i="1" l="1"/>
  <c r="AL13" i="10"/>
  <c r="AM30" i="1"/>
  <c r="AM8" i="1"/>
  <c r="AN8" i="1" s="1"/>
  <c r="AG10" i="10"/>
  <c r="AF19" i="10"/>
  <c r="AF18" i="10"/>
  <c r="AF12" i="13" s="1"/>
  <c r="AF7" i="10"/>
  <c r="AF6" i="10"/>
  <c r="AF5" i="10"/>
  <c r="AF4" i="10"/>
  <c r="AF3" i="10"/>
  <c r="AF2" i="10"/>
  <c r="AF4" i="13" s="1"/>
  <c r="AG62" i="1"/>
  <c r="AF20" i="10" s="1"/>
  <c r="AG33" i="1"/>
  <c r="AO8" i="1" l="1"/>
  <c r="AP8" i="1" s="1"/>
  <c r="AO35" i="1"/>
  <c r="AM13" i="10"/>
  <c r="AN30" i="1"/>
  <c r="AF10" i="10"/>
  <c r="F4" i="15"/>
  <c r="E4" i="15"/>
  <c r="AQ8" i="1" l="1"/>
  <c r="AO30" i="1"/>
  <c r="AN13" i="10"/>
  <c r="AE19" i="10"/>
  <c r="AE18" i="10"/>
  <c r="AE12" i="13" s="1"/>
  <c r="AE7" i="10"/>
  <c r="AE6" i="10"/>
  <c r="AE5" i="10"/>
  <c r="AE4" i="10"/>
  <c r="AE3" i="10"/>
  <c r="AE2" i="10"/>
  <c r="AE4" i="13" s="1"/>
  <c r="AF62" i="1"/>
  <c r="AE20" i="10" s="1"/>
  <c r="AF31" i="1"/>
  <c r="AG31" i="1" s="1"/>
  <c r="AF32" i="1"/>
  <c r="AG32" i="1" s="1"/>
  <c r="AH32" i="1" s="1"/>
  <c r="AI32" i="1" s="1"/>
  <c r="AJ32" i="1" s="1"/>
  <c r="AK32" i="1" s="1"/>
  <c r="AL32" i="1" s="1"/>
  <c r="AM32" i="1" s="1"/>
  <c r="AN32" i="1" s="1"/>
  <c r="AO32" i="1" s="1"/>
  <c r="AF30" i="1"/>
  <c r="AE12" i="10" s="1"/>
  <c r="AF50" i="1"/>
  <c r="AG50" i="1" s="1"/>
  <c r="AH50" i="1" l="1"/>
  <c r="AH31" i="1"/>
  <c r="AF12" i="10"/>
  <c r="AE10" i="10"/>
  <c r="AD19" i="10"/>
  <c r="AD18" i="10"/>
  <c r="AD12" i="13" s="1"/>
  <c r="AD12" i="10"/>
  <c r="AD7" i="10"/>
  <c r="AD6" i="10"/>
  <c r="AD5" i="10"/>
  <c r="AD4" i="10"/>
  <c r="AD3" i="10"/>
  <c r="AD2" i="10"/>
  <c r="AD4" i="13" s="1"/>
  <c r="M7" i="17"/>
  <c r="K7" i="17"/>
  <c r="L7" i="17"/>
  <c r="AE62" i="1"/>
  <c r="AD20" i="10" s="1"/>
  <c r="E7" i="17"/>
  <c r="A7" i="17"/>
  <c r="B9" i="17" s="1"/>
  <c r="D7" i="17"/>
  <c r="C7" i="17"/>
  <c r="F7" i="17"/>
  <c r="G7" i="17"/>
  <c r="H7" i="17"/>
  <c r="I7" i="17"/>
  <c r="J7" i="17"/>
  <c r="B7" i="17"/>
  <c r="C9" i="17" l="1"/>
  <c r="D9" i="17" s="1"/>
  <c r="E9" i="17" s="1"/>
  <c r="F9" i="17" s="1"/>
  <c r="G9" i="17" s="1"/>
  <c r="H9" i="17" s="1"/>
  <c r="I9" i="17" s="1"/>
  <c r="J9" i="17" s="1"/>
  <c r="K9" i="17" s="1"/>
  <c r="L9" i="17" s="1"/>
  <c r="M9" i="17" s="1"/>
  <c r="N9" i="17" s="1"/>
  <c r="AI31" i="1"/>
  <c r="AG12" i="10"/>
  <c r="AI50" i="1"/>
  <c r="AD10" i="10"/>
  <c r="AC19" i="10"/>
  <c r="AC18" i="10"/>
  <c r="AC12" i="13" s="1"/>
  <c r="AC7" i="10"/>
  <c r="AC6" i="10"/>
  <c r="AC5" i="10"/>
  <c r="AC4" i="10"/>
  <c r="AC3" i="10"/>
  <c r="AC2" i="10"/>
  <c r="AC4" i="13" s="1"/>
  <c r="AD62" i="1"/>
  <c r="AC20" i="10" s="1"/>
  <c r="AD49" i="1"/>
  <c r="AD27" i="1"/>
  <c r="AE27" i="1" s="1"/>
  <c r="AJ50" i="1" l="1"/>
  <c r="AK50" i="1" s="1"/>
  <c r="AJ31" i="1"/>
  <c r="AK31" i="1" s="1"/>
  <c r="AH12" i="10"/>
  <c r="AF27" i="1"/>
  <c r="AD9" i="10"/>
  <c r="AD6" i="13" s="1"/>
  <c r="AC9" i="10"/>
  <c r="AC6" i="13" s="1"/>
  <c r="N7" i="17"/>
  <c r="O9" i="17" s="1"/>
  <c r="AC10" i="10"/>
  <c r="AB19" i="10"/>
  <c r="AB18" i="10"/>
  <c r="AB12" i="13" s="1"/>
  <c r="AB9" i="10"/>
  <c r="AB6" i="13" s="1"/>
  <c r="AB7" i="10"/>
  <c r="AB6" i="10"/>
  <c r="AB5" i="10"/>
  <c r="AB4" i="10"/>
  <c r="AB3" i="10"/>
  <c r="AB2" i="10"/>
  <c r="AB4" i="13" s="1"/>
  <c r="AC62" i="1"/>
  <c r="AB20" i="10" s="1"/>
  <c r="AL31" i="1" l="1"/>
  <c r="AJ12" i="10"/>
  <c r="AJ8" i="13" s="1"/>
  <c r="AI12" i="10"/>
  <c r="AG27" i="1"/>
  <c r="AE9" i="10"/>
  <c r="AE6" i="13" s="1"/>
  <c r="O7" i="17"/>
  <c r="AB10" i="10"/>
  <c r="AA19" i="10"/>
  <c r="AA18" i="10"/>
  <c r="AA12" i="13" s="1"/>
  <c r="AA9" i="10"/>
  <c r="AA6" i="13" s="1"/>
  <c r="AA7" i="10"/>
  <c r="AA6" i="10"/>
  <c r="AA5" i="10"/>
  <c r="AA4" i="10"/>
  <c r="AA3" i="10"/>
  <c r="AA2" i="10"/>
  <c r="AA4" i="13" s="1"/>
  <c r="AB62" i="1"/>
  <c r="AA20" i="10" s="1"/>
  <c r="AB50" i="1"/>
  <c r="AC50" i="1" s="1"/>
  <c r="AM31" i="1" l="1"/>
  <c r="AK12" i="10"/>
  <c r="AK8" i="13" s="1"/>
  <c r="AF9" i="10"/>
  <c r="AF6" i="13" s="1"/>
  <c r="AH27" i="1"/>
  <c r="AG9" i="10" s="1"/>
  <c r="AG6" i="13" s="1"/>
  <c r="AD50" i="1"/>
  <c r="P9" i="17"/>
  <c r="AA10" i="10"/>
  <c r="Z20" i="10"/>
  <c r="Z19" i="10"/>
  <c r="Z18" i="10"/>
  <c r="Z12" i="13" s="1"/>
  <c r="Z9" i="10"/>
  <c r="Z6" i="13" s="1"/>
  <c r="Z7" i="10"/>
  <c r="Z6" i="10"/>
  <c r="Z5" i="10"/>
  <c r="Z4" i="10"/>
  <c r="Z3" i="10"/>
  <c r="Z2" i="10"/>
  <c r="Z4" i="13" s="1"/>
  <c r="AA62" i="1"/>
  <c r="AN31" i="1" l="1"/>
  <c r="AL12" i="10"/>
  <c r="AL8" i="13" s="1"/>
  <c r="P7" i="17"/>
  <c r="Q9" i="17" s="1"/>
  <c r="Z10" i="10"/>
  <c r="Y19" i="10"/>
  <c r="Y18" i="10"/>
  <c r="Y12" i="13" s="1"/>
  <c r="Y9" i="10"/>
  <c r="Y6" i="13" s="1"/>
  <c r="Y7" i="10"/>
  <c r="Y6" i="10"/>
  <c r="Y5" i="10"/>
  <c r="Y4" i="10"/>
  <c r="Y3" i="10"/>
  <c r="Y2" i="10"/>
  <c r="Y4" i="13" s="1"/>
  <c r="Z62" i="1"/>
  <c r="Y20" i="10" s="1"/>
  <c r="Z19" i="1"/>
  <c r="AA19" i="1" s="1"/>
  <c r="AB19" i="1" s="1"/>
  <c r="Z18" i="1"/>
  <c r="AA18" i="1" s="1"/>
  <c r="AB18" i="1" s="1"/>
  <c r="Z52" i="1"/>
  <c r="AA52" i="1" s="1"/>
  <c r="AO31" i="1" l="1"/>
  <c r="AM12" i="10"/>
  <c r="AM8" i="13" s="1"/>
  <c r="AC18" i="1"/>
  <c r="AD18" i="1" s="1"/>
  <c r="AE18" i="1" s="1"/>
  <c r="AF18" i="1" s="1"/>
  <c r="AC19" i="1"/>
  <c r="AD19" i="1" s="1"/>
  <c r="AE19" i="1" s="1"/>
  <c r="AF19" i="1" s="1"/>
  <c r="Y17" i="10"/>
  <c r="AB52" i="1"/>
  <c r="Z17" i="10"/>
  <c r="X19" i="10"/>
  <c r="X18" i="10"/>
  <c r="X12" i="13" s="1"/>
  <c r="X7" i="10"/>
  <c r="X6" i="10"/>
  <c r="X5" i="10"/>
  <c r="X4" i="10"/>
  <c r="X3" i="10"/>
  <c r="X2" i="10"/>
  <c r="X4" i="13" s="1"/>
  <c r="X17" i="10"/>
  <c r="Y32" i="1"/>
  <c r="Y51" i="1"/>
  <c r="Y62" i="1"/>
  <c r="AG18" i="1" l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G19" i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N12" i="10"/>
  <c r="AN8" i="13" s="1"/>
  <c r="Z32" i="1"/>
  <c r="AA32" i="1" s="1"/>
  <c r="AB32" i="1" s="1"/>
  <c r="AC32" i="1" s="1"/>
  <c r="Z51" i="1"/>
  <c r="AA51" i="1" s="1"/>
  <c r="AC52" i="1"/>
  <c r="AA17" i="10"/>
  <c r="Q7" i="17"/>
  <c r="R9" i="17" s="1"/>
  <c r="Y10" i="10"/>
  <c r="X20" i="10"/>
  <c r="W19" i="10"/>
  <c r="W18" i="10"/>
  <c r="W12" i="13" s="1"/>
  <c r="W7" i="10"/>
  <c r="W6" i="10"/>
  <c r="W5" i="10"/>
  <c r="W4" i="10"/>
  <c r="W3" i="10"/>
  <c r="W2" i="10"/>
  <c r="W4" i="13" s="1"/>
  <c r="X62" i="1"/>
  <c r="W20" i="10" s="1"/>
  <c r="X53" i="1"/>
  <c r="Y53" i="1" s="1"/>
  <c r="X44" i="1"/>
  <c r="Y44" i="1" s="1"/>
  <c r="X43" i="1"/>
  <c r="Y43" i="1" s="1"/>
  <c r="X29" i="1"/>
  <c r="Y29" i="1" s="1"/>
  <c r="X27" i="1"/>
  <c r="Y27" i="1" s="1"/>
  <c r="AD32" i="1" l="1"/>
  <c r="W14" i="10"/>
  <c r="W9" i="13" s="1"/>
  <c r="Z44" i="1"/>
  <c r="AA44" i="1" s="1"/>
  <c r="AB44" i="1" s="1"/>
  <c r="AC44" i="1" s="1"/>
  <c r="AD44" i="1" s="1"/>
  <c r="AE44" i="1" s="1"/>
  <c r="AF44" i="1" s="1"/>
  <c r="AD52" i="1"/>
  <c r="AB17" i="10"/>
  <c r="Z43" i="1"/>
  <c r="AB51" i="1"/>
  <c r="Z53" i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W9" i="10"/>
  <c r="W6" i="13" s="1"/>
  <c r="Z29" i="1"/>
  <c r="AA29" i="1" s="1"/>
  <c r="R7" i="17"/>
  <c r="S9" i="17" s="1"/>
  <c r="X14" i="10"/>
  <c r="X9" i="13" s="1"/>
  <c r="X11" i="10"/>
  <c r="W11" i="10"/>
  <c r="X9" i="10"/>
  <c r="X6" i="13" s="1"/>
  <c r="X10" i="10"/>
  <c r="W10" i="10"/>
  <c r="V20" i="10"/>
  <c r="V19" i="10"/>
  <c r="V18" i="10"/>
  <c r="V12" i="13" s="1"/>
  <c r="V14" i="10"/>
  <c r="V9" i="13" s="1"/>
  <c r="V11" i="10"/>
  <c r="V9" i="10"/>
  <c r="V6" i="13" s="1"/>
  <c r="V7" i="10"/>
  <c r="V6" i="10"/>
  <c r="V5" i="10"/>
  <c r="V4" i="10"/>
  <c r="V3" i="10"/>
  <c r="V2" i="10"/>
  <c r="V4" i="13" s="1"/>
  <c r="W23" i="1"/>
  <c r="X23" i="1" s="1"/>
  <c r="Y23" i="1" s="1"/>
  <c r="W62" i="1"/>
  <c r="E148" i="8"/>
  <c r="Z16" i="10" l="1"/>
  <c r="Z11" i="13" s="1"/>
  <c r="AA43" i="1"/>
  <c r="Y14" i="10"/>
  <c r="Y9" i="13" s="1"/>
  <c r="AC51" i="1"/>
  <c r="AA16" i="10"/>
  <c r="AA11" i="13" s="1"/>
  <c r="AE52" i="1"/>
  <c r="AC17" i="10"/>
  <c r="Z23" i="1"/>
  <c r="AA23" i="1" s="1"/>
  <c r="AB23" i="1" s="1"/>
  <c r="AC23" i="1" s="1"/>
  <c r="AD23" i="1" s="1"/>
  <c r="AE23" i="1" s="1"/>
  <c r="AF23" i="1" s="1"/>
  <c r="AG23" i="1" s="1"/>
  <c r="AH23" i="1" s="1"/>
  <c r="AI23" i="1" s="1"/>
  <c r="Y11" i="10"/>
  <c r="Y7" i="13" s="1"/>
  <c r="AB29" i="1"/>
  <c r="Z11" i="10"/>
  <c r="Z7" i="13" s="1"/>
  <c r="W7" i="13"/>
  <c r="X7" i="13"/>
  <c r="V10" i="10"/>
  <c r="V7" i="13" s="1"/>
  <c r="AD51" i="1" l="1"/>
  <c r="AB16" i="10"/>
  <c r="AB11" i="13" s="1"/>
  <c r="AF52" i="1"/>
  <c r="AD17" i="10"/>
  <c r="AJ23" i="1"/>
  <c r="F2" i="15"/>
  <c r="AB43" i="1"/>
  <c r="Z14" i="10"/>
  <c r="Z9" i="13" s="1"/>
  <c r="AC29" i="1"/>
  <c r="AA11" i="10"/>
  <c r="AA7" i="13" s="1"/>
  <c r="S7" i="17"/>
  <c r="T9" i="17" s="1"/>
  <c r="U19" i="10"/>
  <c r="U18" i="10"/>
  <c r="U12" i="13" s="1"/>
  <c r="T10" i="10"/>
  <c r="U9" i="10"/>
  <c r="U6" i="13" s="1"/>
  <c r="U7" i="10"/>
  <c r="U6" i="10"/>
  <c r="U5" i="10"/>
  <c r="U4" i="10"/>
  <c r="U3" i="10"/>
  <c r="U2" i="10"/>
  <c r="U4" i="13" s="1"/>
  <c r="AK23" i="1" l="1"/>
  <c r="AC43" i="1"/>
  <c r="AA14" i="10"/>
  <c r="AA9" i="13" s="1"/>
  <c r="AG52" i="1"/>
  <c r="AE17" i="10"/>
  <c r="E2" i="15"/>
  <c r="AE51" i="1"/>
  <c r="AC16" i="10"/>
  <c r="AC11" i="13" s="1"/>
  <c r="AD29" i="1"/>
  <c r="AB11" i="10"/>
  <c r="AB7" i="13" s="1"/>
  <c r="U10" i="10"/>
  <c r="V62" i="1"/>
  <c r="U20" i="10" s="1"/>
  <c r="V53" i="1"/>
  <c r="W53" i="1" s="1"/>
  <c r="AF51" i="1" l="1"/>
  <c r="AD16" i="10"/>
  <c r="AD11" i="13" s="1"/>
  <c r="AH52" i="1"/>
  <c r="AF17" i="10"/>
  <c r="AD43" i="1"/>
  <c r="AB14" i="10"/>
  <c r="AB9" i="13" s="1"/>
  <c r="AE29" i="1"/>
  <c r="AC11" i="10"/>
  <c r="AC7" i="13" s="1"/>
  <c r="T7" i="17"/>
  <c r="U9" i="17" s="1"/>
  <c r="T19" i="10"/>
  <c r="T18" i="10"/>
  <c r="T12" i="13" s="1"/>
  <c r="T7" i="10"/>
  <c r="T6" i="10"/>
  <c r="T5" i="10"/>
  <c r="T4" i="10"/>
  <c r="T3" i="10"/>
  <c r="T2" i="10"/>
  <c r="T4" i="13" s="1"/>
  <c r="U62" i="1"/>
  <c r="T20" i="10" s="1"/>
  <c r="S28" i="1"/>
  <c r="U8" i="1"/>
  <c r="V8" i="1" s="1"/>
  <c r="AE43" i="1" l="1"/>
  <c r="AC14" i="10"/>
  <c r="AC9" i="13" s="1"/>
  <c r="AI52" i="1"/>
  <c r="AG17" i="10"/>
  <c r="AG51" i="1"/>
  <c r="AE16" i="10"/>
  <c r="AE11" i="13" s="1"/>
  <c r="AF29" i="1"/>
  <c r="AD11" i="10"/>
  <c r="AD7" i="13" s="1"/>
  <c r="W8" i="1"/>
  <c r="S19" i="10"/>
  <c r="S18" i="10"/>
  <c r="S12" i="13" s="1"/>
  <c r="S7" i="10"/>
  <c r="S6" i="10"/>
  <c r="S5" i="10"/>
  <c r="S4" i="10"/>
  <c r="S3" i="10"/>
  <c r="S2" i="10"/>
  <c r="S4" i="13" s="1"/>
  <c r="T62" i="1"/>
  <c r="S20" i="10" s="1"/>
  <c r="T44" i="1"/>
  <c r="U44" i="1" s="1"/>
  <c r="V44" i="1" s="1"/>
  <c r="T43" i="1"/>
  <c r="U43" i="1" s="1"/>
  <c r="AH51" i="1" l="1"/>
  <c r="AF16" i="10"/>
  <c r="AF11" i="13" s="1"/>
  <c r="AJ52" i="1"/>
  <c r="AK52" i="1" s="1"/>
  <c r="AH17" i="10"/>
  <c r="AF43" i="1"/>
  <c r="AD14" i="10"/>
  <c r="AD9" i="13" s="1"/>
  <c r="AG29" i="1"/>
  <c r="AE11" i="10"/>
  <c r="AE7" i="13" s="1"/>
  <c r="U7" i="17"/>
  <c r="V9" i="17" s="1"/>
  <c r="V43" i="1"/>
  <c r="U14" i="10" s="1"/>
  <c r="U9" i="13" s="1"/>
  <c r="T14" i="10"/>
  <c r="T9" i="13" s="1"/>
  <c r="S14" i="10"/>
  <c r="S9" i="13" s="1"/>
  <c r="X8" i="1"/>
  <c r="Y8" i="1" s="1"/>
  <c r="S10" i="10"/>
  <c r="R19" i="10"/>
  <c r="R18" i="10"/>
  <c r="R12" i="13" s="1"/>
  <c r="R7" i="10"/>
  <c r="R6" i="10"/>
  <c r="R5" i="10"/>
  <c r="R4" i="10"/>
  <c r="R3" i="10"/>
  <c r="R2" i="10"/>
  <c r="R4" i="13" s="1"/>
  <c r="S45" i="1"/>
  <c r="R14" i="10" s="1"/>
  <c r="R9" i="13" s="1"/>
  <c r="S50" i="1"/>
  <c r="T50" i="1" s="1"/>
  <c r="S53" i="1"/>
  <c r="T53" i="1" s="1"/>
  <c r="S51" i="1"/>
  <c r="T51" i="1" s="1"/>
  <c r="U51" i="1" s="1"/>
  <c r="V51" i="1" s="1"/>
  <c r="W51" i="1" s="1"/>
  <c r="S29" i="1"/>
  <c r="T29" i="1" s="1"/>
  <c r="S62" i="1"/>
  <c r="R20" i="10" s="1"/>
  <c r="AI51" i="1" l="1"/>
  <c r="AG16" i="10"/>
  <c r="AG11" i="13" s="1"/>
  <c r="AG43" i="1"/>
  <c r="AE14" i="10"/>
  <c r="AE9" i="13" s="1"/>
  <c r="AI17" i="10"/>
  <c r="AH29" i="1"/>
  <c r="AI29" i="1" s="1"/>
  <c r="AF11" i="10"/>
  <c r="AF7" i="13" s="1"/>
  <c r="V7" i="17"/>
  <c r="W9" i="17" s="1"/>
  <c r="Z8" i="1"/>
  <c r="U50" i="1"/>
  <c r="S16" i="10"/>
  <c r="S11" i="13" s="1"/>
  <c r="U29" i="1"/>
  <c r="S11" i="10"/>
  <c r="S7" i="13" s="1"/>
  <c r="R16" i="10"/>
  <c r="R11" i="13" s="1"/>
  <c r="R11" i="10"/>
  <c r="R10" i="10"/>
  <c r="AH43" i="1" l="1"/>
  <c r="AF14" i="10"/>
  <c r="AF9" i="13" s="1"/>
  <c r="AJ51" i="1"/>
  <c r="AK51" i="1" s="1"/>
  <c r="AH16" i="10"/>
  <c r="AH11" i="13" s="1"/>
  <c r="AJ29" i="1"/>
  <c r="AK29" i="1" s="1"/>
  <c r="AH11" i="10"/>
  <c r="AH7" i="13" s="1"/>
  <c r="AG11" i="10"/>
  <c r="AG7" i="13" s="1"/>
  <c r="AA8" i="1"/>
  <c r="R7" i="13"/>
  <c r="V29" i="1"/>
  <c r="U11" i="10" s="1"/>
  <c r="U7" i="13" s="1"/>
  <c r="T11" i="10"/>
  <c r="T7" i="13" s="1"/>
  <c r="V50" i="1"/>
  <c r="T16" i="10"/>
  <c r="T11" i="13" s="1"/>
  <c r="AL29" i="1" l="1"/>
  <c r="AJ11" i="10"/>
  <c r="AJ7" i="13" s="1"/>
  <c r="AI16" i="10"/>
  <c r="AI11" i="13" s="1"/>
  <c r="AI43" i="1"/>
  <c r="AG14" i="10"/>
  <c r="AG9" i="13" s="1"/>
  <c r="AI11" i="10"/>
  <c r="AI7" i="13" s="1"/>
  <c r="W7" i="17"/>
  <c r="X9" i="17" s="1"/>
  <c r="AB8" i="1"/>
  <c r="W50" i="1"/>
  <c r="U16" i="10"/>
  <c r="U11" i="13" s="1"/>
  <c r="Q19" i="10"/>
  <c r="Q18" i="10"/>
  <c r="Q12" i="13" s="1"/>
  <c r="Q16" i="10"/>
  <c r="Q11" i="13" s="1"/>
  <c r="Q11" i="10"/>
  <c r="Q7" i="10"/>
  <c r="Q6" i="10"/>
  <c r="Q5" i="10"/>
  <c r="Q4" i="10"/>
  <c r="Q3" i="10"/>
  <c r="Q2" i="10"/>
  <c r="Q4" i="13" s="1"/>
  <c r="P2" i="10"/>
  <c r="B23" i="14"/>
  <c r="B14" i="14"/>
  <c r="B20" i="14"/>
  <c r="B13" i="14"/>
  <c r="B6" i="14"/>
  <c r="AM29" i="1" l="1"/>
  <c r="AK11" i="10"/>
  <c r="AK7" i="13" s="1"/>
  <c r="AJ43" i="1"/>
  <c r="AK43" i="1" s="1"/>
  <c r="AH14" i="10"/>
  <c r="AH9" i="13" s="1"/>
  <c r="AC8" i="1"/>
  <c r="X50" i="1"/>
  <c r="Y50" i="1" s="1"/>
  <c r="V16" i="10"/>
  <c r="V11" i="13" s="1"/>
  <c r="R62" i="1"/>
  <c r="Q20" i="10" s="1"/>
  <c r="Q62" i="1"/>
  <c r="R34" i="1"/>
  <c r="R31" i="1"/>
  <c r="S31" i="1" s="1"/>
  <c r="T31" i="1" s="1"/>
  <c r="U31" i="1" s="1"/>
  <c r="V31" i="1" s="1"/>
  <c r="R32" i="1"/>
  <c r="S32" i="1" s="1"/>
  <c r="T32" i="1" s="1"/>
  <c r="U32" i="1" s="1"/>
  <c r="V32" i="1" s="1"/>
  <c r="R30" i="1"/>
  <c r="R43" i="1"/>
  <c r="Q14" i="10" s="1"/>
  <c r="Q9" i="13" s="1"/>
  <c r="R46" i="1"/>
  <c r="C172" i="8"/>
  <c r="C171" i="8"/>
  <c r="R27" i="1"/>
  <c r="R26" i="1"/>
  <c r="S26" i="1" s="1"/>
  <c r="T26" i="1" s="1"/>
  <c r="U26" i="1" s="1"/>
  <c r="V26" i="1" s="1"/>
  <c r="W26" i="1" s="1"/>
  <c r="R17" i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R9" i="1"/>
  <c r="R10" i="1"/>
  <c r="S10" i="1" s="1"/>
  <c r="T10" i="1" s="1"/>
  <c r="U10" i="1" s="1"/>
  <c r="V10" i="1" s="1"/>
  <c r="R11" i="1"/>
  <c r="S11" i="1" s="1"/>
  <c r="T11" i="1" s="1"/>
  <c r="U11" i="1" s="1"/>
  <c r="V11" i="1" s="1"/>
  <c r="R12" i="1"/>
  <c r="S12" i="1" s="1"/>
  <c r="T12" i="1" s="1"/>
  <c r="U12" i="1" s="1"/>
  <c r="V12" i="1" s="1"/>
  <c r="R13" i="1"/>
  <c r="S13" i="1" s="1"/>
  <c r="T13" i="1" s="1"/>
  <c r="U13" i="1" s="1"/>
  <c r="V13" i="1" s="1"/>
  <c r="W13" i="1" s="1"/>
  <c r="R8" i="1"/>
  <c r="S8" i="1" s="1"/>
  <c r="R15" i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R16" i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R14" i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R21" i="1"/>
  <c r="S21" i="1" s="1"/>
  <c r="T21" i="1" s="1"/>
  <c r="U21" i="1" s="1"/>
  <c r="V21" i="1" s="1"/>
  <c r="W21" i="1" s="1"/>
  <c r="AG17" i="1" l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N29" i="1"/>
  <c r="AL11" i="10"/>
  <c r="AL7" i="13" s="1"/>
  <c r="Z50" i="1"/>
  <c r="Y16" i="10" s="1"/>
  <c r="Y11" i="13" s="1"/>
  <c r="AI14" i="10"/>
  <c r="AI9" i="13" s="1"/>
  <c r="X26" i="1"/>
  <c r="Y26" i="1" s="1"/>
  <c r="X13" i="1"/>
  <c r="Y13" i="1" s="1"/>
  <c r="Z13" i="1" s="1"/>
  <c r="AA13" i="1" s="1"/>
  <c r="AB13" i="1" s="1"/>
  <c r="X21" i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W31" i="1"/>
  <c r="W12" i="1"/>
  <c r="W11" i="1"/>
  <c r="W10" i="1"/>
  <c r="W32" i="1"/>
  <c r="X7" i="17"/>
  <c r="Y9" i="17" s="1"/>
  <c r="AD8" i="1"/>
  <c r="S27" i="1"/>
  <c r="Q9" i="10"/>
  <c r="Q6" i="13" s="1"/>
  <c r="S34" i="1"/>
  <c r="Q13" i="10"/>
  <c r="S46" i="1"/>
  <c r="Q15" i="10"/>
  <c r="Q10" i="13" s="1"/>
  <c r="S30" i="1"/>
  <c r="Q12" i="10"/>
  <c r="X16" i="10"/>
  <c r="X11" i="13" s="1"/>
  <c r="W16" i="10"/>
  <c r="W11" i="13" s="1"/>
  <c r="S9" i="1"/>
  <c r="Q8" i="10"/>
  <c r="Q5" i="13" s="1"/>
  <c r="Q10" i="10"/>
  <c r="Q7" i="13" s="1"/>
  <c r="C263" i="8"/>
  <c r="E262" i="8"/>
  <c r="E261" i="8"/>
  <c r="E260" i="8"/>
  <c r="E259" i="8"/>
  <c r="E258" i="8"/>
  <c r="E257" i="8"/>
  <c r="E255" i="8"/>
  <c r="E254" i="8"/>
  <c r="E253" i="8"/>
  <c r="E252" i="8"/>
  <c r="E251" i="8"/>
  <c r="E250" i="8"/>
  <c r="AO29" i="1" l="1"/>
  <c r="AM11" i="10"/>
  <c r="AM7" i="13" s="1"/>
  <c r="AC13" i="1"/>
  <c r="AD13" i="1" s="1"/>
  <c r="AE13" i="1" s="1"/>
  <c r="AF13" i="1" s="1"/>
  <c r="Z26" i="1"/>
  <c r="AA26" i="1" s="1"/>
  <c r="AB26" i="1" s="1"/>
  <c r="X31" i="1"/>
  <c r="Y31" i="1" s="1"/>
  <c r="X10" i="1"/>
  <c r="Y10" i="1" s="1"/>
  <c r="X12" i="1"/>
  <c r="Y12" i="1" s="1"/>
  <c r="X11" i="1"/>
  <c r="Y11" i="1" s="1"/>
  <c r="AE8" i="1"/>
  <c r="Q8" i="13"/>
  <c r="T46" i="1"/>
  <c r="R15" i="10"/>
  <c r="R10" i="13" s="1"/>
  <c r="T30" i="1"/>
  <c r="R12" i="10"/>
  <c r="T34" i="1"/>
  <c r="R13" i="10"/>
  <c r="T27" i="1"/>
  <c r="R9" i="10"/>
  <c r="R6" i="13" s="1"/>
  <c r="T9" i="1"/>
  <c r="R8" i="10"/>
  <c r="R5" i="13" s="1"/>
  <c r="C5" i="13"/>
  <c r="D5" i="13"/>
  <c r="E5" i="13"/>
  <c r="F5" i="13"/>
  <c r="G5" i="13"/>
  <c r="H5" i="13"/>
  <c r="I5" i="13"/>
  <c r="J5" i="13"/>
  <c r="B5" i="13"/>
  <c r="AG13" i="1" l="1"/>
  <c r="AH13" i="1" s="1"/>
  <c r="AI13" i="1" s="1"/>
  <c r="AJ13" i="1" s="1"/>
  <c r="AK13" i="1" s="1"/>
  <c r="AN11" i="10"/>
  <c r="AN7" i="13" s="1"/>
  <c r="AL13" i="1"/>
  <c r="AC26" i="1"/>
  <c r="AD26" i="1" s="1"/>
  <c r="AE26" i="1" s="1"/>
  <c r="AF26" i="1" s="1"/>
  <c r="AG26" i="1" s="1"/>
  <c r="AH26" i="1" s="1"/>
  <c r="AI26" i="1" s="1"/>
  <c r="AJ26" i="1" s="1"/>
  <c r="AI8" i="10" s="1"/>
  <c r="AI5" i="13" s="1"/>
  <c r="Z31" i="1"/>
  <c r="AA31" i="1" s="1"/>
  <c r="AB31" i="1" s="1"/>
  <c r="AC31" i="1" s="1"/>
  <c r="Z10" i="1"/>
  <c r="AA10" i="1" s="1"/>
  <c r="AB10" i="1" s="1"/>
  <c r="Z11" i="1"/>
  <c r="AA11" i="1" s="1"/>
  <c r="AB11" i="1" s="1"/>
  <c r="Z12" i="1"/>
  <c r="AA12" i="1" s="1"/>
  <c r="AB12" i="1" s="1"/>
  <c r="AF8" i="1"/>
  <c r="Y7" i="17"/>
  <c r="Z9" i="17" s="1"/>
  <c r="U27" i="1"/>
  <c r="T9" i="10" s="1"/>
  <c r="T6" i="13" s="1"/>
  <c r="S9" i="10"/>
  <c r="S6" i="13" s="1"/>
  <c r="U34" i="1"/>
  <c r="S13" i="10"/>
  <c r="R8" i="13"/>
  <c r="U30" i="1"/>
  <c r="S12" i="10"/>
  <c r="U46" i="1"/>
  <c r="S15" i="10"/>
  <c r="S10" i="13" s="1"/>
  <c r="U9" i="1"/>
  <c r="V9" i="1" s="1"/>
  <c r="S8" i="10"/>
  <c r="S5" i="13" s="1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B3" i="10"/>
  <c r="C2" i="10"/>
  <c r="C4" i="13" s="1"/>
  <c r="D2" i="10"/>
  <c r="D4" i="13" s="1"/>
  <c r="E2" i="10"/>
  <c r="E4" i="13" s="1"/>
  <c r="F2" i="10"/>
  <c r="F4" i="13" s="1"/>
  <c r="G2" i="10"/>
  <c r="G4" i="13" s="1"/>
  <c r="H2" i="10"/>
  <c r="H4" i="13" s="1"/>
  <c r="I2" i="10"/>
  <c r="I4" i="13" s="1"/>
  <c r="J2" i="10"/>
  <c r="J4" i="13" s="1"/>
  <c r="K2" i="10"/>
  <c r="K4" i="13" s="1"/>
  <c r="L2" i="10"/>
  <c r="L4" i="13" s="1"/>
  <c r="M2" i="10"/>
  <c r="M4" i="13" s="1"/>
  <c r="N2" i="10"/>
  <c r="N4" i="13" s="1"/>
  <c r="O2" i="10"/>
  <c r="O4" i="13" s="1"/>
  <c r="P4" i="13"/>
  <c r="B2" i="10"/>
  <c r="B4" i="13" s="1"/>
  <c r="AH8" i="10" l="1"/>
  <c r="AH5" i="13" s="1"/>
  <c r="AK26" i="1"/>
  <c r="AL26" i="1" s="1"/>
  <c r="AM26" i="1" s="1"/>
  <c r="AN26" i="1" s="1"/>
  <c r="AO26" i="1" s="1"/>
  <c r="AP26" i="1" s="1"/>
  <c r="AG8" i="10"/>
  <c r="AG5" i="13" s="1"/>
  <c r="AD31" i="1"/>
  <c r="AC10" i="1"/>
  <c r="AC12" i="1"/>
  <c r="AC11" i="1"/>
  <c r="AJ8" i="10"/>
  <c r="AJ5" i="13" s="1"/>
  <c r="AM13" i="1"/>
  <c r="AN13" i="1" s="1"/>
  <c r="AK8" i="10"/>
  <c r="AK5" i="13" s="1"/>
  <c r="AG8" i="1"/>
  <c r="S8" i="13"/>
  <c r="V34" i="1"/>
  <c r="T13" i="10"/>
  <c r="V46" i="1"/>
  <c r="T15" i="10"/>
  <c r="T10" i="13" s="1"/>
  <c r="V30" i="1"/>
  <c r="T12" i="10"/>
  <c r="W9" i="1"/>
  <c r="U8" i="10"/>
  <c r="U5" i="13" s="1"/>
  <c r="T8" i="10"/>
  <c r="T5" i="13" s="1"/>
  <c r="A1" i="13"/>
  <c r="AD10" i="1" l="1"/>
  <c r="AO13" i="1"/>
  <c r="AP13" i="1" s="1"/>
  <c r="AM8" i="10"/>
  <c r="AM5" i="13" s="1"/>
  <c r="AD11" i="1"/>
  <c r="AD12" i="1"/>
  <c r="AL8" i="10"/>
  <c r="AL5" i="13" s="1"/>
  <c r="Z7" i="17"/>
  <c r="AA9" i="17" s="1"/>
  <c r="T8" i="13"/>
  <c r="W30" i="1"/>
  <c r="U12" i="10"/>
  <c r="W46" i="1"/>
  <c r="U15" i="10"/>
  <c r="U10" i="13" s="1"/>
  <c r="W34" i="1"/>
  <c r="U13" i="10"/>
  <c r="X9" i="1"/>
  <c r="Y9" i="1" s="1"/>
  <c r="V8" i="10"/>
  <c r="V5" i="13" s="1"/>
  <c r="P20" i="10"/>
  <c r="P19" i="10"/>
  <c r="P18" i="10"/>
  <c r="P12" i="13" s="1"/>
  <c r="P16" i="10"/>
  <c r="P11" i="13" s="1"/>
  <c r="P15" i="10"/>
  <c r="P10" i="13" s="1"/>
  <c r="P14" i="10"/>
  <c r="P9" i="13" s="1"/>
  <c r="P13" i="10"/>
  <c r="P12" i="10"/>
  <c r="P11" i="10"/>
  <c r="P9" i="10"/>
  <c r="P6" i="13" s="1"/>
  <c r="P8" i="10"/>
  <c r="P5" i="13" s="1"/>
  <c r="P7" i="10"/>
  <c r="P6" i="10"/>
  <c r="P5" i="10"/>
  <c r="P4" i="10"/>
  <c r="Q28" i="1"/>
  <c r="P10" i="10" s="1"/>
  <c r="AQ13" i="1" l="1"/>
  <c r="AO8" i="10"/>
  <c r="AO5" i="13" s="1"/>
  <c r="AE12" i="1"/>
  <c r="AF12" i="1" s="1"/>
  <c r="AE11" i="1"/>
  <c r="AF11" i="1" s="1"/>
  <c r="AE10" i="1"/>
  <c r="AF10" i="1" s="1"/>
  <c r="AN8" i="10"/>
  <c r="AN5" i="13" s="1"/>
  <c r="X34" i="1"/>
  <c r="V13" i="10"/>
  <c r="X30" i="1"/>
  <c r="V12" i="10"/>
  <c r="X46" i="1"/>
  <c r="V15" i="10"/>
  <c r="V10" i="13" s="1"/>
  <c r="U8" i="13"/>
  <c r="Z9" i="1"/>
  <c r="X8" i="10"/>
  <c r="X5" i="13" s="1"/>
  <c r="P8" i="13"/>
  <c r="W8" i="10"/>
  <c r="W5" i="13" s="1"/>
  <c r="P7" i="13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C18" i="10"/>
  <c r="C12" i="13" s="1"/>
  <c r="D18" i="10"/>
  <c r="D12" i="13" s="1"/>
  <c r="E18" i="10"/>
  <c r="E12" i="13" s="1"/>
  <c r="F18" i="10"/>
  <c r="F12" i="13" s="1"/>
  <c r="G18" i="10"/>
  <c r="G12" i="13" s="1"/>
  <c r="H18" i="10"/>
  <c r="H12" i="13" s="1"/>
  <c r="I18" i="10"/>
  <c r="I12" i="13" s="1"/>
  <c r="J18" i="10"/>
  <c r="J12" i="13" s="1"/>
  <c r="K18" i="10"/>
  <c r="K12" i="13" s="1"/>
  <c r="L18" i="10"/>
  <c r="L12" i="13" s="1"/>
  <c r="M18" i="10"/>
  <c r="M12" i="13" s="1"/>
  <c r="N18" i="10"/>
  <c r="N12" i="13" s="1"/>
  <c r="O18" i="10"/>
  <c r="O12" i="13" s="1"/>
  <c r="B19" i="10"/>
  <c r="B18" i="10"/>
  <c r="B12" i="13" s="1"/>
  <c r="AG11" i="1" l="1"/>
  <c r="AG10" i="1"/>
  <c r="AG12" i="1"/>
  <c r="AP8" i="10"/>
  <c r="AP5" i="13" s="1"/>
  <c r="V8" i="13"/>
  <c r="AA7" i="17"/>
  <c r="AB9" i="17" s="1"/>
  <c r="AA9" i="1"/>
  <c r="Y8" i="10"/>
  <c r="Y5" i="13" s="1"/>
  <c r="Y46" i="1"/>
  <c r="W15" i="10"/>
  <c r="W10" i="13" s="1"/>
  <c r="Y30" i="1"/>
  <c r="W12" i="10"/>
  <c r="Y34" i="1"/>
  <c r="W13" i="10"/>
  <c r="K8" i="10"/>
  <c r="K5" i="13" s="1"/>
  <c r="M8" i="10"/>
  <c r="M5" i="13" s="1"/>
  <c r="O14" i="1"/>
  <c r="N8" i="10" s="1"/>
  <c r="N5" i="13" s="1"/>
  <c r="P26" i="1"/>
  <c r="P15" i="1"/>
  <c r="P12" i="1"/>
  <c r="P13" i="1"/>
  <c r="P9" i="1"/>
  <c r="P10" i="1"/>
  <c r="P11" i="1"/>
  <c r="P8" i="1"/>
  <c r="O16" i="10"/>
  <c r="O11" i="13" s="1"/>
  <c r="C16" i="10"/>
  <c r="C11" i="13" s="1"/>
  <c r="D16" i="10"/>
  <c r="D11" i="13" s="1"/>
  <c r="E16" i="10"/>
  <c r="E11" i="13" s="1"/>
  <c r="F16" i="10"/>
  <c r="F11" i="13" s="1"/>
  <c r="G16" i="10"/>
  <c r="G11" i="13" s="1"/>
  <c r="H16" i="10"/>
  <c r="H11" i="13" s="1"/>
  <c r="I16" i="10"/>
  <c r="I11" i="13" s="1"/>
  <c r="J16" i="10"/>
  <c r="J11" i="13" s="1"/>
  <c r="K16" i="10"/>
  <c r="K11" i="13" s="1"/>
  <c r="L16" i="10"/>
  <c r="L11" i="13" s="1"/>
  <c r="M16" i="10"/>
  <c r="M11" i="13" s="1"/>
  <c r="N16" i="10"/>
  <c r="N11" i="13" s="1"/>
  <c r="B16" i="10"/>
  <c r="B11" i="13" s="1"/>
  <c r="C15" i="10"/>
  <c r="C10" i="13" s="1"/>
  <c r="D15" i="10"/>
  <c r="D10" i="13" s="1"/>
  <c r="E15" i="10"/>
  <c r="E10" i="13" s="1"/>
  <c r="F15" i="10"/>
  <c r="F10" i="13" s="1"/>
  <c r="G15" i="10"/>
  <c r="G10" i="13" s="1"/>
  <c r="H15" i="10"/>
  <c r="H10" i="13" s="1"/>
  <c r="I15" i="10"/>
  <c r="I10" i="13" s="1"/>
  <c r="J15" i="10"/>
  <c r="J10" i="13" s="1"/>
  <c r="K15" i="10"/>
  <c r="K10" i="13" s="1"/>
  <c r="L15" i="10"/>
  <c r="L10" i="13" s="1"/>
  <c r="M15" i="10"/>
  <c r="M10" i="13" s="1"/>
  <c r="N15" i="10"/>
  <c r="N10" i="13" s="1"/>
  <c r="O15" i="10"/>
  <c r="O10" i="13" s="1"/>
  <c r="B15" i="10"/>
  <c r="B10" i="13" s="1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B4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B5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B6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B7" i="10"/>
  <c r="C9" i="10"/>
  <c r="C6" i="13" s="1"/>
  <c r="D9" i="10"/>
  <c r="D6" i="13" s="1"/>
  <c r="E9" i="10"/>
  <c r="E6" i="13" s="1"/>
  <c r="F9" i="10"/>
  <c r="F6" i="13" s="1"/>
  <c r="G9" i="10"/>
  <c r="G6" i="13" s="1"/>
  <c r="H9" i="10"/>
  <c r="H6" i="13" s="1"/>
  <c r="I9" i="10"/>
  <c r="I6" i="13" s="1"/>
  <c r="J9" i="10"/>
  <c r="J6" i="13" s="1"/>
  <c r="K9" i="10"/>
  <c r="K6" i="13" s="1"/>
  <c r="L9" i="10"/>
  <c r="L6" i="13" s="1"/>
  <c r="M9" i="10"/>
  <c r="M6" i="13" s="1"/>
  <c r="N9" i="10"/>
  <c r="N6" i="13" s="1"/>
  <c r="O9" i="10"/>
  <c r="O6" i="13" s="1"/>
  <c r="B9" i="10"/>
  <c r="B6" i="13" s="1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B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B11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B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B13" i="10"/>
  <c r="C14" i="10"/>
  <c r="C9" i="13" s="1"/>
  <c r="D14" i="10"/>
  <c r="D9" i="13" s="1"/>
  <c r="E14" i="10"/>
  <c r="E9" i="13" s="1"/>
  <c r="F14" i="10"/>
  <c r="F9" i="13" s="1"/>
  <c r="G14" i="10"/>
  <c r="G9" i="13" s="1"/>
  <c r="H14" i="10"/>
  <c r="H9" i="13" s="1"/>
  <c r="I14" i="10"/>
  <c r="I9" i="13" s="1"/>
  <c r="J14" i="10"/>
  <c r="J9" i="13" s="1"/>
  <c r="K14" i="10"/>
  <c r="K9" i="13" s="1"/>
  <c r="L14" i="10"/>
  <c r="L9" i="13" s="1"/>
  <c r="M14" i="10"/>
  <c r="M9" i="13" s="1"/>
  <c r="N14" i="10"/>
  <c r="N9" i="13" s="1"/>
  <c r="O14" i="10"/>
  <c r="O9" i="13" s="1"/>
  <c r="B14" i="10"/>
  <c r="B9" i="13" s="1"/>
  <c r="Z46" i="1" l="1"/>
  <c r="Z34" i="1"/>
  <c r="Z30" i="1"/>
  <c r="AA30" i="1" s="1"/>
  <c r="AB9" i="1"/>
  <c r="Z8" i="10"/>
  <c r="Z5" i="13" s="1"/>
  <c r="W8" i="13"/>
  <c r="X13" i="10"/>
  <c r="X12" i="10"/>
  <c r="X15" i="10"/>
  <c r="X10" i="13" s="1"/>
  <c r="F8" i="13"/>
  <c r="J7" i="13"/>
  <c r="N8" i="13"/>
  <c r="J8" i="13"/>
  <c r="N7" i="13"/>
  <c r="F7" i="13"/>
  <c r="M8" i="13"/>
  <c r="E8" i="13"/>
  <c r="I7" i="13"/>
  <c r="L8" i="13"/>
  <c r="D8" i="13"/>
  <c r="B7" i="13"/>
  <c r="H7" i="13"/>
  <c r="I8" i="13"/>
  <c r="M7" i="13"/>
  <c r="E7" i="13"/>
  <c r="K8" i="13"/>
  <c r="C8" i="13"/>
  <c r="O7" i="13"/>
  <c r="G7" i="13"/>
  <c r="B8" i="13"/>
  <c r="D7" i="13"/>
  <c r="H8" i="13"/>
  <c r="L7" i="13"/>
  <c r="O8" i="13"/>
  <c r="G8" i="13"/>
  <c r="K7" i="13"/>
  <c r="C7" i="13"/>
  <c r="P16" i="1"/>
  <c r="P14" i="1"/>
  <c r="P21" i="1"/>
  <c r="O62" i="1"/>
  <c r="N20" i="10" s="1"/>
  <c r="P62" i="1"/>
  <c r="O20" i="10" s="1"/>
  <c r="O8" i="10" l="1"/>
  <c r="O5" i="13" s="1"/>
  <c r="AA34" i="1"/>
  <c r="Y13" i="10"/>
  <c r="AA46" i="1"/>
  <c r="Y15" i="10"/>
  <c r="Y10" i="13" s="1"/>
  <c r="Y12" i="10"/>
  <c r="AB30" i="1"/>
  <c r="Z12" i="10"/>
  <c r="AB7" i="17"/>
  <c r="AC9" i="17" s="1"/>
  <c r="AC9" i="1"/>
  <c r="AA8" i="10"/>
  <c r="AA5" i="13" s="1"/>
  <c r="X8" i="13"/>
  <c r="C62" i="1"/>
  <c r="B20" i="10" s="1"/>
  <c r="M16" i="1"/>
  <c r="M21" i="1"/>
  <c r="M14" i="1"/>
  <c r="L8" i="10" s="1"/>
  <c r="L5" i="13" s="1"/>
  <c r="D62" i="1"/>
  <c r="C20" i="10" s="1"/>
  <c r="E62" i="1"/>
  <c r="D20" i="10" s="1"/>
  <c r="F62" i="1"/>
  <c r="E20" i="10" s="1"/>
  <c r="I62" i="1"/>
  <c r="H20" i="10" s="1"/>
  <c r="J62" i="1"/>
  <c r="I20" i="10" s="1"/>
  <c r="K62" i="1"/>
  <c r="J20" i="10" s="1"/>
  <c r="M62" i="1"/>
  <c r="L20" i="10" s="1"/>
  <c r="N62" i="1"/>
  <c r="M20" i="10" s="1"/>
  <c r="Y8" i="13" l="1"/>
  <c r="AB46" i="1"/>
  <c r="Z15" i="10"/>
  <c r="Z10" i="13" s="1"/>
  <c r="AB34" i="1"/>
  <c r="Z13" i="10"/>
  <c r="Z8" i="13" s="1"/>
  <c r="AC30" i="1"/>
  <c r="AA12" i="10"/>
  <c r="AD9" i="1"/>
  <c r="AB8" i="10"/>
  <c r="AB5" i="13" s="1"/>
  <c r="G62" i="1"/>
  <c r="F20" i="10" s="1"/>
  <c r="H62" i="1"/>
  <c r="G20" i="10" s="1"/>
  <c r="L62" i="1"/>
  <c r="K20" i="10" s="1"/>
  <c r="AC34" i="1" l="1"/>
  <c r="AA13" i="10"/>
  <c r="AA8" i="13" s="1"/>
  <c r="AC46" i="1"/>
  <c r="AA15" i="10"/>
  <c r="AA10" i="13" s="1"/>
  <c r="AD30" i="1"/>
  <c r="AC12" i="10" s="1"/>
  <c r="AB12" i="10"/>
  <c r="AC7" i="17"/>
  <c r="AD9" i="17" s="1"/>
  <c r="AE9" i="1"/>
  <c r="AC8" i="10"/>
  <c r="AC5" i="13" s="1"/>
  <c r="AD46" i="1" l="1"/>
  <c r="AB15" i="10"/>
  <c r="AB10" i="13" s="1"/>
  <c r="AD34" i="1"/>
  <c r="AB13" i="10"/>
  <c r="AB8" i="13" s="1"/>
  <c r="AF9" i="1"/>
  <c r="AD8" i="10"/>
  <c r="AD5" i="13" s="1"/>
  <c r="AE34" i="1" l="1"/>
  <c r="AC13" i="10"/>
  <c r="AC8" i="13" s="1"/>
  <c r="AE46" i="1"/>
  <c r="AC15" i="10"/>
  <c r="AC10" i="13" s="1"/>
  <c r="AG9" i="1"/>
  <c r="AE8" i="10"/>
  <c r="AE5" i="13" s="1"/>
  <c r="AD7" i="17"/>
  <c r="AE9" i="17" s="1"/>
  <c r="AF46" i="1" l="1"/>
  <c r="AD15" i="10"/>
  <c r="AD10" i="13" s="1"/>
  <c r="AF34" i="1"/>
  <c r="AD13" i="10"/>
  <c r="AD8" i="13" s="1"/>
  <c r="AF8" i="10"/>
  <c r="AF5" i="13" s="1"/>
  <c r="AG34" i="1" l="1"/>
  <c r="AE13" i="10"/>
  <c r="AE8" i="13" s="1"/>
  <c r="AG46" i="1"/>
  <c r="AE15" i="10"/>
  <c r="AE10" i="13" s="1"/>
  <c r="AE7" i="17"/>
  <c r="AF9" i="17" s="1"/>
  <c r="AH46" i="1" l="1"/>
  <c r="AF15" i="10"/>
  <c r="AF10" i="13" s="1"/>
  <c r="AH34" i="1"/>
  <c r="AF13" i="10"/>
  <c r="AF8" i="13" s="1"/>
  <c r="AI46" i="1" l="1"/>
  <c r="AG15" i="10"/>
  <c r="AG10" i="13" s="1"/>
  <c r="AI34" i="1"/>
  <c r="AG13" i="10"/>
  <c r="AG8" i="13" s="1"/>
  <c r="AF7" i="17"/>
  <c r="AG9" i="17" s="1"/>
  <c r="AJ46" i="1" l="1"/>
  <c r="AK46" i="1" s="1"/>
  <c r="AH15" i="10"/>
  <c r="AH10" i="13" s="1"/>
  <c r="AJ34" i="1"/>
  <c r="AH13" i="10"/>
  <c r="AH8" i="13" s="1"/>
  <c r="AI13" i="10" l="1"/>
  <c r="AI8" i="13" s="1"/>
  <c r="AI15" i="10"/>
  <c r="AI10" i="13" s="1"/>
  <c r="AG7" i="17"/>
  <c r="AH9" i="17" s="1"/>
  <c r="AH7" i="17" l="1"/>
  <c r="AI9" i="17" s="1"/>
  <c r="AI7" i="17" l="1"/>
  <c r="AJ9" i="17" s="1"/>
  <c r="AJ7" i="17" l="1"/>
  <c r="AK9" i="17" s="1"/>
  <c r="AK7" i="17" l="1"/>
  <c r="AL9" i="17" s="1"/>
  <c r="AL7" i="17" l="1"/>
  <c r="AM9" i="17" s="1"/>
  <c r="AM7" i="17" l="1"/>
  <c r="AN9" i="17" s="1"/>
  <c r="AN7" i="17" l="1"/>
  <c r="AO9" i="17" s="1"/>
  <c r="AO7" i="17" l="1"/>
  <c r="AP9" i="17" s="1"/>
  <c r="AP7" i="17" l="1"/>
  <c r="AQ9" i="17" s="1"/>
  <c r="AQ7" i="17" l="1"/>
  <c r="AR9" i="17" s="1"/>
  <c r="AR7" i="17" l="1"/>
  <c r="AS9" i="17" s="1"/>
  <c r="AS7" i="17" l="1"/>
  <c r="AT9" i="17" s="1"/>
  <c r="AT7" i="17" l="1"/>
  <c r="AU9" i="17" s="1"/>
  <c r="AU7" i="17" l="1"/>
  <c r="AV9" i="17" s="1"/>
  <c r="AV7" i="17" l="1"/>
  <c r="AW9" i="17" s="1"/>
  <c r="AW7" i="17" l="1"/>
  <c r="AX9" i="17" s="1"/>
  <c r="AX7" i="17" l="1"/>
  <c r="AY9" i="17" s="1"/>
  <c r="AY7" i="17" l="1"/>
  <c r="AZ9" i="17" s="1"/>
  <c r="AZ7" i="17" l="1"/>
  <c r="BA9" i="17" s="1"/>
  <c r="BA7" i="17"/>
  <c r="BB9" i="17" l="1"/>
  <c r="BB7" i="17"/>
  <c r="BC9" i="17" l="1"/>
  <c r="BC7" i="17"/>
  <c r="BD9" i="17" s="1"/>
  <c r="BD7" i="17" l="1"/>
  <c r="BE9" i="17" s="1"/>
  <c r="BE7" i="17" l="1"/>
  <c r="BF9" i="17" s="1"/>
  <c r="BF7" i="17" l="1"/>
  <c r="BG9" i="17" s="1"/>
  <c r="BG7" i="17" l="1"/>
  <c r="BH9" i="17" s="1"/>
  <c r="BH7" i="17" l="1"/>
</calcChain>
</file>

<file path=xl/comments1.xml><?xml version="1.0" encoding="utf-8"?>
<comments xmlns="http://schemas.openxmlformats.org/spreadsheetml/2006/main">
  <authors>
    <author>Автор</author>
  </authors>
  <commentLis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08.06.28
% ставка 4,75%
Ежемесячные %%</t>
        </r>
      </text>
    </comment>
    <comment ref="L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31.12.27
% ставка 6,25%
Ежеквартальные %%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01.06.48
% ставка 6,25%+инфляция+1%
Ежеквартальные %%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26.09.34
% ставка ЛИБОР+2,75, 0,25, 2,86
Ежегодные %%</t>
        </r>
      </text>
    </comment>
    <comment ref="L1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26.09.34
% ставка ЛИБОР+3, 0,25, 2,86
Ежегодные %%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26.09.34
% ставка ЛИБОР+3,8, 0.25, 2.86
Ежегодные %%</t>
        </r>
      </text>
    </comment>
    <comment ref="L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30.12.30
% ставка 6%
Ежегодные %%</t>
        </r>
      </text>
    </comment>
    <comment ref="L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20.12.28
% ставка 6%
Ежегодные %%</t>
        </r>
      </text>
    </comment>
    <comment ref="L1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30.12.35
% ставка Инфляция+1%
Ежемесячные %%</t>
        </r>
      </text>
    </comment>
    <comment ref="L2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26.08.47
% ставка 5%
Ежемесячные %%</t>
        </r>
      </text>
    </comment>
    <comment ref="L2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Срок возврата 21.11.42
% ставка 7.5(депозиты ЦБ)
Ежеквартальные %%</t>
        </r>
      </text>
    </comment>
    <comment ref="L3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28,98%</t>
        </r>
      </text>
    </comment>
    <comment ref="M3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28,98%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28,98%</t>
        </r>
      </text>
    </comment>
    <comment ref="O3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28,98%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28,98%</t>
        </r>
      </text>
    </comment>
    <comment ref="Q3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28,98%</t>
        </r>
      </text>
    </comment>
    <comment ref="L3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4,78%</t>
        </r>
      </text>
    </comment>
    <comment ref="M3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4,78%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4,78%</t>
        </r>
      </text>
    </comment>
    <comment ref="O3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4,78%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4,78%</t>
        </r>
      </text>
    </comment>
    <comment ref="Q3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4,78%</t>
        </r>
      </text>
    </comment>
    <comment ref="L3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36,44%</t>
        </r>
      </text>
    </comment>
    <comment ref="M3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36,44%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36,44%</t>
        </r>
      </text>
    </comment>
    <comment ref="O3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36,44%</t>
        </r>
      </text>
    </comment>
    <comment ref="P3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36,44%</t>
        </r>
      </text>
    </comment>
    <comment ref="Q3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доля в УК 36,44%</t>
        </r>
      </text>
    </comment>
    <comment ref="L5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Курсовая разница +1,559,734 млн. руб.</t>
        </r>
      </text>
    </comment>
  </commentList>
</comments>
</file>

<file path=xl/sharedStrings.xml><?xml version="1.0" encoding="utf-8"?>
<sst xmlns="http://schemas.openxmlformats.org/spreadsheetml/2006/main" count="1969" uniqueCount="463">
  <si>
    <t>01.02.2023</t>
  </si>
  <si>
    <t>Евро, млн</t>
  </si>
  <si>
    <t>Китайский юань, млн</t>
  </si>
  <si>
    <t>Золото (обезличенное), кг</t>
  </si>
  <si>
    <t>Рубли, млн</t>
  </si>
  <si>
    <t>Счета в ЦБ РФ</t>
  </si>
  <si>
    <t>Долговые обязательства иностранных государств, млн. долл. США</t>
  </si>
  <si>
    <t>Ценные бумаги российских эмитентов, связанные с реализацией самоокупаемых инфраструктурных проектов, млн. руб.</t>
  </si>
  <si>
    <t>Ценные бумаги российских эмитентов, связанные с реализацией самоокупаемых инфраструктурных проектов, млн. долл. США</t>
  </si>
  <si>
    <t>Привилегированные акции кредитных организаций</t>
  </si>
  <si>
    <t>Субординированные депозиты в Банк ВТБ (ПАО) и Банк ГПБ (АО) в целях финансирования самоокупаемых инфраструктурных проектов, млн. руб.</t>
  </si>
  <si>
    <t>АО ДОМ.РФ, млн.руб</t>
  </si>
  <si>
    <t>ОАО РЖД, млн. руб</t>
  </si>
  <si>
    <t>Привилегированные акции</t>
  </si>
  <si>
    <t>Облигации</t>
  </si>
  <si>
    <t>АО Авиакомпания Сибирь, млн. руб</t>
  </si>
  <si>
    <t>АО ГТЛК, млн. руб</t>
  </si>
  <si>
    <t>ОАО АК Уральские авилинии, млн. руб</t>
  </si>
  <si>
    <t>Общий объем ФНБ, млн. руб</t>
  </si>
  <si>
    <t>Доля ВВП</t>
  </si>
  <si>
    <t>Общий объем ФНБ, млн. долл США</t>
  </si>
  <si>
    <t>Объем ликвидных активов Фонда</t>
  </si>
  <si>
    <t>Средства на банковских счетах в Банке России, млн. руб</t>
  </si>
  <si>
    <t>Средства на банковских счетах в Банке России, млн. долл США</t>
  </si>
  <si>
    <t>Депозиты и субординированные депозиты в ВЭБ.РФ</t>
  </si>
  <si>
    <t>Кредитование субъектов малого и среднего предпринимательства, млн.руб</t>
  </si>
  <si>
    <t>Обеспечение достаточности собственных средств (капитала) ВЭБ.РФ, млн. руб</t>
  </si>
  <si>
    <t>Не регламентировано (обкспечение достаточности ВЭБ.РФ), млн. руб</t>
  </si>
  <si>
    <t>01.03.2023</t>
  </si>
  <si>
    <t>01.07.2023</t>
  </si>
  <si>
    <t>Банк ВТБ, млн. руб</t>
  </si>
  <si>
    <t>Россельхозбанк, млн. руб</t>
  </si>
  <si>
    <t>Банк ГПБ, млн. руб</t>
  </si>
  <si>
    <t>Категория</t>
  </si>
  <si>
    <t>Активы</t>
  </si>
  <si>
    <t>Долговые обязательства иностранных государств</t>
  </si>
  <si>
    <t>Ценные бумаги российских эмитентов, связанные с реализацией самоокупаемых инфраструктурных проектов</t>
  </si>
  <si>
    <t>Обыкновенные акции</t>
  </si>
  <si>
    <t>Субординированные депозиты</t>
  </si>
  <si>
    <t>ООО НЛК-Финанс, млн. руб</t>
  </si>
  <si>
    <t>ООО ВК, млн. руб</t>
  </si>
  <si>
    <t>Объем активов Фонда</t>
  </si>
  <si>
    <t>Доля ликвидных средств в ВВП</t>
  </si>
  <si>
    <t>Доля фонда в ВВП</t>
  </si>
  <si>
    <t>Доля ликвидных средств в общем объеме Фонда</t>
  </si>
  <si>
    <t>Доля ликвидных средств в общем объеме Фонда в долл. США эквиваленте</t>
  </si>
  <si>
    <t>01.10.2023</t>
  </si>
  <si>
    <t>01.09.2023</t>
  </si>
  <si>
    <t>01.08.2023</t>
  </si>
  <si>
    <t>01.06.2023</t>
  </si>
  <si>
    <t>01.05.2023</t>
  </si>
  <si>
    <t>01.04.2023</t>
  </si>
  <si>
    <t>01.01.2023</t>
  </si>
  <si>
    <t>Кредитование АО ДОМ.РФ, млн. руб</t>
  </si>
  <si>
    <t>Проект Лизинг вагонов Московского метро (КЖЦ-1), млн. руб</t>
  </si>
  <si>
    <t>Проект Строительство нового аэропортового комплекса Центральный (г. Саратов), млн. руб</t>
  </si>
  <si>
    <t>Проект Лизинг вагонов Московского метро (КЖЦ-2), млн. руб</t>
  </si>
  <si>
    <t>Проект Обновление подвижного состава ГУП Петербургский метрополитен, млн. руб</t>
  </si>
  <si>
    <t>Субординированный депозит (Программа Фабрика проектного финансирования)</t>
  </si>
  <si>
    <t>Фунты стерлингов, млн</t>
  </si>
  <si>
    <t>Японские йены, млн</t>
  </si>
  <si>
    <t>01.10.2022</t>
  </si>
  <si>
    <t>01.11.2022</t>
  </si>
  <si>
    <t>01.12.2022</t>
  </si>
  <si>
    <t>«Центральная кольцевая автомобильная дорога (Московская область)»</t>
  </si>
  <si>
    <t>облигации</t>
  </si>
  <si>
    <t>ППК «Фонд развития территорий»</t>
  </si>
  <si>
    <t>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</t>
  </si>
  <si>
    <t>«Строительство автомобильной дороги «Казань - Екатеринбург» на участке Дюртюли - Ачит»</t>
  </si>
  <si>
    <t>АО «ГТЛК»</t>
  </si>
  <si>
    <t>«Приобретение воздушных судов для последующей передачи в лизинг национальному перевозчику в Дальневосточном федеральном округе»</t>
  </si>
  <si>
    <t>Год</t>
  </si>
  <si>
    <t>Месяц</t>
  </si>
  <si>
    <t>Инструмент</t>
  </si>
  <si>
    <t>Количество</t>
  </si>
  <si>
    <t>Получатель</t>
  </si>
  <si>
    <t>Программа</t>
  </si>
  <si>
    <t>Сентябрь</t>
  </si>
  <si>
    <t>«Программа льготного лизинга гражданских судов водного транспорта»</t>
  </si>
  <si>
    <t>Сумма, млн. руб</t>
  </si>
  <si>
    <t>Август</t>
  </si>
  <si>
    <t>ГК «Российские автомобильные дороги»</t>
  </si>
  <si>
    <t>ООО «Авиакапитал-Сервис»</t>
  </si>
  <si>
    <t>«Проект льготного лизинга отечественных воздушных судов»</t>
  </si>
  <si>
    <t>«Приобретение вертолетов отечественного производства для последующей передачи в лизинг для нужд российских авиакомпаний»</t>
  </si>
  <si>
    <t>ОАО «Ямал СПГ»</t>
  </si>
  <si>
    <t>ОАО АК «Уральские авиалинии»</t>
  </si>
  <si>
    <t>«Строительство комплекса по добыче и подготовке газа, завода сжиженного природного газа и мощностей по отгрузке сжиженного природного газа и газового конденсата Южно-Тамбейского газоконденсатного месторождения на полуострове Ямал» 2015 год</t>
  </si>
  <si>
    <t>Приобретение облигаций, август 2022 года</t>
  </si>
  <si>
    <t>Приобретение облигаций, июнь 2023 года</t>
  </si>
  <si>
    <t>Июль</t>
  </si>
  <si>
    <t>«Приобретение подвижного состава наземного общественного пассажирского транспорта для последующей передачи в лизинг»</t>
  </si>
  <si>
    <t>ООО «НЛК-Финанс»</t>
  </si>
  <si>
    <t>Приобретение облигаций, апрель 2023 года</t>
  </si>
  <si>
    <t>АО «Авиакомпания «Сибирь»</t>
  </si>
  <si>
    <t>Приобретение облигаций, июль 2022 года</t>
  </si>
  <si>
    <t>Июнь</t>
  </si>
  <si>
    <t>Май</t>
  </si>
  <si>
    <t>привилегированные акции</t>
  </si>
  <si>
    <t>ОАО «РЖД»</t>
  </si>
  <si>
    <t>«Развитие железнодорожной инфраструктуры Центрального транспортного узла»</t>
  </si>
  <si>
    <t>Апрель</t>
  </si>
  <si>
    <t>Март</t>
  </si>
  <si>
    <t>Февраль</t>
  </si>
  <si>
    <t>Декабрь</t>
  </si>
  <si>
    <t>«Строительство автомобильной дороги М-12 «Строящаяся скоростная автомобильная дорога Москва – Нижний Новгород – Казань»</t>
  </si>
  <si>
    <t>«Строительство автомобильной дороги М-11 «Нева», этап 3 на участке км 149 - км 208 (Обход г. Твери)»</t>
  </si>
  <si>
    <t>ООО «Инфраструктурные инвестиции - 3»</t>
  </si>
  <si>
    <t>«Строительство «интеллектуальных сетей», 2014 год</t>
  </si>
  <si>
    <t>Ноябрь</t>
  </si>
  <si>
    <t>ГК Фонд содействия реформированию жилищно-коммунального хозяйства</t>
  </si>
  <si>
    <t>Октябрь</t>
  </si>
  <si>
    <t>Банк ВТБ (ПАО), млн.руб*</t>
  </si>
  <si>
    <t>ООО «ЗапСибНефтехим»</t>
  </si>
  <si>
    <t>«Строительство интегрированного нефтехимического комплекса «Западно-Сибирский нефтехимический комбинат»</t>
  </si>
  <si>
    <t>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</t>
  </si>
  <si>
    <t>ПАО Аэрофлот, млн. Руб (1531234889 акций * 34,29 руб, 833333333 акций * 60 руб)</t>
  </si>
  <si>
    <t>* За счет субординированного депозита приобретение облигаций ГК "Российские автомобильные дороги" для реализации проекта «Центральная кольцевая автомобильная дорога (Московская область)», млн: 400 + 400 + 450 + 800 + 680 + 1350 + 500 + 2000 + 4000 + 2000</t>
  </si>
  <si>
    <t>Финансирование приобретения ВЭБ.РФ акций ГПБ, млн. руб**</t>
  </si>
  <si>
    <t>**В июне 2020 г. срок возврата депозита, размещенного в 2012 г. продлен до 8 июня 2028 г. при одновременном снижении процентной ставки с 6,25% до 4,75% годовых.</t>
  </si>
  <si>
    <t>ПАО Сбербанк, млн. руб (11293474001 * 189,44 руб)</t>
  </si>
  <si>
    <t>Январь</t>
  </si>
  <si>
    <t>Субординированные депозиты в Банке ГПБ (АО) в целях финансирования самоокупаемых инфраструктурных проектов, млн. руб.***</t>
  </si>
  <si>
    <t>АО «Атомэнергопром»</t>
  </si>
  <si>
    <t>«Сооружение АЭС «Ханхикиви-1» в Финляндии»</t>
  </si>
  <si>
    <t>ООО «Инфраструктурные инвестиции - 4»</t>
  </si>
  <si>
    <t>«Ликвидация цифрового неравенства в малонаселенных пунктах России»</t>
  </si>
  <si>
    <t>01.11.2023</t>
  </si>
  <si>
    <t>Проект комплекса наземного электрического транспорта в Нижнем Новгороде, млн. руб</t>
  </si>
  <si>
    <t>Volume of the National Wealth Fund, RUB mln</t>
  </si>
  <si>
    <t>Volume of the National Wealth Fund, USD mln</t>
  </si>
  <si>
    <t>Debt obligations of foreign countries, USD mln</t>
  </si>
  <si>
    <t>Securities of Russian issuers related to the implementation of self-sustaining infrastructure projects, RUB mln</t>
  </si>
  <si>
    <t>Securities of Russian issuers related to the implementation of self-sustaining infrastructure projects, USD mln</t>
  </si>
  <si>
    <t>Preferred shares of credit organizations, RUB mln</t>
  </si>
  <si>
    <t>Common stocks, RUB mln</t>
  </si>
  <si>
    <t>Preferred shares, RUB mln</t>
  </si>
  <si>
    <t>Bonds, RUB mln</t>
  </si>
  <si>
    <t>Data</t>
  </si>
  <si>
    <t>Balance on Federal Treasury accounts with the Bank of the Russia, EUR mln</t>
  </si>
  <si>
    <t>Balance on Federal Treasury accounts with the Bank of the Russia, CNY mln</t>
  </si>
  <si>
    <t>Balance on Federal Treasury accounts with the Bank of the Russia, GOLD kg</t>
  </si>
  <si>
    <t>Balance on Federal Treasury accounts with the Bank of the Russia, RUB mln</t>
  </si>
  <si>
    <t>Volume of liquid assets of the Fund, RUB mln</t>
  </si>
  <si>
    <t>Volume of liquid assets of the Fund, USD mln</t>
  </si>
  <si>
    <t>Share of liquid assets in the total Fund in USD equivalent</t>
  </si>
  <si>
    <t>01.12.2023</t>
  </si>
  <si>
    <t>Deposits and subordinated debt with VEB_RF, RUB mln</t>
  </si>
  <si>
    <t>CBR exchange rate for USD</t>
  </si>
  <si>
    <t>Preferred shares and subordinated debt of credit organizations</t>
  </si>
  <si>
    <t>Liquid assets of the Fund</t>
  </si>
  <si>
    <t>Bonds</t>
  </si>
  <si>
    <t>Preferred shares</t>
  </si>
  <si>
    <t>Common stocks</t>
  </si>
  <si>
    <t>Securities related to the implementation of infrastructure projects</t>
  </si>
  <si>
    <t>Debt obligations of foreign countries</t>
  </si>
  <si>
    <t>Deposits and subordinated debt with VEB_RF</t>
  </si>
  <si>
    <t>Entity</t>
  </si>
  <si>
    <t>RUB, mln</t>
  </si>
  <si>
    <t>Sberbank</t>
  </si>
  <si>
    <t>RZD</t>
  </si>
  <si>
    <t>VEB.RF</t>
  </si>
  <si>
    <t>Сумма по полю Сумма, млн. руб</t>
  </si>
  <si>
    <t>Названия строк</t>
  </si>
  <si>
    <t>Общий итог</t>
  </si>
  <si>
    <t>(пусто)</t>
  </si>
  <si>
    <t>#</t>
  </si>
  <si>
    <t>Avtodor</t>
  </si>
  <si>
    <t>VTB</t>
  </si>
  <si>
    <t>Ukraine</t>
  </si>
  <si>
    <t>NLK-Finance</t>
  </si>
  <si>
    <t>Названия столбцов</t>
  </si>
  <si>
    <t>Yamal LNG</t>
  </si>
  <si>
    <t>GTLK</t>
  </si>
  <si>
    <t>Avia Capital Services</t>
  </si>
  <si>
    <t>DOM.RF</t>
  </si>
  <si>
    <t>Territory Development Fund</t>
  </si>
  <si>
    <t>Aeroflot</t>
  </si>
  <si>
    <t>Vkontakte (VK)</t>
  </si>
  <si>
    <t>Atomenergoprom</t>
  </si>
  <si>
    <t>RSHB</t>
  </si>
  <si>
    <t>II-4</t>
  </si>
  <si>
    <t>Gazprombank</t>
  </si>
  <si>
    <t>01.01.2024</t>
  </si>
  <si>
    <t>Rosteh</t>
  </si>
  <si>
    <t>01.02.2024</t>
  </si>
  <si>
    <t>01.03.2024</t>
  </si>
  <si>
    <t>01.04.2024</t>
  </si>
  <si>
    <t>01.05.2024</t>
  </si>
  <si>
    <t>Other RUS issuers</t>
  </si>
  <si>
    <t>Проект</t>
  </si>
  <si>
    <t>СПГ-завод в составе КПЭГ в Усть-Луге</t>
  </si>
  <si>
    <t>Иные ссылки</t>
  </si>
  <si>
    <t>Neftegaz.RU</t>
  </si>
  <si>
    <t>Общий объем, млн руб</t>
  </si>
  <si>
    <t>Объем ФНБ, млн. руб</t>
  </si>
  <si>
    <t>Профинансировано, млн. руб.</t>
  </si>
  <si>
    <t>Доля профинансированного</t>
  </si>
  <si>
    <t>Осталось профинансировать</t>
  </si>
  <si>
    <t>Срок реализации проекта</t>
  </si>
  <si>
    <t>2021-2027</t>
  </si>
  <si>
    <t>Участники</t>
  </si>
  <si>
    <t>ООО «РусХимАльянс» (ПАО «Газпром» и АО «РусГаздобыча»), ООО «Балтийский Химический Комплекс» (АО «РусГаздобыча»)</t>
  </si>
  <si>
    <t>01.06.2024</t>
  </si>
  <si>
    <t>01.07.2024</t>
  </si>
  <si>
    <t>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</t>
  </si>
  <si>
    <t>ГК Ростех, млн. руб.</t>
  </si>
  <si>
    <t>01.08.2024</t>
  </si>
  <si>
    <t>Иные российские эмитенты, млн. руб.</t>
  </si>
  <si>
    <t>Иные российские эмитенты, млн. юаней</t>
  </si>
  <si>
    <t>Bonds, CNY mln</t>
  </si>
  <si>
    <t>Проект комплекса наземного электрического транспорта в Липецке, млн. руб</t>
  </si>
  <si>
    <t>Проект комплекса наземного электрического транспорта в Курске, млн. руб</t>
  </si>
  <si>
    <t>CBR exchange rate for CNY</t>
  </si>
  <si>
    <t>01.09.2024</t>
  </si>
  <si>
    <t>01.10.2024</t>
  </si>
  <si>
    <t>01.11.2024</t>
  </si>
  <si>
    <t>01.12.2024</t>
  </si>
  <si>
    <t>*** облигации ГК «Автодор» в целях финансирования инфраструктурного проекта «Центральная кольцевая автомобильная дорога (Московская область)» 2017 год</t>
  </si>
  <si>
    <t>01.01.2025</t>
  </si>
  <si>
    <t>ГК Ростех</t>
  </si>
  <si>
    <t>«Комплексная программа по расширению производства воздушных судов, авиационных двигателей, приборов и агрегатов, в том числе в целях создания системы послепродажного обслуживания гражданских воздушных судов</t>
  </si>
  <si>
    <t>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</t>
  </si>
  <si>
    <t>Mayak FSUE</t>
  </si>
  <si>
    <t>Ростех</t>
  </si>
  <si>
    <t>YtY</t>
  </si>
  <si>
    <t>MtM</t>
  </si>
  <si>
    <t>01.02.2025</t>
  </si>
  <si>
    <t>кумулятивный</t>
  </si>
  <si>
    <t>Расчет капитализации проентов по Усть-Луге</t>
  </si>
  <si>
    <t>01.03.2025</t>
  </si>
  <si>
    <t>Ж/Д Москва - СПб</t>
  </si>
  <si>
    <t>2024-2027</t>
  </si>
  <si>
    <t>К финансированию в 2025 г</t>
  </si>
  <si>
    <t>ООО "ВСМ Две Столиы"</t>
  </si>
  <si>
    <t>01.04.2025</t>
  </si>
  <si>
    <t>01.05.2025</t>
  </si>
  <si>
    <t>Subordinated debt of the banks, RUB mln</t>
  </si>
  <si>
    <t>Субординированный депозит в ПАО Сбербанк в целях финансирования «Москва - Санкт-Петербург» проекта, млн. руб.****</t>
  </si>
  <si>
    <t>**** инфраструктурного проекта «Финансирование, создание и эксплуатация инфраструктуры высокоскоростного железнодорожного транспорта общего пользования от станции Крюково (Алабушево) до станции Санкт-Петербург-Главный, приобретение и эксплуатация высокоскоростного железнодорожного подвижного состава, предназначенного для перевозки пассажиров и (или) багажа на созданной инфраструктуре по маршруту «Москва - Санкт-Петербург» на срок до декабря 2049 г. с ежеквартальной уплатой процентов по ставке 1 % годовых (в течение 10 лет с даты выдачи первого транша проценты капитализируются) – в части средств, фактически направленных на финансирование указанного инфраструктурного проекта, и по ставке, равной процентной ставке, установленной Банком России при проведении депозитных операций по фиксированным процентным ставкам, – в части средств, временно не направленных на финансирование указанного инфраструктурного проекта и размещаемых в Банке России и (или) системно значимых кредитных организациях в рамках операций по управлению ликвидностью</t>
  </si>
  <si>
    <t>01.06.2025</t>
  </si>
  <si>
    <t>Субординированный депозит в Банке ВТБ (ПАО) в целях финансирования «Москва - Санкт-Петербург» проекта, млн. руб.****</t>
  </si>
  <si>
    <t>Субординированный депозит в Банке ГПБ (АО) в целях финансирования «Москва - Санкт-Петербург» проекта, млн. руб.****</t>
  </si>
  <si>
    <t>Субординированный депозит в ПАО «Совкомбанк» в целях финансирования «Москва - Санкт-Петербург» проекта, млн. руб.****</t>
  </si>
  <si>
    <t>Sovkombank</t>
  </si>
  <si>
    <t>01.07.2025</t>
  </si>
  <si>
    <t>01.08.2025</t>
  </si>
  <si>
    <t>Cубординированный депозит в Банке ВТБ (ПАО) в целях финансирования инфраструктурного проекта с ежегодной уплатой процентов по ставке, равной ключевой ставке Банка России</t>
  </si>
  <si>
    <t>01.09.2025</t>
  </si>
  <si>
    <t>«Строительство автомобильной дороги «Казань – Екатеринбург» на участке Дюртюли – Ачит»</t>
  </si>
  <si>
    <t>Issuer</t>
  </si>
  <si>
    <t>Type</t>
  </si>
  <si>
    <t>Securities</t>
  </si>
  <si>
    <t>Deposits</t>
  </si>
  <si>
    <t>Subordinated deposits</t>
  </si>
  <si>
    <t>Preffered stocks</t>
  </si>
  <si>
    <t>VK</t>
  </si>
  <si>
    <t>plural</t>
  </si>
  <si>
    <t>single</t>
  </si>
  <si>
    <t>Banks</t>
  </si>
  <si>
    <t>ДОЛЛ</t>
  </si>
  <si>
    <t>РУБ</t>
  </si>
  <si>
    <t>КУРС</t>
  </si>
  <si>
    <t>РАЗНИЦА</t>
  </si>
  <si>
    <t>ПОГАШ</t>
  </si>
  <si>
    <t>ВЫДАЧ</t>
  </si>
  <si>
    <t>UralAirlines</t>
  </si>
  <si>
    <t>SibirAirlines</t>
  </si>
  <si>
    <t>01.09.2022</t>
  </si>
  <si>
    <t>01.08.2022</t>
  </si>
  <si>
    <t>01.07.2022</t>
  </si>
  <si>
    <t>01.06.2022</t>
  </si>
  <si>
    <t>01.05.2022</t>
  </si>
  <si>
    <t>01.04.2022</t>
  </si>
  <si>
    <t>01.03.2022</t>
  </si>
  <si>
    <t>01.02.2022</t>
  </si>
  <si>
    <t>01.01.2022</t>
  </si>
  <si>
    <t>01.12.2021</t>
  </si>
  <si>
    <t>01.11.2021</t>
  </si>
  <si>
    <t>01.10.2021</t>
  </si>
  <si>
    <t>01.09.2021</t>
  </si>
  <si>
    <t>01.08.2021</t>
  </si>
  <si>
    <t>01.07.2021</t>
  </si>
  <si>
    <t>01.06.2021</t>
  </si>
  <si>
    <t>01.05.2021</t>
  </si>
  <si>
    <t>01.04.2021</t>
  </si>
  <si>
    <t>01.03.2021</t>
  </si>
  <si>
    <t>01.02.2021</t>
  </si>
  <si>
    <t>01.01.2021</t>
  </si>
  <si>
    <t>01.12.2020</t>
  </si>
  <si>
    <t>01.11.2020</t>
  </si>
  <si>
    <t>01.10.2020</t>
  </si>
  <si>
    <t>01.09.2020</t>
  </si>
  <si>
    <t>01.08.2020</t>
  </si>
  <si>
    <t>01.07.2020</t>
  </si>
  <si>
    <t>01.06.2020</t>
  </si>
  <si>
    <t>01.05.2020</t>
  </si>
  <si>
    <t>01.04.2020</t>
  </si>
  <si>
    <t>01.03.2020</t>
  </si>
  <si>
    <t>01.02.2020</t>
  </si>
  <si>
    <t>01.01.2020</t>
  </si>
  <si>
    <t>01.12.2019</t>
  </si>
  <si>
    <t>01.11.2019</t>
  </si>
  <si>
    <t>01.10.2019</t>
  </si>
  <si>
    <t>01.09.2019</t>
  </si>
  <si>
    <t>01.08.2019</t>
  </si>
  <si>
    <t>01.07.2019</t>
  </si>
  <si>
    <t>01.06.2019</t>
  </si>
  <si>
    <t>01.05.2019</t>
  </si>
  <si>
    <t>01.04.2019</t>
  </si>
  <si>
    <t>01.03.2019</t>
  </si>
  <si>
    <t>01.02.2019</t>
  </si>
  <si>
    <t>01.01.2019</t>
  </si>
  <si>
    <t>01.12.2018</t>
  </si>
  <si>
    <t>01.11.2018</t>
  </si>
  <si>
    <t>01.10.2018</t>
  </si>
  <si>
    <t>01.09.2018</t>
  </si>
  <si>
    <t>01.08.2018</t>
  </si>
  <si>
    <t>01.07.2018</t>
  </si>
  <si>
    <t>01.06.2018</t>
  </si>
  <si>
    <t>01.05.2018</t>
  </si>
  <si>
    <t>01.04.2018</t>
  </si>
  <si>
    <t>01.03.2018</t>
  </si>
  <si>
    <t>01.02.2018</t>
  </si>
  <si>
    <t>01.01.2018</t>
  </si>
  <si>
    <t>01.12.2017</t>
  </si>
  <si>
    <t>01.11.2017</t>
  </si>
  <si>
    <t>01.10.2017</t>
  </si>
  <si>
    <t>01.09.2017</t>
  </si>
  <si>
    <t>01.08.2017</t>
  </si>
  <si>
    <t>01.07.2017</t>
  </si>
  <si>
    <t>01.06.2017</t>
  </si>
  <si>
    <t>01.05.2017</t>
  </si>
  <si>
    <t>01.04.2017</t>
  </si>
  <si>
    <t>01.03.2017</t>
  </si>
  <si>
    <t>01.02.2017</t>
  </si>
  <si>
    <t>01.01.2017</t>
  </si>
  <si>
    <t>01.12.2016</t>
  </si>
  <si>
    <t>01.11.2016</t>
  </si>
  <si>
    <t>01.10.2016</t>
  </si>
  <si>
    <t>01.02.2016</t>
  </si>
  <si>
    <t>01.09.2016</t>
  </si>
  <si>
    <t>01.08.2016</t>
  </si>
  <si>
    <t>01.07.2016</t>
  </si>
  <si>
    <t>01.06.2016</t>
  </si>
  <si>
    <t>01.05.2016</t>
  </si>
  <si>
    <t>01.04.2016</t>
  </si>
  <si>
    <t>01.03.2016</t>
  </si>
  <si>
    <t>01.01.2016</t>
  </si>
  <si>
    <t>01.12.2015</t>
  </si>
  <si>
    <t>01.11.2015</t>
  </si>
  <si>
    <t>01.10.2015</t>
  </si>
  <si>
    <t>01.09.2015</t>
  </si>
  <si>
    <t>01.08.2015</t>
  </si>
  <si>
    <t>01.07.2015</t>
  </si>
  <si>
    <t>01.06.2015</t>
  </si>
  <si>
    <t>01.05.2015</t>
  </si>
  <si>
    <t>01.04.2015</t>
  </si>
  <si>
    <t>01.03.2015</t>
  </si>
  <si>
    <t>01.02.2015</t>
  </si>
  <si>
    <t>01.01.2015</t>
  </si>
  <si>
    <t>01.12.2014</t>
  </si>
  <si>
    <t>01.11.2014</t>
  </si>
  <si>
    <t>01.10.2014</t>
  </si>
  <si>
    <t>01.09.2014</t>
  </si>
  <si>
    <t>01.08.2014</t>
  </si>
  <si>
    <t>01.07.2014</t>
  </si>
  <si>
    <t>01.06.2014</t>
  </si>
  <si>
    <t>01.05.2014</t>
  </si>
  <si>
    <t>01.04.2014</t>
  </si>
  <si>
    <t>01.03.2014</t>
  </si>
  <si>
    <t>01.02.2014</t>
  </si>
  <si>
    <t>01.01.2014</t>
  </si>
  <si>
    <t>01.12.2013</t>
  </si>
  <si>
    <t>01.11.2013</t>
  </si>
  <si>
    <t>01.10.2013</t>
  </si>
  <si>
    <t>01.09.2013</t>
  </si>
  <si>
    <t>01.08.2013</t>
  </si>
  <si>
    <t>01.07.2013</t>
  </si>
  <si>
    <t>01.06.2013</t>
  </si>
  <si>
    <t>01.05.2013</t>
  </si>
  <si>
    <t>01.04.2013</t>
  </si>
  <si>
    <t>01.03.2013</t>
  </si>
  <si>
    <t>01.02.2013</t>
  </si>
  <si>
    <t>01.01.2013</t>
  </si>
  <si>
    <t>01.12.2012</t>
  </si>
  <si>
    <t>01.11.2012</t>
  </si>
  <si>
    <t>01.10.2012</t>
  </si>
  <si>
    <t>01.09.2012</t>
  </si>
  <si>
    <t>01.08.2012</t>
  </si>
  <si>
    <t>01.07.2012</t>
  </si>
  <si>
    <t>01.06.2012</t>
  </si>
  <si>
    <t>01.05.2012</t>
  </si>
  <si>
    <t>01.04.2012</t>
  </si>
  <si>
    <t>01.03.2012</t>
  </si>
  <si>
    <t>01.02.2012</t>
  </si>
  <si>
    <t>01.01.2012</t>
  </si>
  <si>
    <t>01.12.2011</t>
  </si>
  <si>
    <t>01.11.2011</t>
  </si>
  <si>
    <t>01.10.2011</t>
  </si>
  <si>
    <t>01.09.2011</t>
  </si>
  <si>
    <t>01.08.2011</t>
  </si>
  <si>
    <t>01.07.2011</t>
  </si>
  <si>
    <t>01.06.2011</t>
  </si>
  <si>
    <t>01.05.2011</t>
  </si>
  <si>
    <t>01.04.2011</t>
  </si>
  <si>
    <t>01.03.2011</t>
  </si>
  <si>
    <t>01.02.2011</t>
  </si>
  <si>
    <t>01.01.2011</t>
  </si>
  <si>
    <t>01.12.2010</t>
  </si>
  <si>
    <t>01.11.2010</t>
  </si>
  <si>
    <t>01.10.2010</t>
  </si>
  <si>
    <t>01.09.2010</t>
  </si>
  <si>
    <t>01.08.2010</t>
  </si>
  <si>
    <t>01.07.2010</t>
  </si>
  <si>
    <t>01.06.2010</t>
  </si>
  <si>
    <t>01.05.2010</t>
  </si>
  <si>
    <t>01.04.2010</t>
  </si>
  <si>
    <t>01.03.2010</t>
  </si>
  <si>
    <t>01.02.2010</t>
  </si>
  <si>
    <t>01.01.2010</t>
  </si>
  <si>
    <t>yamal 02</t>
  </si>
  <si>
    <t>yamal 01</t>
  </si>
  <si>
    <t>RU000A0JVYR5</t>
  </si>
  <si>
    <t>RU000A0JV8S8</t>
  </si>
  <si>
    <t>01.10.2025</t>
  </si>
  <si>
    <t>Депозит в ВЭБ.РФ в целях финансирования инфраструктурного проекта с ежегодной уплатой процентов по ставке, равной ключевой ставке Банка России (Усть-Луга)</t>
  </si>
  <si>
    <t>Проект Комплекс по переработке этансодержащего газа в п. Усть-Луга (Субординировванный депозит)</t>
  </si>
  <si>
    <t>01.11.2025</t>
  </si>
  <si>
    <t>Проект транспортной инфраструктуры в Краснодаре, млн. руб</t>
  </si>
  <si>
    <t>securities</t>
  </si>
  <si>
    <t>01.12.2025</t>
  </si>
  <si>
    <t># shares</t>
  </si>
  <si>
    <t>Yamal LPG</t>
  </si>
  <si>
    <t>AviaCapital</t>
  </si>
  <si>
    <t>Principle</t>
  </si>
  <si>
    <t>01.01.2026</t>
  </si>
  <si>
    <t>Субординированный депозит в Банке ГПБ (АО) в целях финансирования инфраструктурного проекта с ежегодной уплатой процентов по ставке, равной ключевой ставке Банка России (Усть-Луга)</t>
  </si>
  <si>
    <t>Капитализацция процентов по проекту в Усть-Луге</t>
  </si>
  <si>
    <t>Mayak</t>
  </si>
  <si>
    <t>RU000A0ZZE61</t>
  </si>
  <si>
    <t>RU000A0JVZL5</t>
  </si>
  <si>
    <t>ZapSibNeftekhim</t>
  </si>
  <si>
    <t>RU000A0JV3W1</t>
  </si>
  <si>
    <t>InfrastructureInvestments-4</t>
  </si>
  <si>
    <t>RU000A106FE2</t>
  </si>
  <si>
    <t>RU000A106Q05</t>
  </si>
  <si>
    <t>RU000A107EH6</t>
  </si>
  <si>
    <t>RU000A106Q13</t>
  </si>
  <si>
    <t>RU000A106Q39</t>
  </si>
  <si>
    <t>01.02.2026</t>
  </si>
  <si>
    <t>01.03.2026</t>
  </si>
  <si>
    <t>Проект комплекса наземного электрического транспорта в Ярославле, млн. руб</t>
  </si>
  <si>
    <t>кол-во бумаг</t>
  </si>
  <si>
    <t>выпуск</t>
  </si>
  <si>
    <t>номинал до</t>
  </si>
  <si>
    <t>номинал после</t>
  </si>
  <si>
    <t>дек 23, $</t>
  </si>
  <si>
    <t>01.04.2026</t>
  </si>
  <si>
    <t>CNY %%</t>
  </si>
  <si>
    <t>01.05.2026</t>
  </si>
  <si>
    <t>01.06.2026</t>
  </si>
  <si>
    <t>«Приобретение воздушных судов для последующей передачи в лизинг национальному перевозчику в Дальневосточном федеральном округе»;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</si>
</sst>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%"/>
    <numFmt numFmtId="166" formatCode="0.0"/>
  </numFmts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1"/>
      <name val="Calibri Light"/>
      <family val="2"/>
      <charset val="204"/>
      <scheme val="major"/>
    </font>
    <font>
      <sz val="10"/>
      <color rgb="FF2A3143"/>
      <name val="Calibri Light"/>
      <family val="2"/>
      <charset val="204"/>
      <scheme val="maj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4" fontId="0" fillId="0" borderId="0" xfId="0" applyNumberFormat="1" applyFill="1"/>
    <xf numFmtId="0" fontId="0" fillId="0" borderId="0" xfId="0" applyFill="1"/>
    <xf numFmtId="0" fontId="0" fillId="3" borderId="0" xfId="0" applyFill="1"/>
    <xf numFmtId="165" fontId="0" fillId="0" borderId="0" xfId="0" applyNumberFormat="1" applyFill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0" fillId="0" borderId="0" xfId="0" applyNumberFormat="1"/>
    <xf numFmtId="1" fontId="0" fillId="0" borderId="0" xfId="0" applyNumberFormat="1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4" fontId="5" fillId="2" borderId="0" xfId="0" applyNumberFormat="1" applyFont="1" applyFill="1"/>
    <xf numFmtId="0" fontId="0" fillId="0" borderId="0" xfId="0" applyFill="1" applyAlignment="1">
      <alignment horizontal="left"/>
    </xf>
    <xf numFmtId="9" fontId="0" fillId="0" borderId="0" xfId="0" applyNumberFormat="1"/>
    <xf numFmtId="166" fontId="0" fillId="0" borderId="0" xfId="0" applyNumberFormat="1"/>
    <xf numFmtId="9" fontId="0" fillId="2" borderId="0" xfId="0" applyNumberFormat="1" applyFill="1"/>
    <xf numFmtId="166" fontId="0" fillId="2" borderId="0" xfId="0" applyNumberFormat="1" applyFill="1"/>
    <xf numFmtId="0" fontId="7" fillId="0" borderId="1" xfId="0" applyFont="1" applyBorder="1" applyAlignment="1">
      <alignment wrapText="1"/>
    </xf>
    <xf numFmtId="0" fontId="8" fillId="0" borderId="1" xfId="1" applyFont="1" applyBorder="1" applyAlignment="1">
      <alignment wrapText="1"/>
    </xf>
    <xf numFmtId="0" fontId="8" fillId="0" borderId="1" xfId="1" applyFont="1" applyFill="1" applyBorder="1" applyAlignment="1">
      <alignment wrapText="1"/>
    </xf>
    <xf numFmtId="0" fontId="7" fillId="0" borderId="1" xfId="0" applyFont="1" applyBorder="1"/>
    <xf numFmtId="0" fontId="8" fillId="0" borderId="1" xfId="1" applyFont="1" applyBorder="1"/>
    <xf numFmtId="0" fontId="7" fillId="3" borderId="1" xfId="0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wrapText="1"/>
    </xf>
    <xf numFmtId="9" fontId="7" fillId="0" borderId="1" xfId="0" applyNumberFormat="1" applyFont="1" applyBorder="1"/>
    <xf numFmtId="0" fontId="7" fillId="2" borderId="1" xfId="0" applyFont="1" applyFill="1" applyBorder="1" applyAlignment="1">
      <alignment horizontal="center" vertical="center" wrapText="1"/>
    </xf>
    <xf numFmtId="0" fontId="6" fillId="0" borderId="1" xfId="1" applyFill="1" applyBorder="1" applyAlignment="1">
      <alignment wrapText="1"/>
    </xf>
    <xf numFmtId="0" fontId="0" fillId="0" borderId="0" xfId="0" applyFont="1"/>
    <xf numFmtId="3" fontId="0" fillId="0" borderId="0" xfId="0" applyNumberFormat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0" fillId="4" borderId="0" xfId="0" applyFill="1"/>
    <xf numFmtId="0" fontId="0" fillId="0" borderId="1" xfId="0" applyFill="1" applyBorder="1"/>
    <xf numFmtId="0" fontId="0" fillId="0" borderId="5" xfId="0" applyFill="1" applyBorder="1"/>
    <xf numFmtId="0" fontId="0" fillId="0" borderId="1" xfId="0" applyBorder="1"/>
    <xf numFmtId="166" fontId="0" fillId="0" borderId="1" xfId="0" applyNumberFormat="1" applyBorder="1"/>
    <xf numFmtId="0" fontId="0" fillId="4" borderId="1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0" xfId="0" applyFill="1"/>
    <xf numFmtId="0" fontId="0" fillId="0" borderId="0" xfId="0" applyFill="1" applyBorder="1"/>
    <xf numFmtId="0" fontId="0" fillId="0" borderId="5" xfId="0" applyBorder="1"/>
    <xf numFmtId="166" fontId="0" fillId="0" borderId="5" xfId="0" applyNumberFormat="1" applyBorder="1"/>
    <xf numFmtId="0" fontId="0" fillId="0" borderId="0" xfId="0" applyNumberFormat="1" applyFill="1"/>
  </cellXfs>
  <cellStyles count="2">
    <cellStyle name="Гиперссылка" xfId="1" builtinId="8"/>
    <cellStyle name="Обычный" xfId="0" builtinId="0"/>
  </cellStyles>
  <dxfs count="53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77.470596180552" createdVersion="6" refreshedVersion="6" minRefreshableVersion="3" recordCount="263">
  <cacheSource type="worksheet">
    <worksheetSource ref="A1:G1048576" sheet="infra_invest"/>
  </cacheSource>
  <cacheFields count="7">
    <cacheField name="Год" numFmtId="0">
      <sharedItems containsString="0" containsBlank="1" containsNumber="1" containsInteger="1" minValue="2014" maxValue="2026"/>
    </cacheField>
    <cacheField name="Месяц" numFmtId="0">
      <sharedItems containsBlank="1"/>
    </cacheField>
    <cacheField name="Сумма, млн. руб" numFmtId="0">
      <sharedItems containsString="0" containsBlank="1" containsNumber="1" minValue="-141802" maxValue="123643"/>
    </cacheField>
    <cacheField name="Инструмент" numFmtId="0">
      <sharedItems containsBlank="1" count="3">
        <s v="облигации"/>
        <s v="привилегированные акции"/>
        <m/>
      </sharedItems>
    </cacheField>
    <cacheField name="Количество" numFmtId="0">
      <sharedItems containsString="0" containsBlank="1" containsNumber="1" minValue="1" maxValue="123643009"/>
    </cacheField>
    <cacheField name="Получатель" numFmtId="0">
      <sharedItems containsBlank="1" count="17">
        <s v="ГК «Российские автомобильные дороги»"/>
        <s v="ООО «НЛК-Финанс»"/>
        <s v="АО «ГТЛК»"/>
        <s v="ООО «Авиакапитал-Сервис»"/>
        <s v="ППК «Фонд развития территорий»"/>
        <s v="ГК Ростех"/>
        <s v="ОАО «РЖД»"/>
        <s v="ГК Фонд содействия реформированию жилищно-коммунального хозяйства"/>
        <s v="ООО «ЗапСибНефтехим»"/>
        <s v="ОАО «Ямал СПГ»"/>
        <s v="АО «Атомэнергопром»"/>
        <s v="ООО «Инфраструктурные инвестиции - 3»"/>
        <s v="ООО «Инфраструктурные инвестиции - 4»"/>
        <s v="ОАО АК «Уральские авиалинии»"/>
        <s v="АО «Авиакомпания «Сибирь»"/>
        <m/>
        <s v="Получатель" u="1"/>
      </sharedItems>
    </cacheField>
    <cacheField name="Программа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3">
  <r>
    <n v="2026"/>
    <s v="Июнь"/>
    <n v="-0.3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6"/>
    <s v="Июнь"/>
    <n v="-306.7"/>
    <x v="0"/>
    <m/>
    <x v="0"/>
    <s v="«Строительство автомобильной дороги «Казань – Екатеринбург» на участке Дюртюли – Ачит»"/>
  </r>
  <r>
    <n v="2026"/>
    <s v="Июнь"/>
    <n v="-1020.1"/>
    <x v="0"/>
    <m/>
    <x v="1"/>
    <m/>
  </r>
  <r>
    <n v="2026"/>
    <s v="Июнь"/>
    <n v="-23.6"/>
    <x v="0"/>
    <m/>
    <x v="2"/>
    <s v="«Программа льготного лизинга гражданских судов водного транспорта»"/>
  </r>
  <r>
    <n v="2026"/>
    <s v="Июнь"/>
    <n v="-188.8"/>
    <x v="0"/>
    <m/>
    <x v="2"/>
    <s v="«Приобретение воздушных судов для последующей передачи в лизинг национальному перевозчику в Дальневосточном федеральном округе»;"/>
  </r>
  <r>
    <n v="2026"/>
    <s v="Июнь"/>
    <n v="-294.5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6"/>
    <s v="Июнь"/>
    <n v="-655.4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6"/>
    <s v="Июнь"/>
    <n v="-1718.6"/>
    <x v="0"/>
    <m/>
    <x v="3"/>
    <s v="«Проект льготного лизинга отечественных воздушных судов»"/>
  </r>
  <r>
    <n v="2026"/>
    <s v="Июнь"/>
    <n v="115.5"/>
    <x v="0"/>
    <m/>
    <x v="2"/>
    <s v="«Программа льготного лизинга гражданских судов водного транспорта»"/>
  </r>
  <r>
    <n v="2026"/>
    <s v="Май"/>
    <n v="-37.799999999999997"/>
    <x v="0"/>
    <m/>
    <x v="0"/>
    <s v="«Строительство автомобильной дороги «Казань – Екатеринбург» на участке Дюртюли – Ачит»"/>
  </r>
  <r>
    <n v="2026"/>
    <s v="Май"/>
    <n v="-149.30000000000001"/>
    <x v="0"/>
    <m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"/>
  </r>
  <r>
    <n v="2026"/>
    <s v="Май"/>
    <n v="-497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6"/>
    <s v="Май"/>
    <n v="-804.7"/>
    <x v="0"/>
    <m/>
    <x v="1"/>
    <m/>
  </r>
  <r>
    <n v="2026"/>
    <s v="Май"/>
    <n v="3159.4"/>
    <x v="0"/>
    <m/>
    <x v="2"/>
    <s v="«Программа льготного лизинга гражданских судов водного транспорта»"/>
  </r>
  <r>
    <n v="2026"/>
    <s v="Март"/>
    <n v="-95.5"/>
    <x v="0"/>
    <m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6"/>
    <s v="Март"/>
    <n v="-123.7"/>
    <x v="0"/>
    <m/>
    <x v="2"/>
    <s v="«Программа льготного лизинга гражданских судов водного транспорта»"/>
  </r>
  <r>
    <n v="2026"/>
    <s v="Март"/>
    <n v="-222.8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6"/>
    <s v="Март"/>
    <n v="-342.6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6"/>
    <s v="Март"/>
    <n v="-0.2"/>
    <x v="0"/>
    <m/>
    <x v="0"/>
    <s v="«Строительство автомобильной дороги М-11 «Нева», этап 3 на участке км 149 - км 208 (Обход г. Твери)»"/>
  </r>
  <r>
    <n v="2026"/>
    <s v="Март"/>
    <n v="-1.2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6"/>
    <s v="Март"/>
    <n v="-788.7"/>
    <x v="0"/>
    <m/>
    <x v="0"/>
    <s v="«Строительство автомобильной дороги «Казань – Екатеринбург» на участке Дюртюли – Ачит»"/>
  </r>
  <r>
    <n v="2026"/>
    <s v="Март"/>
    <n v="-969.2"/>
    <x v="0"/>
    <m/>
    <x v="3"/>
    <m/>
  </r>
  <r>
    <n v="2026"/>
    <s v="Март"/>
    <n v="-2666.7"/>
    <x v="0"/>
    <m/>
    <x v="1"/>
    <m/>
  </r>
  <r>
    <n v="2026"/>
    <s v="Февраль"/>
    <n v="-0.4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6"/>
    <s v="Февраль"/>
    <n v="-535.5"/>
    <x v="0"/>
    <m/>
    <x v="0"/>
    <s v="«Строительство автомобильной дороги «Казань – Екатеринбург» на участке Дюртюли – Ачит»"/>
  </r>
  <r>
    <n v="2026"/>
    <s v="Февраль"/>
    <n v="-22.6"/>
    <x v="0"/>
    <m/>
    <x v="2"/>
    <s v="«Программа льготного лизинга гражданских судов водного транспорта»"/>
  </r>
  <r>
    <n v="2026"/>
    <s v="Февраль"/>
    <n v="-94.6"/>
    <x v="0"/>
    <m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6"/>
    <s v="Февраль"/>
    <n v="-184.5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6"/>
    <s v="Февраль"/>
    <n v="-642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6"/>
    <s v="Февраль"/>
    <n v="-1020.1"/>
    <x v="0"/>
    <m/>
    <x v="1"/>
    <m/>
  </r>
  <r>
    <n v="2026"/>
    <s v="Февраль"/>
    <n v="-1718.6"/>
    <x v="0"/>
    <m/>
    <x v="3"/>
    <s v="«Проект льготного лизинга отечественных воздушных судов»"/>
  </r>
  <r>
    <n v="2026"/>
    <s v="Январь"/>
    <n v="-488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6"/>
    <s v="Январь"/>
    <n v="-804.7"/>
    <x v="0"/>
    <m/>
    <x v="1"/>
    <m/>
  </r>
  <r>
    <n v="2025"/>
    <s v="Декабрь"/>
    <n v="-239.8"/>
    <x v="0"/>
    <m/>
    <x v="3"/>
    <s v="«Проект льготного лизинга отечественных воздушных судов»"/>
  </r>
  <r>
    <n v="2025"/>
    <s v="Декабрь"/>
    <n v="-94.9"/>
    <x v="0"/>
    <m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5"/>
    <s v="Декабрь"/>
    <n v="-95.7"/>
    <x v="0"/>
    <m/>
    <x v="2"/>
    <s v="«Программа льготного лизинга гражданских судов водного транспорта»"/>
  </r>
  <r>
    <n v="2025"/>
    <s v="Декабрь"/>
    <n v="-221.4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5"/>
    <s v="Декабрь"/>
    <n v="-340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Декабрь"/>
    <n v="-0.1"/>
    <x v="0"/>
    <m/>
    <x v="0"/>
    <s v="«Строительство автомобильной дороги М-11 «Нева», этап 3 на участке км 149 - км 208 (Обход г. Твери)»"/>
  </r>
  <r>
    <n v="2025"/>
    <s v="Декабрь"/>
    <n v="-1.2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5"/>
    <s v="Декабрь"/>
    <n v="-3391.9"/>
    <x v="0"/>
    <m/>
    <x v="0"/>
    <s v="«Строительство автомобильной дороги «Казань – Екатеринбург» на участке Дюртюли – Ачит»"/>
  </r>
  <r>
    <n v="2025"/>
    <s v="Декабрь"/>
    <n v="-2666.7"/>
    <x v="0"/>
    <m/>
    <x v="1"/>
    <m/>
  </r>
  <r>
    <n v="2025"/>
    <s v="Декабрь"/>
    <n v="2002.7"/>
    <x v="0"/>
    <m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5"/>
    <s v="Декабрь"/>
    <n v="7000"/>
    <x v="0"/>
    <m/>
    <x v="3"/>
    <m/>
  </r>
  <r>
    <n v="2025"/>
    <s v="Ноябрь"/>
    <n v="-1718.6"/>
    <x v="0"/>
    <m/>
    <x v="3"/>
    <s v="«Проект льготного лизинга отечественных воздушных судов»"/>
  </r>
  <r>
    <n v="2025"/>
    <s v="Ноябрь"/>
    <n v="-16.2"/>
    <x v="0"/>
    <m/>
    <x v="2"/>
    <s v="«Программа льготного лизинга гражданских судов водного транспорта»"/>
  </r>
  <r>
    <n v="2025"/>
    <s v="Ноябрь"/>
    <n v="-52"/>
    <x v="0"/>
    <m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5"/>
    <s v="Ноябрь"/>
    <n v="-184.1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5"/>
    <s v="Ноябрь"/>
    <n v="-634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Ноябрь"/>
    <n v="-0.4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5"/>
    <s v="Ноябрь"/>
    <n v="-306.60000000000002"/>
    <x v="0"/>
    <m/>
    <x v="0"/>
    <s v="«Строительство автомобильной дороги «Казань – Екатеринбург» на участке Дюртюли – Ачит»"/>
  </r>
  <r>
    <n v="2025"/>
    <s v="Ноябрь"/>
    <n v="-1020.1"/>
    <x v="0"/>
    <m/>
    <x v="1"/>
    <m/>
  </r>
  <r>
    <n v="2025"/>
    <s v="Ноябрь"/>
    <n v="1228.0999999999999"/>
    <x v="0"/>
    <m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5"/>
    <s v="Октябрь"/>
    <n v="-482.4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Октябрь"/>
    <n v="-37.799999999999997"/>
    <x v="0"/>
    <m/>
    <x v="0"/>
    <s v="«Строительство автомобильной дороги «Казань – Екатеринбург» на участке Дюртюли – Ачит»"/>
  </r>
  <r>
    <n v="2025"/>
    <s v="Октябрь"/>
    <n v="-804.7"/>
    <x v="0"/>
    <m/>
    <x v="1"/>
    <m/>
  </r>
  <r>
    <n v="2025"/>
    <s v="Октябрь"/>
    <n v="347.3"/>
    <x v="0"/>
    <m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5"/>
    <s v="Октябрь"/>
    <n v="426.4"/>
    <x v="0"/>
    <m/>
    <x v="2"/>
    <s v="«Программа льготного лизинга гражданских судов водного транспорта»"/>
  </r>
  <r>
    <n v="2025"/>
    <s v="Сентябрь"/>
    <n v="-239.8"/>
    <x v="0"/>
    <m/>
    <x v="3"/>
    <m/>
  </r>
  <r>
    <n v="2025"/>
    <s v="Сентябрь"/>
    <n v="-94.3"/>
    <x v="0"/>
    <m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5"/>
    <s v="Сентябрь"/>
    <n v="-52.1"/>
    <x v="0"/>
    <m/>
    <x v="2"/>
    <s v="«Программа льготного лизинга гражданских судов водного транспорта»"/>
  </r>
  <r>
    <n v="2025"/>
    <s v="Сентябрь"/>
    <n v="-220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5"/>
    <s v="Сентябрь"/>
    <n v="-331.3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Сентябрь"/>
    <n v="-0.1"/>
    <x v="0"/>
    <m/>
    <x v="0"/>
    <s v="«Строительство автомобильной дороги М-11 «Нева», этап 3 на участке км 149 - км 208 (Обход г. Твери)»"/>
  </r>
  <r>
    <n v="2025"/>
    <s v="Сентябрь"/>
    <n v="-1.1000000000000001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5"/>
    <s v="Сентябрь"/>
    <n v="-788.7"/>
    <x v="0"/>
    <m/>
    <x v="0"/>
    <s v="«Строительство автомобильной дороги «Казань – Екатеринбург» на участке Дюртюли – Ачит»"/>
  </r>
  <r>
    <n v="2025"/>
    <s v="Сентябрь"/>
    <n v="-2666.7"/>
    <x v="0"/>
    <m/>
    <x v="1"/>
    <m/>
  </r>
  <r>
    <n v="2025"/>
    <s v="Сентябрь"/>
    <n v="156.9"/>
    <x v="0"/>
    <m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5"/>
    <s v="Август"/>
    <n v="-0.4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5"/>
    <s v="Август"/>
    <n v="-535.5"/>
    <x v="0"/>
    <m/>
    <x v="0"/>
    <s v="«Строительство автомобильной дороги «Казань – Екатеринбург» на участке Дюртюли – Ачит»"/>
  </r>
  <r>
    <n v="2025"/>
    <s v="Август"/>
    <n v="-2.2000000000000002"/>
    <x v="0"/>
    <m/>
    <x v="2"/>
    <s v="«Программа льготного лизинга гражданских судов водного транспорта»"/>
  </r>
  <r>
    <n v="2025"/>
    <s v="Август"/>
    <n v="-181.3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5"/>
    <s v="Август"/>
    <n v="-622.70000000000005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Август"/>
    <n v="-1020.1"/>
    <x v="0"/>
    <m/>
    <x v="1"/>
    <m/>
  </r>
  <r>
    <n v="2025"/>
    <s v="Август"/>
    <n v="1230.9000000000001"/>
    <x v="0"/>
    <m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5"/>
    <s v="Июль"/>
    <n v="-474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Июль"/>
    <n v="-804.7"/>
    <x v="0"/>
    <m/>
    <x v="1"/>
    <m/>
  </r>
  <r>
    <n v="2025"/>
    <s v="Июнь"/>
    <n v="-1.2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5"/>
    <s v="Июнь"/>
    <n v="-15.8"/>
    <x v="0"/>
    <m/>
    <x v="2"/>
    <s v="«Программа льготного лизинга гражданских судов водного транспорта»"/>
  </r>
  <r>
    <n v="2025"/>
    <s v="Июнь"/>
    <n v="-76.2"/>
    <x v="0"/>
    <m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5"/>
    <s v="Июнь"/>
    <n v="-178.4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5"/>
    <s v="Июнь"/>
    <n v="-326.3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Июнь"/>
    <n v="-2666.7"/>
    <x v="0"/>
    <m/>
    <x v="1"/>
    <m/>
  </r>
  <r>
    <n v="2025"/>
    <s v="Июнь"/>
    <n v="3371.7"/>
    <x v="0"/>
    <m/>
    <x v="2"/>
    <s v="«Программа льготного лизинга гражданских судов водного транспорта»"/>
  </r>
  <r>
    <n v="2025"/>
    <s v="Май"/>
    <n v="-0.4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5"/>
    <s v="Май"/>
    <n v="-180.1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5"/>
    <s v="Май"/>
    <n v="-612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Май"/>
    <n v="-1020.1"/>
    <x v="0"/>
    <m/>
    <x v="1"/>
    <m/>
  </r>
  <r>
    <n v="2025"/>
    <s v="Май"/>
    <n v="660.2"/>
    <x v="0"/>
    <m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"/>
  </r>
  <r>
    <n v="2025"/>
    <s v="Май"/>
    <n v="6579.2"/>
    <x v="0"/>
    <m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5"/>
    <s v="Апрель"/>
    <n v="-464.4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Апрель"/>
    <n v="-804.7"/>
    <x v="0"/>
    <m/>
    <x v="1"/>
    <m/>
  </r>
  <r>
    <n v="2025"/>
    <s v="Апрель"/>
    <n v="374"/>
    <x v="0"/>
    <m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"/>
  </r>
  <r>
    <n v="2025"/>
    <s v="Март"/>
    <n v="-1.2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5"/>
    <s v="Март"/>
    <n v="-5.9"/>
    <x v="0"/>
    <m/>
    <x v="2"/>
    <s v="«Программа льготного лизинга гражданских судов водного транспорта»"/>
  </r>
  <r>
    <n v="2025"/>
    <s v="Март"/>
    <n v="-128.19999999999999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Март"/>
    <n v="-2666.7"/>
    <x v="0"/>
    <m/>
    <x v="1"/>
    <m/>
  </r>
  <r>
    <n v="2025"/>
    <s v="Март"/>
    <n v="2563"/>
    <x v="0"/>
    <m/>
    <x v="2"/>
    <s v="«Программа льготного лизинга гражданских судов водного транспорта»"/>
  </r>
  <r>
    <n v="2025"/>
    <s v="Февраль"/>
    <n v="-0.4"/>
    <x v="0"/>
    <m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5"/>
    <s v="Февраль"/>
    <n v="-179.9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5"/>
    <s v="Февраль"/>
    <n v="-404.5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Февраль"/>
    <n v="-1020.1"/>
    <x v="0"/>
    <m/>
    <x v="1"/>
    <m/>
  </r>
  <r>
    <n v="2025"/>
    <s v="Январь"/>
    <n v="-254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5"/>
    <s v="Январь"/>
    <n v="-804.7"/>
    <x v="0"/>
    <m/>
    <x v="1"/>
    <m/>
  </r>
  <r>
    <n v="2024"/>
    <s v="Декабрь"/>
    <n v="-5.4"/>
    <x v="0"/>
    <m/>
    <x v="2"/>
    <s v="«Программа льготного лизинга гражданских судов водного транспорта»"/>
  </r>
  <r>
    <n v="2024"/>
    <s v="Декабрь"/>
    <n v="-126.8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Декабрь"/>
    <n v="-2666.7"/>
    <x v="0"/>
    <m/>
    <x v="1"/>
    <m/>
  </r>
  <r>
    <n v="2024"/>
    <s v="Декабрь"/>
    <n v="347.4"/>
    <x v="0"/>
    <n v="347398"/>
    <x v="2"/>
    <s v="«Программа льготного лизинга гражданских судов водного транспорта»"/>
  </r>
  <r>
    <n v="2024"/>
    <s v="Декабрь"/>
    <n v="564.4"/>
    <x v="0"/>
    <n v="564369"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"/>
  </r>
  <r>
    <n v="2024"/>
    <s v="Декабрь"/>
    <n v="2519.9"/>
    <x v="0"/>
    <n v="2519900"/>
    <x v="0"/>
    <s v="«Центральная кольцевая автомобильная дорога (Московская область)»"/>
  </r>
  <r>
    <n v="2024"/>
    <s v="Декабрь"/>
    <n v="6286.5"/>
    <x v="0"/>
    <n v="6286533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Декабрь"/>
    <n v="32841.800000000003"/>
    <x v="0"/>
    <n v="32841792"/>
    <x v="0"/>
    <s v="«Строительство автомобильной дороги «Казань - Екатеринбург» на участке Дюртюли - Ачит»"/>
  </r>
  <r>
    <n v="2024"/>
    <s v="Декабрь"/>
    <n v="111093.5"/>
    <x v="0"/>
    <n v="111093512"/>
    <x v="5"/>
    <s v="«Комплексная программа по расширению производства воздушных судов, авиационных двигателей, приборов и агрегатов, в том числе в целях создания системы послепродажного обслуживания гражданских воздушных судов"/>
  </r>
  <r>
    <n v="2024"/>
    <s v="Ноябрь"/>
    <n v="-78.900000000000006"/>
    <x v="0"/>
    <m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4"/>
    <s v="Ноябрь"/>
    <n v="-218.5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Ноябрь"/>
    <n v="-1020.1"/>
    <x v="0"/>
    <m/>
    <x v="1"/>
    <m/>
  </r>
  <r>
    <n v="2024"/>
    <s v="Ноябрь"/>
    <n v="2093.4"/>
    <x v="0"/>
    <n v="2093362"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4"/>
    <s v="Ноябрь"/>
    <n v="4779"/>
    <x v="0"/>
    <n v="4778963"/>
    <x v="2"/>
    <s v="«Программа льготного лизинга гражданских судов водного транспорта»"/>
  </r>
  <r>
    <n v="2024"/>
    <s v="Ноябрь"/>
    <n v="6400"/>
    <x v="0"/>
    <n v="6400000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Октябрь"/>
    <n v="-131.69999999999999"/>
    <x v="0"/>
    <m/>
    <x v="2"/>
    <m/>
  </r>
  <r>
    <n v="2024"/>
    <s v="Октябрь"/>
    <n v="-804.7"/>
    <x v="0"/>
    <m/>
    <x v="1"/>
    <m/>
  </r>
  <r>
    <n v="2024"/>
    <s v="Октябрь"/>
    <n v="6613"/>
    <x v="0"/>
    <n v="6613007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Октябрь"/>
    <n v="7048.9"/>
    <x v="0"/>
    <n v="7048930"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4"/>
    <s v="Сентябрь"/>
    <n v="-123.9"/>
    <x v="0"/>
    <m/>
    <x v="2"/>
    <m/>
  </r>
  <r>
    <n v="2024"/>
    <s v="Сентябрь"/>
    <n v="-3086.3"/>
    <x v="0"/>
    <m/>
    <x v="1"/>
    <m/>
  </r>
  <r>
    <n v="2024"/>
    <s v="Сентябрь"/>
    <n v="400"/>
    <x v="0"/>
    <n v="400000"/>
    <x v="0"/>
    <s v="«Центральная кольцевая автомобильная дорога (Московская область)»"/>
  </r>
  <r>
    <n v="2024"/>
    <s v="Сентябрь"/>
    <n v="810.7"/>
    <x v="0"/>
    <n v="810724"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4"/>
    <s v="Сентябрь"/>
    <n v="2651"/>
    <x v="0"/>
    <n v="2650967"/>
    <x v="0"/>
    <s v="«Строительство автомобильной дороги «Казань - Екатеринбург» на участке Дюртюли - Ачит»"/>
  </r>
  <r>
    <n v="2024"/>
    <s v="Сентябрь"/>
    <n v="3680.4"/>
    <x v="0"/>
    <n v="3680356"/>
    <x v="2"/>
    <s v="«Программа льготного лизинга гражданских судов водного транспорта»"/>
  </r>
  <r>
    <n v="2024"/>
    <s v="Август"/>
    <n v="-49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Август"/>
    <n v="-1020.1"/>
    <x v="0"/>
    <m/>
    <x v="1"/>
    <m/>
  </r>
  <r>
    <n v="2024"/>
    <s v="Август"/>
    <n v="1066.8"/>
    <x v="0"/>
    <n v="1066780"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4"/>
    <s v="Август"/>
    <n v="5883.7"/>
    <x v="0"/>
    <n v="5883653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Август"/>
    <n v="19500"/>
    <x v="0"/>
    <n v="19500000"/>
    <x v="0"/>
    <s v="«Строительство автомобильной дороги «Казань - Екатеринбург» на участке Дюртюли - Ачит»"/>
  </r>
  <r>
    <n v="2024"/>
    <s v="Июль"/>
    <n v="-80.8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Июль"/>
    <n v="-804.7"/>
    <x v="0"/>
    <m/>
    <x v="1"/>
    <m/>
  </r>
  <r>
    <n v="2024"/>
    <s v="Июль"/>
    <n v="500"/>
    <x v="0"/>
    <n v="500000"/>
    <x v="0"/>
    <s v="«Центральная кольцевая автомобильная дорога (Московская область)»"/>
  </r>
  <r>
    <n v="2024"/>
    <s v="Июль"/>
    <n v="914.2"/>
    <x v="0"/>
    <n v="914206"/>
    <x v="2"/>
    <s v="«Программа льготного лизинга гражданских судов водного транспорта»"/>
  </r>
  <r>
    <n v="2024"/>
    <s v="Июль"/>
    <n v="3873.6"/>
    <x v="0"/>
    <n v="3873626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Июнь"/>
    <n v="-122.3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Июнь"/>
    <n v="-2673.2"/>
    <x v="0"/>
    <m/>
    <x v="1"/>
    <s v="Приобретение облигаций, апрель 2023 года"/>
  </r>
  <r>
    <n v="2024"/>
    <s v="Июнь"/>
    <n v="494.7"/>
    <x v="0"/>
    <n v="494731"/>
    <x v="2"/>
    <s v="«Программа льготного лизинга гражданских судов водного транспорта»"/>
  </r>
  <r>
    <n v="2024"/>
    <s v="Июнь"/>
    <n v="500"/>
    <x v="0"/>
    <n v="500000"/>
    <x v="0"/>
    <s v="«Центральная кольцевая автомобильная дорога (Московская область)»"/>
  </r>
  <r>
    <n v="2024"/>
    <s v="Июнь"/>
    <n v="6948.3"/>
    <x v="0"/>
    <n v="6948286"/>
    <x v="4"/>
    <s v="«Программа финансирования строительства, реконструкции и модернизации объектов инфраструктуры за счет средств публично-правовой компании «Фонд развития территорий», полученных из средств Фонда национального благосостояния»"/>
  </r>
  <r>
    <n v="2024"/>
    <s v="Июнь"/>
    <n v="9584.6"/>
    <x v="0"/>
    <n v="9584568"/>
    <x v="0"/>
    <s v="«Строительство автомобильной дороги «Казань - Екатеринбург» на участке Дюртюли - Ачит»"/>
  </r>
  <r>
    <n v="2024"/>
    <s v="Май"/>
    <n v="-111.4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Май"/>
    <n v="-1020.1"/>
    <x v="0"/>
    <n v="524221.36499999999"/>
    <x v="1"/>
    <s v="Приобретение облигаций, апрель 2023 года"/>
  </r>
  <r>
    <n v="2024"/>
    <s v="Май"/>
    <n v="798.8"/>
    <x v="0"/>
    <n v="798819"/>
    <x v="2"/>
    <s v="«Программа льготного лизинга гражданских судов водного транспорта»"/>
  </r>
  <r>
    <n v="2024"/>
    <s v="Май"/>
    <n v="5408.4"/>
    <x v="0"/>
    <n v="5408378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Май"/>
    <n v="8686.1"/>
    <x v="0"/>
    <n v="8686092"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4"/>
    <s v="Май"/>
    <n v="16290"/>
    <x v="0"/>
    <n v="16290000"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4"/>
    <s v="Апрель"/>
    <n v="-15.5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Апрель"/>
    <n v="1609.9"/>
    <x v="0"/>
    <n v="1609865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Апрель"/>
    <n v="1994.2"/>
    <x v="0"/>
    <n v="1994162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4"/>
    <s v="Март"/>
    <n v="-49.9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4"/>
    <s v="Март"/>
    <n v="1226.9000000000001"/>
    <x v="0"/>
    <n v="1226864"/>
    <x v="2"/>
    <s v="«Программа льготного лизинга гражданских судов водного транспорта»"/>
  </r>
  <r>
    <n v="2024"/>
    <s v="Март"/>
    <n v="1893"/>
    <x v="0"/>
    <n v="1893011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4"/>
    <s v="Март"/>
    <n v="12859.2"/>
    <x v="0"/>
    <n v="12859247"/>
    <x v="0"/>
    <s v="«Строительство автомобильной дороги «Казань - Екатеринбург» на участке Дюртюли - Ачит»"/>
  </r>
  <r>
    <n v="2024"/>
    <s v="Февраль"/>
    <n v="1580.4"/>
    <x v="0"/>
    <n v="1580376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4"/>
    <s v="Февраль"/>
    <n v="4447.1000000000004"/>
    <x v="0"/>
    <n v="4447120"/>
    <x v="2"/>
    <s v="«Программа льготного лизинга гражданских судов водного транспорта»"/>
  </r>
  <r>
    <n v="2023"/>
    <s v="Декабрь"/>
    <n v="76841.3"/>
    <x v="1"/>
    <n v="76841289"/>
    <x v="6"/>
    <s v="«Развитие железнодорожной инфраструктуры Центрального транспортного узла»"/>
  </r>
  <r>
    <n v="2023"/>
    <s v="Декабрь"/>
    <n v="7896.7"/>
    <x v="0"/>
    <n v="7896728"/>
    <x v="0"/>
    <s v="«Строительство автомобильной дороги М-11 «Нева», этап 3 на участке км 149 - км 208 (Обход г. Твери)»"/>
  </r>
  <r>
    <n v="2023"/>
    <s v="Декабрь"/>
    <n v="34497.5"/>
    <x v="0"/>
    <n v="34497540"/>
    <x v="3"/>
    <s v="«Проект льготного лизинга отечественных воздушных судов»"/>
  </r>
  <r>
    <n v="2023"/>
    <s v="Декабрь"/>
    <n v="2286.6999999999998"/>
    <x v="0"/>
    <n v="2286725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3"/>
    <s v="Декабрь"/>
    <n v="2926.5"/>
    <x v="0"/>
    <n v="2926533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3"/>
    <s v="Декабрь"/>
    <n v="49570"/>
    <x v="0"/>
    <n v="49569991"/>
    <x v="0"/>
    <s v="«Строительство автомобильной дороги «Казань - Екатеринбург» на участке Дюртюли - Ачит»"/>
  </r>
  <r>
    <n v="2023"/>
    <s v="Декабрь"/>
    <n v="1600"/>
    <x v="0"/>
    <n v="1600000"/>
    <x v="0"/>
    <s v="«Центральная кольцевая автомобильная дорога (Московская область)»"/>
  </r>
  <r>
    <n v="2023"/>
    <s v="Декабрь"/>
    <n v="8720.7000000000007"/>
    <x v="0"/>
    <n v="8720735"/>
    <x v="2"/>
    <s v="«Программа льготного лизинга гражданских судов водного транспорта»"/>
  </r>
  <r>
    <n v="2024"/>
    <s v="Январь"/>
    <n v="-62.1"/>
    <x v="0"/>
    <m/>
    <x v="2"/>
    <s v="«Приобретение подвижного состава наземного общественного пассажирского транспорта для последующей передачи в лизинг»"/>
  </r>
  <r>
    <n v="2023"/>
    <s v="Декабрь"/>
    <n v="-7243.9000000000233"/>
    <x v="0"/>
    <m/>
    <x v="0"/>
    <m/>
  </r>
  <r>
    <n v="2023"/>
    <s v="Декабрь"/>
    <n v="-48.665200000003097"/>
    <x v="0"/>
    <m/>
    <x v="2"/>
    <m/>
  </r>
  <r>
    <n v="2023"/>
    <s v="Ноябрь"/>
    <n v="10797.1"/>
    <x v="0"/>
    <n v="10797144"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3"/>
    <s v="Ноябрь"/>
    <n v="1551.5"/>
    <x v="0"/>
    <n v="1551604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3"/>
    <s v="Ноябрь"/>
    <n v="12000"/>
    <x v="0"/>
    <n v="12000000"/>
    <x v="0"/>
    <s v="«Строительство автомобильной дороги «Казань - Екатеринбург» на участке Дюртюли - Ачит»"/>
  </r>
  <r>
    <n v="2023"/>
    <s v="Ноябрь"/>
    <n v="6572.5"/>
    <x v="0"/>
    <n v="6572481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3"/>
    <s v="Ноябрь"/>
    <n v="1800"/>
    <x v="0"/>
    <n v="1800000"/>
    <x v="0"/>
    <s v="«Центральная кольцевая автомобильная дорога (Московская область)»"/>
  </r>
  <r>
    <n v="2023"/>
    <s v="Октябрь"/>
    <n v="500"/>
    <x v="0"/>
    <n v="500000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3"/>
    <s v="Октябрь"/>
    <n v="21091.3"/>
    <x v="0"/>
    <n v="21091262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3"/>
    <s v="Октябрь"/>
    <n v="400"/>
    <x v="0"/>
    <n v="400000"/>
    <x v="0"/>
    <s v="«Центральная кольцевая автомобильная дорога (Московская область)»"/>
  </r>
  <r>
    <n v="2023"/>
    <s v="Сентябрь"/>
    <n v="1100"/>
    <x v="0"/>
    <n v="1100000"/>
    <x v="0"/>
    <s v="«Центральная кольцевая автомобильная дорога (Московская область)»"/>
  </r>
  <r>
    <n v="2023"/>
    <s v="Сентябрь"/>
    <n v="13767"/>
    <x v="0"/>
    <n v="13766983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3"/>
    <s v="Сентябрь"/>
    <n v="19984.900000000001"/>
    <x v="0"/>
    <n v="19984872"/>
    <x v="0"/>
    <s v="«Строительство автомобильной дороги «Казань - Екатеринбург» на участке Дюртюли - Ачит»"/>
  </r>
  <r>
    <n v="2023"/>
    <s v="Сентябрь"/>
    <n v="1E-3"/>
    <x v="0"/>
    <n v="1"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3"/>
    <s v="Сентябрь"/>
    <n v="21237.1"/>
    <x v="0"/>
    <n v="21237134"/>
    <x v="2"/>
    <s v="«Программа льготного лизинга гражданских судов водного транспорта»"/>
  </r>
  <r>
    <n v="2023"/>
    <s v="Август"/>
    <n v="2241.6"/>
    <x v="0"/>
    <n v="2241607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3"/>
    <s v="Август"/>
    <n v="4600"/>
    <x v="0"/>
    <n v="4600000"/>
    <x v="0"/>
    <s v="«Строительство автомобильной дороги «Казань - Екатеринбург» на участке Дюртюли - Ачит»"/>
  </r>
  <r>
    <n v="2023"/>
    <s v="Август"/>
    <n v="123643"/>
    <x v="0"/>
    <n v="123643009"/>
    <x v="3"/>
    <s v="«Проект льготного лизинга отечественных воздушных судов»"/>
  </r>
  <r>
    <n v="2023"/>
    <s v="Август"/>
    <n v="12766"/>
    <x v="0"/>
    <n v="12766000"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3"/>
    <s v="Август"/>
    <n v="16054.2"/>
    <x v="0"/>
    <n v="16054214"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3"/>
    <s v="Июль"/>
    <n v="3134.9"/>
    <x v="0"/>
    <n v="3134869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3"/>
    <s v="Июль"/>
    <n v="2000"/>
    <x v="0"/>
    <n v="2000000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3"/>
    <s v="Июнь"/>
    <n v="9361.9"/>
    <x v="0"/>
    <n v="9361922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3"/>
    <s v="Июнь"/>
    <n v="28300"/>
    <x v="0"/>
    <n v="28300000"/>
    <x v="0"/>
    <s v="«Строительство автомобильной дороги «Казань - Екатеринбург» на участке Дюртюли - Ачит»"/>
  </r>
  <r>
    <n v="2023"/>
    <s v="Июнь"/>
    <n v="17248.8"/>
    <x v="0"/>
    <n v="17248770"/>
    <x v="3"/>
    <s v="«Проект льготного лизинга отечественных воздушных судов»"/>
  </r>
  <r>
    <n v="2023"/>
    <s v="Июнь"/>
    <n v="1578.2"/>
    <x v="0"/>
    <n v="1578243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3"/>
    <s v="Июнь"/>
    <n v="15450"/>
    <x v="0"/>
    <n v="15450000"/>
    <x v="2"/>
    <s v="«Приобретение вертолетов отечественного производства для последующей передачи в лизинг для нужд российских авиакомпаний»"/>
  </r>
  <r>
    <n v="2023"/>
    <s v="Июнь"/>
    <n v="6622.2"/>
    <x v="0"/>
    <n v="6622214"/>
    <x v="2"/>
    <s v="«Приобретение воздушных судов для последующей передачи в лизинг национальному перевозчику в Дальневосточном федеральном округе»"/>
  </r>
  <r>
    <n v="2023"/>
    <s v="Май"/>
    <n v="5675.3"/>
    <x v="0"/>
    <n v="5675261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3"/>
    <s v="Май"/>
    <n v="10000"/>
    <x v="1"/>
    <n v="10000000"/>
    <x v="6"/>
    <s v="«Развитие железнодорожной инфраструктуры Центрального транспортного узла»"/>
  </r>
  <r>
    <n v="2023"/>
    <s v="Апрель"/>
    <n v="6343.1"/>
    <x v="0"/>
    <n v="6343082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3"/>
    <s v="Апрель"/>
    <n v="1700"/>
    <x v="0"/>
    <n v="1700000"/>
    <x v="0"/>
    <s v="«Строительство автомобильной дороги «Казань - Екатеринбург» на участке Дюртюли - Ачит»"/>
  </r>
  <r>
    <n v="2023"/>
    <s v="Март"/>
    <n v="11886"/>
    <x v="0"/>
    <n v="11886000"/>
    <x v="4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2"/>
    <s v="Декабрь"/>
    <n v="115000"/>
    <x v="0"/>
    <n v="115000000"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2"/>
    <s v="Декабрь"/>
    <n v="66940.600000000006"/>
    <x v="0"/>
    <n v="66940563"/>
    <x v="0"/>
    <s v="«Строительство автомобильной дороги «Казань - Екатеринбург» на участке Дюртюли - Ачит»"/>
  </r>
  <r>
    <n v="2022"/>
    <s v="Декабрь"/>
    <n v="17703.3"/>
    <x v="0"/>
    <n v="17703272"/>
    <x v="0"/>
    <s v="«Строительство автомобильной дороги М-11 «Нева», этап 3 на участке км 149 - км 208 (Обход г. Твери)»"/>
  </r>
  <r>
    <n v="2022"/>
    <s v="Ноябрь"/>
    <n v="35000"/>
    <x v="0"/>
    <n v="35000000"/>
    <x v="0"/>
    <s v="«Строительство автомобильной дороги М-12 «Строящаяся скоростная автомобильная дорога Москва – Нижний Новгород – Казань»"/>
  </r>
  <r>
    <n v="2022"/>
    <s v="Ноябрь"/>
    <n v="18300"/>
    <x v="1"/>
    <n v="18300000"/>
    <x v="6"/>
    <s v="«Развитие железнодорожной инфраструктуры Центрального транспортного узла»"/>
  </r>
  <r>
    <n v="2022"/>
    <s v="Ноябрь"/>
    <n v="12457.5"/>
    <x v="0"/>
    <n v="12457517"/>
    <x v="7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2"/>
    <s v="Октябрь"/>
    <n v="5031.2"/>
    <x v="0"/>
    <n v="5031235"/>
    <x v="7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2"/>
    <s v="Сентябрь"/>
    <n v="4607.3"/>
    <x v="0"/>
    <n v="4607263"/>
    <x v="7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2"/>
    <s v="Август"/>
    <n v="2078.6"/>
    <x v="0"/>
    <n v="2078621"/>
    <x v="7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2"/>
    <s v="Июль"/>
    <n v="1569.6"/>
    <x v="0"/>
    <n v="1569640"/>
    <x v="7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2"/>
    <s v="Июнь"/>
    <n v="4203.7"/>
    <x v="0"/>
    <n v="4203745"/>
    <x v="7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2"/>
    <s v="Май"/>
    <n v="3038"/>
    <x v="0"/>
    <n v="3037979"/>
    <x v="7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2"/>
    <s v="Апрель"/>
    <n v="4014"/>
    <x v="0"/>
    <n v="4014000"/>
    <x v="7"/>
    <s v="«Программа финансирования строительства, реконструкции и модернизации объектов инфраструктуры за счет средств государственной корпорации - Фонда содействия реформированию жилищно-коммунального хозяйства, полученных из средств Фонда национального благосостояния»"/>
  </r>
  <r>
    <n v="2021"/>
    <s v="Июнь"/>
    <n v="13830"/>
    <x v="1"/>
    <n v="13830000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21"/>
    <s v="Май"/>
    <n v="1670"/>
    <x v="1"/>
    <n v="1670000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20"/>
    <s v="Декабрь"/>
    <n v="24500"/>
    <x v="1"/>
    <n v="24500000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20"/>
    <s v="Август"/>
    <n v="2150"/>
    <x v="0"/>
    <n v="2150000"/>
    <x v="0"/>
    <s v="«Центральная кольцевая автомобильная дорога (Московская область)»"/>
  </r>
  <r>
    <n v="2020"/>
    <s v="Август"/>
    <n v="7359.9"/>
    <x v="1"/>
    <n v="7359900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20"/>
    <s v="Июль"/>
    <n v="13600"/>
    <x v="0"/>
    <n v="13600000"/>
    <x v="0"/>
    <s v="«Центральная кольцевая автомобильная дорога (Московская область)»"/>
  </r>
  <r>
    <n v="2020"/>
    <s v="Июль"/>
    <n v="6500"/>
    <x v="1"/>
    <n v="6500000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20"/>
    <s v="Июнь"/>
    <n v="3000"/>
    <x v="0"/>
    <n v="3000000"/>
    <x v="0"/>
    <s v="«Центральная кольцевая автомобильная дорога (Московская область)»"/>
  </r>
  <r>
    <n v="2020"/>
    <s v="Май"/>
    <n v="6640.1"/>
    <x v="1"/>
    <n v="6640100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20"/>
    <s v="Апрель"/>
    <n v="3000"/>
    <x v="0"/>
    <n v="3000000"/>
    <x v="0"/>
    <s v="«Центральная кольцевая автомобильная дорога (Московская область)»"/>
  </r>
  <r>
    <n v="2020"/>
    <s v="Февраль"/>
    <n v="6000"/>
    <x v="0"/>
    <n v="6000000"/>
    <x v="0"/>
    <s v="«Центральная кольцевая автомобильная дорога (Московская область)»"/>
  </r>
  <r>
    <n v="2019"/>
    <s v="Ноябрь"/>
    <n v="4000"/>
    <x v="0"/>
    <n v="4000000"/>
    <x v="0"/>
    <s v="«Центральная кольцевая автомобильная дорога (Московская область)»"/>
  </r>
  <r>
    <n v="2019"/>
    <s v="Ноябрь"/>
    <n v="4055.2"/>
    <x v="1"/>
    <n v="4055202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19"/>
    <s v="Октябрь"/>
    <n v="2500"/>
    <x v="0"/>
    <n v="2500000"/>
    <x v="0"/>
    <s v="«Центральная кольцевая автомобильная дорога (Московская область)»"/>
  </r>
  <r>
    <n v="2019"/>
    <s v="Октябрь"/>
    <n v="15444.8"/>
    <x v="1"/>
    <n v="15444798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19"/>
    <s v="Сентябрь"/>
    <n v="2000"/>
    <x v="0"/>
    <n v="2000000"/>
    <x v="0"/>
    <s v="«Центральная кольцевая автомобильная дорога (Московская область)»"/>
  </r>
  <r>
    <n v="2019"/>
    <s v="Июль"/>
    <n v="500"/>
    <x v="0"/>
    <n v="500000"/>
    <x v="0"/>
    <s v="«Центральная кольцевая автомобильная дорога (Московская область)»"/>
  </r>
  <r>
    <n v="2019"/>
    <s v="Июнь"/>
    <n v="2000"/>
    <x v="0"/>
    <n v="2000000"/>
    <x v="0"/>
    <s v="«Центральная кольцевая автомобильная дорога (Московская область)»"/>
  </r>
  <r>
    <n v="2019"/>
    <s v="Май"/>
    <n v="3000"/>
    <x v="0"/>
    <n v="3000000"/>
    <x v="0"/>
    <s v="«Центральная кольцевая автомобильная дорога (Московская область)»"/>
  </r>
  <r>
    <n v="2019"/>
    <s v="Январь"/>
    <n v="2000"/>
    <x v="0"/>
    <n v="2000000"/>
    <x v="0"/>
    <s v="«Центральная кольцевая автомобильная дорога (Московская область)»"/>
  </r>
  <r>
    <n v="2018"/>
    <s v="Декабрь"/>
    <n v="12240.8"/>
    <x v="0"/>
    <n v="12240800"/>
    <x v="0"/>
    <s v="«Центральная кольцевая автомобильная дорога (Московская область)»"/>
  </r>
  <r>
    <n v="2018"/>
    <s v="Декабрь"/>
    <n v="20000"/>
    <x v="1"/>
    <n v="20000000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18"/>
    <s v="Ноябрь"/>
    <n v="12759.2"/>
    <x v="0"/>
    <n v="12759200"/>
    <x v="0"/>
    <s v="«Центральная кольцевая автомобильная дорога (Московская область)»"/>
  </r>
  <r>
    <n v="2018"/>
    <s v="Октябрь"/>
    <n v="2000"/>
    <x v="0"/>
    <n v="2000000"/>
    <x v="0"/>
    <s v="«Центральная кольцевая автомобильная дорога (Московская область)»"/>
  </r>
  <r>
    <n v="2018"/>
    <s v="Сентябрь"/>
    <n v="2000"/>
    <x v="0"/>
    <n v="2000000"/>
    <x v="0"/>
    <s v="«Центральная кольцевая автомобильная дорога (Московская область)»"/>
  </r>
  <r>
    <n v="2017"/>
    <s v="Август"/>
    <n v="16710"/>
    <x v="0"/>
    <n v="16710000"/>
    <x v="0"/>
    <s v="«Центральная кольцевая автомобильная дорога (Московская область)»"/>
  </r>
  <r>
    <n v="2015"/>
    <s v="Декабрь"/>
    <n v="118600"/>
    <x v="0"/>
    <n v="1750000"/>
    <x v="8"/>
    <s v="«Строительство интегрированного нефтехимического комплекса «Западно-Сибирский нефтехимический комбинат»"/>
  </r>
  <r>
    <n v="2015"/>
    <s v="Ноябрь"/>
    <n v="75000"/>
    <x v="0"/>
    <n v="1156206"/>
    <x v="9"/>
    <s v="«Строительство комплекса по добыче и подготовке газа, завода сжиженного природного газа и мощностей по отгрузке сжиженного природного газа и газового конденсата Южно-Тамбейского газоконденсатного месторождения на полуострове Ямал» 2015 год"/>
  </r>
  <r>
    <n v="2015"/>
    <s v="Март"/>
    <n v="50000"/>
    <x v="1"/>
    <n v="50000000"/>
    <x v="6"/>
    <s v="«Модернизация железнодорожной инфраструктуры Байкало-Амурской и Транссибирской железнодорожных магистралей с развитием пропускных и провозных способностей»"/>
  </r>
  <r>
    <n v="2015"/>
    <s v="Март"/>
    <n v="57500"/>
    <x v="1"/>
    <n v="57500000"/>
    <x v="10"/>
    <s v="«Сооружение АЭС «Ханхикиви-1» в Финляндии»"/>
  </r>
  <r>
    <n v="2015"/>
    <s v="Февраль"/>
    <n v="75000"/>
    <x v="0"/>
    <n v="1207024"/>
    <x v="9"/>
    <s v="«Строительство комплекса по добыче и подготовке газа, завода сжиженного природного газа и мощностей по отгрузке сжиженного природного газа и газового конденсата Южно-Тамбейского газоконденсатного месторождения на полуострове Ямал» 2015 год"/>
  </r>
  <r>
    <n v="2014"/>
    <s v="Декабрь"/>
    <n v="1080"/>
    <x v="0"/>
    <n v="1080000"/>
    <x v="11"/>
    <s v="«Строительство «интеллектуальных сетей», 2014 год"/>
  </r>
  <r>
    <n v="2014"/>
    <s v="Декабрь"/>
    <n v="4050"/>
    <x v="0"/>
    <n v="4050000"/>
    <x v="12"/>
    <s v="«Ликвидация цифрового неравенства в малонаселенных пунктах России»"/>
  </r>
  <r>
    <n v="2023"/>
    <s v="Октябрь"/>
    <n v="-0.02"/>
    <x v="0"/>
    <n v="20000"/>
    <x v="2"/>
    <s v="«Приобретение подвижного состава наземного общественного пассажирского транспорта для последующей передачи в лизинг»"/>
  </r>
  <r>
    <n v="2023"/>
    <s v="Октябрь"/>
    <n v="-524.20000000000005"/>
    <x v="0"/>
    <n v="524221.36499999999"/>
    <x v="1"/>
    <s v="Приобретение облигаций, апрель 2023 года"/>
  </r>
  <r>
    <n v="2023"/>
    <s v="Сентябрь"/>
    <n v="-2298.9"/>
    <x v="0"/>
    <n v="2298929"/>
    <x v="13"/>
    <s v="Приобретение облигаций, август 2022 года"/>
  </r>
  <r>
    <n v="2023"/>
    <s v="Сентябрь"/>
    <n v="-1.5800000000000002E-2"/>
    <x v="0"/>
    <n v="15.8"/>
    <x v="2"/>
    <s v="Приобретение облигаций, июнь 2023 года"/>
  </r>
  <r>
    <n v="2023"/>
    <s v="Август"/>
    <n v="-6775.9"/>
    <x v="0"/>
    <n v="70973.011199999994"/>
    <x v="9"/>
    <s v="«Строительство комплекса по добыче и подготовке газа, завода сжиженного природного газа и мощностей по отгрузке сжиженного природного газа и газового конденсата Южно-Тамбейского газоконденсатного месторождения на полуострове Ямал» 2015 год"/>
  </r>
  <r>
    <n v="2023"/>
    <s v="Июль"/>
    <n v="-524.20000000000005"/>
    <x v="0"/>
    <n v="524221.36499999999"/>
    <x v="1"/>
    <s v="Приобретение облигаций, апрель 2023 года"/>
  </r>
  <r>
    <n v="2023"/>
    <s v="Июль"/>
    <n v="-11851.9"/>
    <x v="0"/>
    <n v="11851945"/>
    <x v="14"/>
    <s v="Приобретение облигаций, июль 2022 года"/>
  </r>
  <r>
    <n v="2023"/>
    <s v="Июнь"/>
    <n v="-5498.3"/>
    <x v="0"/>
    <n v="67984.912799999991"/>
    <x v="9"/>
    <s v="«Строительство комплекса по добыче и подготовке газа, завода сжиженного природного газа и мощностей по отгрузке сжиженного природного газа и газового конденсата Южно-Тамбейского газоконденсатного месторождения на полуострове Ямал» 2015 год"/>
  </r>
  <r>
    <n v="2023"/>
    <s v="Февраль"/>
    <n v="-5353.7"/>
    <x v="0"/>
    <n v="70973.011199999994"/>
    <x v="9"/>
    <s v="«Строительство комплекса по добыче и подготовке газа, завода сжиженного природного газа и мощностей по отгрузке сжиженного природного газа и газового конденсата Южно-Тамбейского газоконденсатного месторождения на полуострове Ямал» 2015 год"/>
  </r>
  <r>
    <n v="2022"/>
    <s v="Декабрь"/>
    <n v="-4199.8"/>
    <x v="0"/>
    <n v="67984.912799999991"/>
    <x v="9"/>
    <s v="«Строительство комплекса по добыче и подготовке газа, завода сжиженного природного газа и мощностей по отгрузке сжиженного природного газа и газового конденсата Южно-Тамбейского газоконденсатного месторождения на полуострове Ямал» 2015 год"/>
  </r>
  <r>
    <n v="2022"/>
    <s v="Декабрь"/>
    <n v="-1080"/>
    <x v="0"/>
    <n v="1080000"/>
    <x v="11"/>
    <s v="«Строительство «интеллектуальных сетей», 2014 год"/>
  </r>
  <r>
    <n v="2022"/>
    <s v="Август"/>
    <n v="-4284.2"/>
    <x v="0"/>
    <n v="70973.011199999994"/>
    <x v="9"/>
    <s v="«Строительство комплекса по добыче и подготовке газа, завода сжиженного природного газа и мощностей по отгрузке сжиженного природного газа и газового конденсата Южно-Тамбейского газоконденсатного месторождения на полуострове Ямал» 2015 год"/>
  </r>
  <r>
    <n v="2022"/>
    <s v="Март"/>
    <n v="-6640.2"/>
    <x v="0"/>
    <n v="70973.011199999994"/>
    <x v="9"/>
    <s v="«Строительство комплекса по добыче и подготовке газа, завода сжиженного природного газа и мощностей по отгрузке сжиженного природного газа и газового конденсата Южно-Тамбейского газоконденсатного месторождения на полуострове Ямал» 2015 год"/>
  </r>
  <r>
    <n v="2022"/>
    <s v="Февраль"/>
    <n v="-141802"/>
    <x v="0"/>
    <n v="1750000"/>
    <x v="8"/>
    <s v="«Строительство интегрированного нефтехимического комплекса «Западно-Сибирский нефтехимический комбинат»"/>
  </r>
  <r>
    <m/>
    <m/>
    <m/>
    <x v="2"/>
    <m/>
    <x v="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J2:N20" firstHeaderRow="1" firstDataRow="2" firstDataCol="1"/>
  <pivotFields count="7">
    <pivotField showAll="0"/>
    <pivotField showAll="0"/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8">
        <item x="10"/>
        <item x="2"/>
        <item x="0"/>
        <item x="7"/>
        <item x="6"/>
        <item x="9"/>
        <item x="3"/>
        <item x="8"/>
        <item x="11"/>
        <item x="12"/>
        <item x="4"/>
        <item x="15"/>
        <item m="1" x="16"/>
        <item x="1"/>
        <item x="13"/>
        <item x="14"/>
        <item x="5"/>
        <item t="default"/>
      </items>
    </pivotField>
    <pivotField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Сумма по полю Сумма, млн. руб" fld="2" baseField="0" baseItem="379974688"/>
  </dataFields>
  <formats count="179">
    <format dxfId="534">
      <pivotArea dataOnly="0" labelOnly="1" fieldPosition="0">
        <references count="1">
          <reference field="5" count="1">
            <x v="2"/>
          </reference>
        </references>
      </pivotArea>
    </format>
    <format dxfId="533">
      <pivotArea dataOnly="0" labelOnly="1" fieldPosition="0">
        <references count="1">
          <reference field="5" count="1">
            <x v="6"/>
          </reference>
        </references>
      </pivotArea>
    </format>
    <format dxfId="532">
      <pivotArea dataOnly="0" labelOnly="1" fieldPosition="0">
        <references count="1">
          <reference field="5" count="1">
            <x v="1"/>
          </reference>
        </references>
      </pivotArea>
    </format>
    <format dxfId="531">
      <pivotArea dataOnly="0" labelOnly="1" fieldPosition="0">
        <references count="1">
          <reference field="5" count="1">
            <x v="9"/>
          </reference>
        </references>
      </pivotArea>
    </format>
    <format dxfId="530">
      <pivotArea dataOnly="0" labelOnly="1" fieldPosition="0">
        <references count="1">
          <reference field="5" count="1">
            <x v="10"/>
          </reference>
        </references>
      </pivotArea>
    </format>
    <format dxfId="529">
      <pivotArea dataOnly="0" labelOnly="1" fieldPosition="0">
        <references count="1">
          <reference field="5" count="1">
            <x v="3"/>
          </reference>
        </references>
      </pivotArea>
    </format>
    <format dxfId="528">
      <pivotArea dataOnly="0" labelOnly="1" fieldPosition="0">
        <references count="1">
          <reference field="5" count="1">
            <x v="4"/>
          </reference>
        </references>
      </pivotArea>
    </format>
    <format dxfId="527">
      <pivotArea dataOnly="0" labelOnly="1" fieldPosition="0">
        <references count="1">
          <reference field="5" count="1">
            <x v="0"/>
          </reference>
        </references>
      </pivotArea>
    </format>
    <format dxfId="526">
      <pivotArea dataOnly="0" labelOnly="1" fieldPosition="0">
        <references count="1">
          <reference field="5" count="0"/>
        </references>
      </pivotArea>
    </format>
    <format dxfId="525">
      <pivotArea dataOnly="0" labelOnly="1" fieldPosition="0">
        <references count="1">
          <reference field="5" count="1">
            <x v="1"/>
          </reference>
        </references>
      </pivotArea>
    </format>
    <format dxfId="524">
      <pivotArea dataOnly="0" labelOnly="1" fieldPosition="0">
        <references count="1">
          <reference field="5" count="1">
            <x v="2"/>
          </reference>
        </references>
      </pivotArea>
    </format>
    <format dxfId="523">
      <pivotArea dataOnly="0" labelOnly="1" fieldPosition="0">
        <references count="1">
          <reference field="5" count="1">
            <x v="3"/>
          </reference>
        </references>
      </pivotArea>
    </format>
    <format dxfId="522">
      <pivotArea dataOnly="0" labelOnly="1" fieldPosition="0">
        <references count="1">
          <reference field="5" count="1">
            <x v="10"/>
          </reference>
        </references>
      </pivotArea>
    </format>
    <format dxfId="521">
      <pivotArea dataOnly="0" labelOnly="1" fieldPosition="0">
        <references count="1">
          <reference field="5" count="1">
            <x v="6"/>
          </reference>
        </references>
      </pivotArea>
    </format>
    <format dxfId="520">
      <pivotArea dataOnly="0" labelOnly="1" fieldPosition="0">
        <references count="1">
          <reference field="5" count="1">
            <x v="9"/>
          </reference>
        </references>
      </pivotArea>
    </format>
    <format dxfId="519">
      <pivotArea dataOnly="0" labelOnly="1" fieldPosition="0">
        <references count="1">
          <reference field="5" count="1">
            <x v="4"/>
          </reference>
        </references>
      </pivotArea>
    </format>
    <format dxfId="518">
      <pivotArea dataOnly="0" labelOnly="1" fieldPosition="0">
        <references count="1">
          <reference field="5" count="1">
            <x v="0"/>
          </reference>
        </references>
      </pivotArea>
    </format>
    <format dxfId="517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16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15">
      <pivotArea dataOnly="0" labelOnly="1" fieldPosition="0">
        <references count="1">
          <reference field="5" count="1">
            <x v="2"/>
          </reference>
        </references>
      </pivotArea>
    </format>
    <format dxfId="514">
      <pivotArea dataOnly="0" labelOnly="1" fieldPosition="0">
        <references count="1">
          <reference field="5" count="1">
            <x v="2"/>
          </reference>
        </references>
      </pivotArea>
    </format>
    <format dxfId="513">
      <pivotArea dataOnly="0" labelOnly="1" fieldPosition="0">
        <references count="1">
          <reference field="5" count="1">
            <x v="6"/>
          </reference>
        </references>
      </pivotArea>
    </format>
    <format dxfId="512">
      <pivotArea dataOnly="0" labelOnly="1" fieldPosition="0">
        <references count="1">
          <reference field="5" count="1">
            <x v="3"/>
          </reference>
        </references>
      </pivotArea>
    </format>
    <format dxfId="511">
      <pivotArea dataOnly="0" labelOnly="1" fieldPosition="0">
        <references count="1">
          <reference field="5" count="1">
            <x v="10"/>
          </reference>
        </references>
      </pivotArea>
    </format>
    <format dxfId="510">
      <pivotArea dataOnly="0" labelOnly="1" fieldPosition="0">
        <references count="1">
          <reference field="5" count="1">
            <x v="1"/>
          </reference>
        </references>
      </pivotArea>
    </format>
    <format dxfId="509">
      <pivotArea dataOnly="0" labelOnly="1" fieldPosition="0">
        <references count="1">
          <reference field="5" count="1">
            <x v="9"/>
          </reference>
        </references>
      </pivotArea>
    </format>
    <format dxfId="508">
      <pivotArea dataOnly="0" labelOnly="1" fieldPosition="0">
        <references count="1">
          <reference field="5" count="1">
            <x v="4"/>
          </reference>
        </references>
      </pivotArea>
    </format>
    <format dxfId="507">
      <pivotArea dataOnly="0" labelOnly="1" fieldPosition="0">
        <references count="1">
          <reference field="5" count="1">
            <x v="0"/>
          </reference>
        </references>
      </pivotArea>
    </format>
    <format dxfId="506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05">
      <pivotArea dataOnly="0" labelOnly="1" fieldPosition="0">
        <references count="1">
          <reference field="5" count="1">
            <x v="2"/>
          </reference>
        </references>
      </pivotArea>
    </format>
    <format dxfId="504">
      <pivotArea dataOnly="0" labelOnly="1" fieldPosition="0">
        <references count="1">
          <reference field="5" count="1">
            <x v="6"/>
          </reference>
        </references>
      </pivotArea>
    </format>
    <format dxfId="503">
      <pivotArea dataOnly="0" labelOnly="1" fieldPosition="0">
        <references count="1">
          <reference field="5" count="1">
            <x v="10"/>
          </reference>
        </references>
      </pivotArea>
    </format>
    <format dxfId="502">
      <pivotArea dataOnly="0" labelOnly="1" fieldPosition="0">
        <references count="1">
          <reference field="5" count="1">
            <x v="3"/>
          </reference>
        </references>
      </pivotArea>
    </format>
    <format dxfId="501">
      <pivotArea dataOnly="0" labelOnly="1" fieldPosition="0">
        <references count="1">
          <reference field="5" count="1">
            <x v="1"/>
          </reference>
        </references>
      </pivotArea>
    </format>
    <format dxfId="500">
      <pivotArea dataOnly="0" labelOnly="1" fieldPosition="0">
        <references count="1">
          <reference field="5" count="1">
            <x v="9"/>
          </reference>
        </references>
      </pivotArea>
    </format>
    <format dxfId="499">
      <pivotArea dataOnly="0" labelOnly="1" fieldPosition="0">
        <references count="1">
          <reference field="5" count="1">
            <x v="4"/>
          </reference>
        </references>
      </pivotArea>
    </format>
    <format dxfId="498">
      <pivotArea dataOnly="0" labelOnly="1" fieldPosition="0">
        <references count="1">
          <reference field="5" count="1">
            <x v="0"/>
          </reference>
        </references>
      </pivotArea>
    </format>
    <format dxfId="497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96">
      <pivotArea dataOnly="0" labelOnly="1" fieldPosition="0">
        <references count="1">
          <reference field="5" count="1">
            <x v="4"/>
          </reference>
        </references>
      </pivotArea>
    </format>
    <format dxfId="495">
      <pivotArea dataOnly="0" labelOnly="1" fieldPosition="0">
        <references count="1">
          <reference field="5" count="1">
            <x v="6"/>
          </reference>
        </references>
      </pivotArea>
    </format>
    <format dxfId="494">
      <pivotArea dataOnly="0" labelOnly="1" fieldPosition="0">
        <references count="1">
          <reference field="5" count="1">
            <x v="3"/>
          </reference>
        </references>
      </pivotArea>
    </format>
    <format dxfId="493">
      <pivotArea dataOnly="0" labelOnly="1" fieldPosition="0">
        <references count="1">
          <reference field="5" count="1">
            <x v="10"/>
          </reference>
        </references>
      </pivotArea>
    </format>
    <format dxfId="492">
      <pivotArea dataOnly="0" labelOnly="1" fieldPosition="0">
        <references count="1">
          <reference field="5" count="1">
            <x v="1"/>
          </reference>
        </references>
      </pivotArea>
    </format>
    <format dxfId="491">
      <pivotArea dataOnly="0" labelOnly="1" fieldPosition="0">
        <references count="1">
          <reference field="5" count="1">
            <x v="9"/>
          </reference>
        </references>
      </pivotArea>
    </format>
    <format dxfId="490">
      <pivotArea dataOnly="0" labelOnly="1" fieldPosition="0">
        <references count="1">
          <reference field="5" count="1">
            <x v="0"/>
          </reference>
        </references>
      </pivotArea>
    </format>
    <format dxfId="489">
      <pivotArea dataOnly="0" labelOnly="1" fieldPosition="0">
        <references count="1">
          <reference field="5" count="0"/>
        </references>
      </pivotArea>
    </format>
    <format dxfId="488">
      <pivotArea dataOnly="0" labelOnly="1" fieldPosition="0">
        <references count="1">
          <reference field="5" count="1">
            <x v="2"/>
          </reference>
        </references>
      </pivotArea>
    </format>
    <format dxfId="487">
      <pivotArea dataOnly="0" labelOnly="1" fieldPosition="0">
        <references count="1">
          <reference field="5" count="1">
            <x v="6"/>
          </reference>
        </references>
      </pivotArea>
    </format>
    <format dxfId="486">
      <pivotArea dataOnly="0" labelOnly="1" fieldPosition="0">
        <references count="1">
          <reference field="5" count="1">
            <x v="10"/>
          </reference>
        </references>
      </pivotArea>
    </format>
    <format dxfId="485">
      <pivotArea dataOnly="0" labelOnly="1" fieldPosition="0">
        <references count="1">
          <reference field="5" count="1">
            <x v="3"/>
          </reference>
        </references>
      </pivotArea>
    </format>
    <format dxfId="484">
      <pivotArea dataOnly="0" labelOnly="1" fieldPosition="0">
        <references count="1">
          <reference field="5" count="1">
            <x v="1"/>
          </reference>
        </references>
      </pivotArea>
    </format>
    <format dxfId="483">
      <pivotArea dataOnly="0" labelOnly="1" fieldPosition="0">
        <references count="1">
          <reference field="5" count="1">
            <x v="9"/>
          </reference>
        </references>
      </pivotArea>
    </format>
    <format dxfId="482">
      <pivotArea dataOnly="0" labelOnly="1" fieldPosition="0">
        <references count="1">
          <reference field="5" count="1">
            <x v="4"/>
          </reference>
        </references>
      </pivotArea>
    </format>
    <format dxfId="481">
      <pivotArea dataOnly="0" labelOnly="1" fieldPosition="0">
        <references count="1">
          <reference field="5" count="1">
            <x v="0"/>
          </reference>
        </references>
      </pivotArea>
    </format>
    <format dxfId="480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79">
      <pivotArea dataOnly="0" labelOnly="1" fieldPosition="0">
        <references count="1">
          <reference field="5" count="1">
            <x v="2"/>
          </reference>
        </references>
      </pivotArea>
    </format>
    <format dxfId="478">
      <pivotArea dataOnly="0" labelOnly="1" fieldPosition="0">
        <references count="1">
          <reference field="5" count="1">
            <x v="6"/>
          </reference>
        </references>
      </pivotArea>
    </format>
    <format dxfId="477">
      <pivotArea dataOnly="0" labelOnly="1" fieldPosition="0">
        <references count="1">
          <reference field="5" count="1">
            <x v="10"/>
          </reference>
        </references>
      </pivotArea>
    </format>
    <format dxfId="476">
      <pivotArea dataOnly="0" labelOnly="1" fieldPosition="0">
        <references count="1">
          <reference field="5" count="1">
            <x v="3"/>
          </reference>
        </references>
      </pivotArea>
    </format>
    <format dxfId="475">
      <pivotArea dataOnly="0" labelOnly="1" fieldPosition="0">
        <references count="1">
          <reference field="5" count="1">
            <x v="1"/>
          </reference>
        </references>
      </pivotArea>
    </format>
    <format dxfId="474">
      <pivotArea dataOnly="0" labelOnly="1" fieldPosition="0">
        <references count="1">
          <reference field="5" count="1">
            <x v="9"/>
          </reference>
        </references>
      </pivotArea>
    </format>
    <format dxfId="473">
      <pivotArea dataOnly="0" labelOnly="1" fieldPosition="0">
        <references count="1">
          <reference field="5" count="1">
            <x v="4"/>
          </reference>
        </references>
      </pivotArea>
    </format>
    <format dxfId="472">
      <pivotArea dataOnly="0" labelOnly="1" fieldPosition="0">
        <references count="1">
          <reference field="5" count="1">
            <x v="0"/>
          </reference>
        </references>
      </pivotArea>
    </format>
    <format dxfId="471">
      <pivotArea type="origin" dataOnly="0" labelOnly="1" outline="0" fieldPosition="0"/>
    </format>
    <format dxfId="470">
      <pivotArea field="5" type="button" dataOnly="0" labelOnly="1" outline="0" axis="axisRow" fieldPosition="0"/>
    </format>
    <format dxfId="469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68">
      <pivotArea dataOnly="0" labelOnly="1" fieldPosition="0">
        <references count="1">
          <reference field="5" count="1">
            <x v="2"/>
          </reference>
        </references>
      </pivotArea>
    </format>
    <format dxfId="467">
      <pivotArea dataOnly="0" labelOnly="1" fieldPosition="0">
        <references count="1">
          <reference field="5" count="1">
            <x v="2"/>
          </reference>
        </references>
      </pivotArea>
    </format>
    <format dxfId="466">
      <pivotArea dataOnly="0" labelOnly="1" fieldPosition="0">
        <references count="1">
          <reference field="5" count="1">
            <x v="6"/>
          </reference>
        </references>
      </pivotArea>
    </format>
    <format dxfId="465">
      <pivotArea dataOnly="0" labelOnly="1" fieldPosition="0">
        <references count="1">
          <reference field="5" count="1">
            <x v="10"/>
          </reference>
        </references>
      </pivotArea>
    </format>
    <format dxfId="464">
      <pivotArea dataOnly="0" labelOnly="1" fieldPosition="0">
        <references count="1">
          <reference field="5" count="1">
            <x v="3"/>
          </reference>
        </references>
      </pivotArea>
    </format>
    <format dxfId="463">
      <pivotArea dataOnly="0" labelOnly="1" fieldPosition="0">
        <references count="1">
          <reference field="5" count="1">
            <x v="1"/>
          </reference>
        </references>
      </pivotArea>
    </format>
    <format dxfId="462">
      <pivotArea dataOnly="0" labelOnly="1" fieldPosition="0">
        <references count="1">
          <reference field="5" count="1">
            <x v="9"/>
          </reference>
        </references>
      </pivotArea>
    </format>
    <format dxfId="461">
      <pivotArea dataOnly="0" labelOnly="1" fieldPosition="0">
        <references count="1">
          <reference field="5" count="1">
            <x v="4"/>
          </reference>
        </references>
      </pivotArea>
    </format>
    <format dxfId="460">
      <pivotArea dataOnly="0" labelOnly="1" fieldPosition="0">
        <references count="1">
          <reference field="5" count="1">
            <x v="0"/>
          </reference>
        </references>
      </pivotArea>
    </format>
    <format dxfId="459">
      <pivotArea dataOnly="0" labelOnly="1" fieldPosition="0">
        <references count="1">
          <reference field="5" count="0"/>
        </references>
      </pivotArea>
    </format>
    <format dxfId="458">
      <pivotArea dataOnly="0" labelOnly="1" fieldPosition="0">
        <references count="1">
          <reference field="5" count="1">
            <x v="2"/>
          </reference>
        </references>
      </pivotArea>
    </format>
    <format dxfId="457">
      <pivotArea dataOnly="0" labelOnly="1" fieldPosition="0">
        <references count="1">
          <reference field="5" count="1">
            <x v="6"/>
          </reference>
        </references>
      </pivotArea>
    </format>
    <format dxfId="456">
      <pivotArea dataOnly="0" labelOnly="1" fieldPosition="0">
        <references count="1">
          <reference field="5" count="1">
            <x v="3"/>
          </reference>
        </references>
      </pivotArea>
    </format>
    <format dxfId="455">
      <pivotArea dataOnly="0" labelOnly="1" fieldPosition="0">
        <references count="1">
          <reference field="5" count="1">
            <x v="10"/>
          </reference>
        </references>
      </pivotArea>
    </format>
    <format dxfId="454">
      <pivotArea dataOnly="0" labelOnly="1" fieldPosition="0">
        <references count="1">
          <reference field="5" count="1">
            <x v="1"/>
          </reference>
        </references>
      </pivotArea>
    </format>
    <format dxfId="453">
      <pivotArea dataOnly="0" labelOnly="1" fieldPosition="0">
        <references count="1">
          <reference field="5" count="1">
            <x v="9"/>
          </reference>
        </references>
      </pivotArea>
    </format>
    <format dxfId="452">
      <pivotArea dataOnly="0" labelOnly="1" fieldPosition="0">
        <references count="1">
          <reference field="5" count="1">
            <x v="4"/>
          </reference>
        </references>
      </pivotArea>
    </format>
    <format dxfId="451">
      <pivotArea dataOnly="0" labelOnly="1" fieldPosition="0">
        <references count="1">
          <reference field="5" count="1">
            <x v="0"/>
          </reference>
        </references>
      </pivotArea>
    </format>
    <format dxfId="450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49">
      <pivotArea dataOnly="0" labelOnly="1" fieldPosition="0">
        <references count="1">
          <reference field="5" count="1">
            <x v="2"/>
          </reference>
        </references>
      </pivotArea>
    </format>
    <format dxfId="448">
      <pivotArea dataOnly="0" labelOnly="1" fieldPosition="0">
        <references count="1">
          <reference field="5" count="1">
            <x v="6"/>
          </reference>
        </references>
      </pivotArea>
    </format>
    <format dxfId="447">
      <pivotArea dataOnly="0" labelOnly="1" fieldPosition="0">
        <references count="1">
          <reference field="5" count="1">
            <x v="9"/>
          </reference>
        </references>
      </pivotArea>
    </format>
    <format dxfId="446">
      <pivotArea dataOnly="0" labelOnly="1" fieldPosition="0">
        <references count="1">
          <reference field="5" count="1">
            <x v="4"/>
          </reference>
        </references>
      </pivotArea>
    </format>
    <format dxfId="445">
      <pivotArea dataOnly="0" labelOnly="1" fieldPosition="0">
        <references count="1">
          <reference field="5" count="1">
            <x v="0"/>
          </reference>
        </references>
      </pivotArea>
    </format>
    <format dxfId="444">
      <pivotArea dataOnly="0" labelOnly="1" fieldPosition="0">
        <references count="1">
          <reference field="5" count="1">
            <x v="10"/>
          </reference>
        </references>
      </pivotArea>
    </format>
    <format dxfId="443">
      <pivotArea dataOnly="0" labelOnly="1" fieldPosition="0">
        <references count="1">
          <reference field="5" count="1">
            <x v="3"/>
          </reference>
        </references>
      </pivotArea>
    </format>
    <format dxfId="442">
      <pivotArea dataOnly="0" labelOnly="1" fieldPosition="0">
        <references count="1">
          <reference field="5" count="1">
            <x v="1"/>
          </reference>
        </references>
      </pivotArea>
    </format>
    <format dxfId="441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40">
      <pivotArea dataOnly="0" labelOnly="1" fieldPosition="0">
        <references count="1">
          <reference field="5" count="1">
            <x v="2"/>
          </reference>
        </references>
      </pivotArea>
    </format>
    <format dxfId="439">
      <pivotArea dataOnly="0" labelOnly="1" fieldPosition="0">
        <references count="1">
          <reference field="5" count="1">
            <x v="6"/>
          </reference>
        </references>
      </pivotArea>
    </format>
    <format dxfId="438">
      <pivotArea dataOnly="0" labelOnly="1" fieldPosition="0">
        <references count="1">
          <reference field="5" count="1">
            <x v="3"/>
          </reference>
        </references>
      </pivotArea>
    </format>
    <format dxfId="437">
      <pivotArea dataOnly="0" labelOnly="1" fieldPosition="0">
        <references count="1">
          <reference field="5" count="1">
            <x v="10"/>
          </reference>
        </references>
      </pivotArea>
    </format>
    <format dxfId="436">
      <pivotArea dataOnly="0" labelOnly="1" fieldPosition="0">
        <references count="1">
          <reference field="5" count="1">
            <x v="1"/>
          </reference>
        </references>
      </pivotArea>
    </format>
    <format dxfId="435">
      <pivotArea dataOnly="0" labelOnly="1" fieldPosition="0">
        <references count="1">
          <reference field="5" count="1">
            <x v="9"/>
          </reference>
        </references>
      </pivotArea>
    </format>
    <format dxfId="434">
      <pivotArea dataOnly="0" labelOnly="1" fieldPosition="0">
        <references count="1">
          <reference field="5" count="1">
            <x v="4"/>
          </reference>
        </references>
      </pivotArea>
    </format>
    <format dxfId="433">
      <pivotArea dataOnly="0" labelOnly="1" fieldPosition="0">
        <references count="1">
          <reference field="5" count="1">
            <x v="0"/>
          </reference>
        </references>
      </pivotArea>
    </format>
    <format dxfId="432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31">
      <pivotArea dataOnly="0" labelOnly="1" fieldPosition="0">
        <references count="1">
          <reference field="5" count="1">
            <x v="2"/>
          </reference>
        </references>
      </pivotArea>
    </format>
    <format dxfId="430">
      <pivotArea dataOnly="0" labelOnly="1" fieldPosition="0">
        <references count="1">
          <reference field="5" count="1">
            <x v="6"/>
          </reference>
        </references>
      </pivotArea>
    </format>
    <format dxfId="429">
      <pivotArea dataOnly="0" labelOnly="1" fieldPosition="0">
        <references count="1">
          <reference field="5" count="1">
            <x v="1"/>
          </reference>
        </references>
      </pivotArea>
    </format>
    <format dxfId="428">
      <pivotArea dataOnly="0" labelOnly="1" fieldPosition="0">
        <references count="1">
          <reference field="5" count="1">
            <x v="9"/>
          </reference>
        </references>
      </pivotArea>
    </format>
    <format dxfId="427">
      <pivotArea dataOnly="0" labelOnly="1" fieldPosition="0">
        <references count="1">
          <reference field="5" count="1">
            <x v="4"/>
          </reference>
        </references>
      </pivotArea>
    </format>
    <format dxfId="426">
      <pivotArea dataOnly="0" labelOnly="1" fieldPosition="0">
        <references count="1">
          <reference field="5" count="1">
            <x v="0"/>
          </reference>
        </references>
      </pivotArea>
    </format>
    <format dxfId="425">
      <pivotArea dataOnly="0" labelOnly="1" fieldPosition="0">
        <references count="1">
          <reference field="5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24">
      <pivotArea dataOnly="0" labelOnly="1" fieldPosition="0">
        <references count="1">
          <reference field="5" count="1">
            <x v="2"/>
          </reference>
        </references>
      </pivotArea>
    </format>
    <format dxfId="423">
      <pivotArea dataOnly="0" labelOnly="1" fieldPosition="0">
        <references count="1">
          <reference field="5" count="1">
            <x v="6"/>
          </reference>
        </references>
      </pivotArea>
    </format>
    <format dxfId="422">
      <pivotArea dataOnly="0" labelOnly="1" fieldPosition="0">
        <references count="1">
          <reference field="5" count="1">
            <x v="3"/>
          </reference>
        </references>
      </pivotArea>
    </format>
    <format dxfId="421">
      <pivotArea dataOnly="0" labelOnly="1" fieldPosition="0">
        <references count="1">
          <reference field="5" count="1">
            <x v="10"/>
          </reference>
        </references>
      </pivotArea>
    </format>
    <format dxfId="420">
      <pivotArea dataOnly="0" labelOnly="1" fieldPosition="0">
        <references count="1">
          <reference field="5" count="1">
            <x v="1"/>
          </reference>
        </references>
      </pivotArea>
    </format>
    <format dxfId="419">
      <pivotArea dataOnly="0" labelOnly="1" fieldPosition="0">
        <references count="1">
          <reference field="5" count="1">
            <x v="9"/>
          </reference>
        </references>
      </pivotArea>
    </format>
    <format dxfId="418">
      <pivotArea dataOnly="0" labelOnly="1" fieldPosition="0">
        <references count="1">
          <reference field="5" count="1">
            <x v="4"/>
          </reference>
        </references>
      </pivotArea>
    </format>
    <format dxfId="417">
      <pivotArea dataOnly="0" labelOnly="1" fieldPosition="0">
        <references count="1">
          <reference field="5" count="1">
            <x v="0"/>
          </reference>
        </references>
      </pivotArea>
    </format>
    <format dxfId="416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15">
      <pivotArea dataOnly="0" labelOnly="1" fieldPosition="0">
        <references count="1">
          <reference field="5" count="1">
            <x v="2"/>
          </reference>
        </references>
      </pivotArea>
    </format>
    <format dxfId="414">
      <pivotArea dataOnly="0" labelOnly="1" fieldPosition="0">
        <references count="1">
          <reference field="5" count="1">
            <x v="6"/>
          </reference>
        </references>
      </pivotArea>
    </format>
    <format dxfId="413">
      <pivotArea dataOnly="0" labelOnly="1" fieldPosition="0">
        <references count="1">
          <reference field="5" count="1">
            <x v="10"/>
          </reference>
        </references>
      </pivotArea>
    </format>
    <format dxfId="412">
      <pivotArea dataOnly="0" labelOnly="1" fieldPosition="0">
        <references count="1">
          <reference field="5" count="1">
            <x v="3"/>
          </reference>
        </references>
      </pivotArea>
    </format>
    <format dxfId="411">
      <pivotArea dataOnly="0" labelOnly="1" fieldPosition="0">
        <references count="1">
          <reference field="5" count="1">
            <x v="1"/>
          </reference>
        </references>
      </pivotArea>
    </format>
    <format dxfId="410">
      <pivotArea dataOnly="0" labelOnly="1" fieldPosition="0">
        <references count="1">
          <reference field="5" count="1">
            <x v="9"/>
          </reference>
        </references>
      </pivotArea>
    </format>
    <format dxfId="409">
      <pivotArea dataOnly="0" labelOnly="1" fieldPosition="0">
        <references count="1">
          <reference field="5" count="1">
            <x v="4"/>
          </reference>
        </references>
      </pivotArea>
    </format>
    <format dxfId="408">
      <pivotArea dataOnly="0" labelOnly="1" fieldPosition="0">
        <references count="1">
          <reference field="5" count="1">
            <x v="0"/>
          </reference>
        </references>
      </pivotArea>
    </format>
    <format dxfId="407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06">
      <pivotArea dataOnly="0" labelOnly="1" fieldPosition="0">
        <references count="1">
          <reference field="5" count="1">
            <x v="2"/>
          </reference>
        </references>
      </pivotArea>
    </format>
    <format dxfId="405">
      <pivotArea dataOnly="0" labelOnly="1" fieldPosition="0">
        <references count="1">
          <reference field="5" count="1">
            <x v="6"/>
          </reference>
        </references>
      </pivotArea>
    </format>
    <format dxfId="404">
      <pivotArea dataOnly="0" labelOnly="1" fieldPosition="0">
        <references count="1">
          <reference field="5" count="1">
            <x v="3"/>
          </reference>
        </references>
      </pivotArea>
    </format>
    <format dxfId="403">
      <pivotArea dataOnly="0" labelOnly="1" fieldPosition="0">
        <references count="1">
          <reference field="5" count="1">
            <x v="10"/>
          </reference>
        </references>
      </pivotArea>
    </format>
    <format dxfId="402">
      <pivotArea dataOnly="0" labelOnly="1" fieldPosition="0">
        <references count="1">
          <reference field="5" count="1">
            <x v="1"/>
          </reference>
        </references>
      </pivotArea>
    </format>
    <format dxfId="401">
      <pivotArea dataOnly="0" labelOnly="1" fieldPosition="0">
        <references count="1">
          <reference field="5" count="1">
            <x v="9"/>
          </reference>
        </references>
      </pivotArea>
    </format>
    <format dxfId="400">
      <pivotArea dataOnly="0" labelOnly="1" fieldPosition="0">
        <references count="1">
          <reference field="5" count="1">
            <x v="0"/>
          </reference>
        </references>
      </pivotArea>
    </format>
    <format dxfId="399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98">
      <pivotArea dataOnly="0" labelOnly="1" fieldPosition="0">
        <references count="1">
          <reference field="5" count="1">
            <x v="2"/>
          </reference>
        </references>
      </pivotArea>
    </format>
    <format dxfId="397">
      <pivotArea dataOnly="0" labelOnly="1" fieldPosition="0">
        <references count="1">
          <reference field="5" count="1">
            <x v="6"/>
          </reference>
        </references>
      </pivotArea>
    </format>
    <format dxfId="396">
      <pivotArea dataOnly="0" labelOnly="1" fieldPosition="0">
        <references count="1">
          <reference field="5" count="1">
            <x v="3"/>
          </reference>
        </references>
      </pivotArea>
    </format>
    <format dxfId="395">
      <pivotArea dataOnly="0" labelOnly="1" fieldPosition="0">
        <references count="1">
          <reference field="5" count="1">
            <x v="10"/>
          </reference>
        </references>
      </pivotArea>
    </format>
    <format dxfId="394">
      <pivotArea dataOnly="0" labelOnly="1" fieldPosition="0">
        <references count="1">
          <reference field="5" count="1">
            <x v="1"/>
          </reference>
        </references>
      </pivotArea>
    </format>
    <format dxfId="393">
      <pivotArea dataOnly="0" labelOnly="1" fieldPosition="0">
        <references count="1">
          <reference field="5" count="1">
            <x v="9"/>
          </reference>
        </references>
      </pivotArea>
    </format>
    <format dxfId="392">
      <pivotArea dataOnly="0" labelOnly="1" fieldPosition="0">
        <references count="1">
          <reference field="5" count="1">
            <x v="4"/>
          </reference>
        </references>
      </pivotArea>
    </format>
    <format dxfId="391">
      <pivotArea dataOnly="0" labelOnly="1" fieldPosition="0">
        <references count="1">
          <reference field="5" count="1">
            <x v="0"/>
          </reference>
        </references>
      </pivotArea>
    </format>
    <format dxfId="390">
      <pivotArea dataOnly="0" labelOnly="1" fieldPosition="0">
        <references count="1">
          <reference field="5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89">
      <pivotArea collapsedLevelsAreSubtotals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388">
      <pivotArea collapsedLevelsAreSubtotals="1" fieldPosition="0">
        <references count="2">
          <reference field="3" count="1" selected="0">
            <x v="0"/>
          </reference>
          <reference field="5" count="1">
            <x v="6"/>
          </reference>
        </references>
      </pivotArea>
    </format>
    <format dxfId="387">
      <pivotArea collapsedLevelsAreSubtotals="1" fieldPosition="0">
        <references count="2">
          <reference field="3" count="1" selected="0">
            <x v="0"/>
          </reference>
          <reference field="5" count="1">
            <x v="3"/>
          </reference>
        </references>
      </pivotArea>
    </format>
    <format dxfId="386">
      <pivotArea collapsedLevelsAreSubtotals="1" fieldPosition="0">
        <references count="2">
          <reference field="3" count="1" selected="0">
            <x v="0"/>
          </reference>
          <reference field="5" count="1">
            <x v="10"/>
          </reference>
        </references>
      </pivotArea>
    </format>
    <format dxfId="385">
      <pivotArea collapsedLevelsAreSubtotals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384">
      <pivotArea collapsedLevelsAreSubtotals="1" fieldPosition="0">
        <references count="2">
          <reference field="3" count="1" selected="0">
            <x v="0"/>
          </reference>
          <reference field="5" count="1">
            <x v="9"/>
          </reference>
        </references>
      </pivotArea>
    </format>
    <format dxfId="383">
      <pivotArea collapsedLevelsAreSubtotals="1" fieldPosition="0">
        <references count="2">
          <reference field="3" count="1" selected="0">
            <x v="0"/>
          </reference>
          <reference field="5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82">
      <pivotArea collapsedLevelsAreSubtotals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381">
      <pivotArea collapsedLevelsAreSubtotals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380">
      <pivotArea collapsedLevelsAreSubtotals="1" fieldPosition="0">
        <references count="2">
          <reference field="3" count="1" selected="0">
            <x v="0"/>
          </reference>
          <reference field="5" count="1">
            <x v="6"/>
          </reference>
        </references>
      </pivotArea>
    </format>
    <format dxfId="379">
      <pivotArea collapsedLevelsAreSubtotals="1" fieldPosition="0">
        <references count="2">
          <reference field="3" count="1" selected="0">
            <x v="0"/>
          </reference>
          <reference field="5" count="1">
            <x v="3"/>
          </reference>
        </references>
      </pivotArea>
    </format>
    <format dxfId="378">
      <pivotArea collapsedLevelsAreSubtotals="1" fieldPosition="0">
        <references count="2">
          <reference field="3" count="1" selected="0">
            <x v="0"/>
          </reference>
          <reference field="5" count="1">
            <x v="10"/>
          </reference>
        </references>
      </pivotArea>
    </format>
    <format dxfId="377">
      <pivotArea collapsedLevelsAreSubtotals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376">
      <pivotArea collapsedLevelsAreSubtotals="1" fieldPosition="0">
        <references count="2">
          <reference field="3" count="1" selected="0">
            <x v="1"/>
          </reference>
          <reference field="5" count="1">
            <x v="4"/>
          </reference>
        </references>
      </pivotArea>
    </format>
    <format dxfId="375">
      <pivotArea collapsedLevelsAreSubtotals="1" fieldPosition="0">
        <references count="2">
          <reference field="3" count="1" selected="0">
            <x v="1"/>
          </reference>
          <reference field="5" count="1">
            <x v="0"/>
          </reference>
        </references>
      </pivotArea>
    </format>
    <format dxfId="374">
      <pivotArea collapsedLevelsAreSubtotals="1" fieldPosition="0">
        <references count="2">
          <reference field="3" count="2" selected="0">
            <x v="0"/>
            <x v="1"/>
          </reference>
          <reference field="5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373">
      <pivotArea collapsedLevelsAreSubtotals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372">
      <pivotArea dataOnly="0" labelOnly="1" fieldPosition="0">
        <references count="1">
          <reference field="5" count="1">
            <x v="2"/>
          </reference>
        </references>
      </pivotArea>
    </format>
    <format dxfId="371">
      <pivotArea collapsedLevelsAreSubtotals="1" fieldPosition="0">
        <references count="2">
          <reference field="3" count="1" selected="0">
            <x v="0"/>
          </reference>
          <reference field="5" count="1">
            <x v="6"/>
          </reference>
        </references>
      </pivotArea>
    </format>
    <format dxfId="370">
      <pivotArea dataOnly="0" labelOnly="1" fieldPosition="0">
        <references count="1">
          <reference field="5" count="1">
            <x v="6"/>
          </reference>
        </references>
      </pivotArea>
    </format>
    <format dxfId="369">
      <pivotArea collapsedLevelsAreSubtotals="1" fieldPosition="0">
        <references count="2">
          <reference field="3" count="1" selected="0">
            <x v="0"/>
          </reference>
          <reference field="5" count="1">
            <x v="10"/>
          </reference>
        </references>
      </pivotArea>
    </format>
    <format dxfId="368">
      <pivotArea dataOnly="0" labelOnly="1" fieldPosition="0">
        <references count="1">
          <reference field="5" count="1">
            <x v="10"/>
          </reference>
        </references>
      </pivotArea>
    </format>
    <format dxfId="367">
      <pivotArea collapsedLevelsAreSubtotals="1" fieldPosition="0">
        <references count="2">
          <reference field="3" count="1" selected="0">
            <x v="0"/>
          </reference>
          <reference field="5" count="1">
            <x v="3"/>
          </reference>
        </references>
      </pivotArea>
    </format>
    <format dxfId="366">
      <pivotArea dataOnly="0" labelOnly="1" fieldPosition="0">
        <references count="1">
          <reference field="5" count="1">
            <x v="3"/>
          </reference>
        </references>
      </pivotArea>
    </format>
    <format dxfId="365">
      <pivotArea collapsedLevelsAreSubtotals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364">
      <pivotArea dataOnly="0" labelOnly="1" fieldPosition="0">
        <references count="1">
          <reference field="5" count="1">
            <x v="1"/>
          </reference>
        </references>
      </pivotArea>
    </format>
    <format dxfId="363">
      <pivotArea collapsedLevelsAreSubtotals="1" fieldPosition="0">
        <references count="2">
          <reference field="3" count="1" selected="0">
            <x v="0"/>
          </reference>
          <reference field="5" count="1">
            <x v="9"/>
          </reference>
        </references>
      </pivotArea>
    </format>
    <format dxfId="362">
      <pivotArea dataOnly="0" labelOnly="1" fieldPosition="0">
        <references count="1">
          <reference field="5" count="1">
            <x v="9"/>
          </reference>
        </references>
      </pivotArea>
    </format>
    <format dxfId="361">
      <pivotArea collapsedLevelsAreSubtotals="1" fieldPosition="0">
        <references count="2">
          <reference field="3" count="2" selected="0">
            <x v="0"/>
            <x v="1"/>
          </reference>
          <reference field="5" count="1">
            <x v="4"/>
          </reference>
        </references>
      </pivotArea>
    </format>
    <format dxfId="360">
      <pivotArea dataOnly="0" labelOnly="1" fieldPosition="0">
        <references count="1">
          <reference field="5" count="1">
            <x v="4"/>
          </reference>
        </references>
      </pivotArea>
    </format>
    <format dxfId="359">
      <pivotArea collapsedLevelsAreSubtotals="1" fieldPosition="0">
        <references count="2">
          <reference field="3" count="2" selected="0">
            <x v="0"/>
            <x v="1"/>
          </reference>
          <reference field="5" count="1">
            <x v="0"/>
          </reference>
        </references>
      </pivotArea>
    </format>
    <format dxfId="358">
      <pivotArea dataOnly="0" labelOnly="1" fieldPosition="0">
        <references count="1">
          <reference field="5" count="1">
            <x v="0"/>
          </reference>
        </references>
      </pivotArea>
    </format>
    <format dxfId="180">
      <pivotArea collapsedLevelsAreSubtotals="1" fieldPosition="0">
        <references count="2">
          <reference field="3" count="2" selected="0">
            <x v="0"/>
            <x v="1"/>
          </reference>
          <reference field="5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179">
      <pivotArea dataOnly="0" labelOnly="1" fieldPosition="0">
        <references count="1">
          <reference field="5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static.government.ru/media/files/WqduZlYo4645YP7BAKRdxaUADiAo4G6c.pdf" TargetMode="External"/><Relationship Id="rId2" Type="http://schemas.openxmlformats.org/officeDocument/2006/relationships/hyperlink" Target="https://docs.cntd.ru/document/1304820438" TargetMode="External"/><Relationship Id="rId1" Type="http://schemas.openxmlformats.org/officeDocument/2006/relationships/hyperlink" Target="https://neftegaz.ru/news/Gazohimija/816850-kompleks-po-pererabotke-gaza-v-ust-luge-poluchit-finansirovanie-fnb/" TargetMode="External"/><Relationship Id="rId4" Type="http://schemas.openxmlformats.org/officeDocument/2006/relationships/hyperlink" Target="http://static.government.ru/media/files/ab6RAZqNooMrdUAj8ts9WbO8y74PoTCo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B89"/>
  <sheetViews>
    <sheetView tabSelected="1" zoomScale="55" zoomScaleNormal="55" workbookViewId="0">
      <pane xSplit="2" ySplit="1" topLeftCell="AH23" activePane="bottomRight" state="frozen"/>
      <selection pane="topRight" activeCell="C1" sqref="C1"/>
      <selection pane="bottomLeft" activeCell="A2" sqref="A2"/>
      <selection pane="bottomRight" activeCell="AI41" sqref="AI41"/>
    </sheetView>
  </sheetViews>
  <sheetFormatPr defaultRowHeight="14.5" x14ac:dyDescent="0.35"/>
  <cols>
    <col min="1" max="1" width="14.1796875" customWidth="1"/>
    <col min="2" max="2" width="97.90625" customWidth="1"/>
    <col min="3" max="7" width="12.453125" customWidth="1"/>
    <col min="8" max="11" width="12.08984375" customWidth="1"/>
    <col min="12" max="12" width="11.36328125" style="6" bestFit="1" customWidth="1"/>
    <col min="13" max="14" width="11.36328125" style="6" customWidth="1"/>
    <col min="15" max="16" width="11.7265625" customWidth="1"/>
    <col min="17" max="18" width="11.453125" bestFit="1" customWidth="1"/>
    <col min="19" max="47" width="11.453125" customWidth="1"/>
    <col min="48" max="48" width="12.1796875" bestFit="1" customWidth="1"/>
    <col min="49" max="49" width="16.81640625" bestFit="1" customWidth="1"/>
    <col min="50" max="50" width="15.81640625" bestFit="1" customWidth="1"/>
  </cols>
  <sheetData>
    <row r="1" spans="1:80" x14ac:dyDescent="0.35">
      <c r="A1" s="7" t="s">
        <v>33</v>
      </c>
      <c r="B1" s="7" t="s">
        <v>34</v>
      </c>
      <c r="C1" s="7" t="s">
        <v>61</v>
      </c>
      <c r="D1" s="7" t="s">
        <v>62</v>
      </c>
      <c r="E1" s="7" t="s">
        <v>63</v>
      </c>
      <c r="F1" s="7" t="s">
        <v>52</v>
      </c>
      <c r="G1" s="7" t="s">
        <v>0</v>
      </c>
      <c r="H1" s="7" t="s">
        <v>28</v>
      </c>
      <c r="I1" s="7" t="s">
        <v>51</v>
      </c>
      <c r="J1" s="7" t="s">
        <v>50</v>
      </c>
      <c r="K1" s="7" t="s">
        <v>49</v>
      </c>
      <c r="L1" s="7" t="s">
        <v>29</v>
      </c>
      <c r="M1" s="7" t="s">
        <v>48</v>
      </c>
      <c r="N1" s="7" t="s">
        <v>47</v>
      </c>
      <c r="O1" s="7" t="s">
        <v>46</v>
      </c>
      <c r="P1" s="7" t="s">
        <v>127</v>
      </c>
      <c r="Q1" s="7" t="s">
        <v>146</v>
      </c>
      <c r="R1" s="7" t="s">
        <v>183</v>
      </c>
      <c r="S1" s="7" t="s">
        <v>185</v>
      </c>
      <c r="T1" s="7" t="s">
        <v>186</v>
      </c>
      <c r="U1" s="7" t="s">
        <v>187</v>
      </c>
      <c r="V1" s="7" t="s">
        <v>188</v>
      </c>
      <c r="W1" s="7" t="s">
        <v>203</v>
      </c>
      <c r="X1" s="7" t="s">
        <v>204</v>
      </c>
      <c r="Y1" s="7" t="s">
        <v>207</v>
      </c>
      <c r="Z1" s="7" t="s">
        <v>214</v>
      </c>
      <c r="AA1" s="7" t="s">
        <v>215</v>
      </c>
      <c r="AB1" s="7" t="s">
        <v>216</v>
      </c>
      <c r="AC1" s="7" t="s">
        <v>217</v>
      </c>
      <c r="AD1" s="7" t="s">
        <v>219</v>
      </c>
      <c r="AE1" s="7" t="s">
        <v>227</v>
      </c>
      <c r="AF1" s="7" t="s">
        <v>230</v>
      </c>
      <c r="AG1" s="7" t="s">
        <v>235</v>
      </c>
      <c r="AH1" s="7" t="s">
        <v>236</v>
      </c>
      <c r="AI1" s="7" t="s">
        <v>240</v>
      </c>
      <c r="AJ1" s="7" t="s">
        <v>245</v>
      </c>
      <c r="AK1" s="7" t="s">
        <v>246</v>
      </c>
      <c r="AL1" s="7" t="s">
        <v>248</v>
      </c>
      <c r="AM1" s="7" t="s">
        <v>425</v>
      </c>
      <c r="AN1" s="7" t="s">
        <v>428</v>
      </c>
      <c r="AO1" s="7" t="s">
        <v>431</v>
      </c>
      <c r="AP1" s="7" t="s">
        <v>436</v>
      </c>
      <c r="AQ1" s="7" t="s">
        <v>450</v>
      </c>
      <c r="AR1" s="7" t="s">
        <v>451</v>
      </c>
      <c r="AS1" s="7" t="s">
        <v>458</v>
      </c>
      <c r="AT1" s="7" t="s">
        <v>460</v>
      </c>
      <c r="AU1" s="7" t="s">
        <v>461</v>
      </c>
      <c r="AV1" s="7" t="s">
        <v>226</v>
      </c>
      <c r="AW1" s="7" t="s">
        <v>225</v>
      </c>
    </row>
    <row r="2" spans="1:80" x14ac:dyDescent="0.35">
      <c r="A2" t="s">
        <v>5</v>
      </c>
      <c r="B2" t="s">
        <v>1</v>
      </c>
      <c r="C2" s="1">
        <v>49188.800000000003</v>
      </c>
      <c r="D2" s="1">
        <v>45733.5</v>
      </c>
      <c r="E2" s="1">
        <v>41891.699999999997</v>
      </c>
      <c r="F2" s="1">
        <v>10464.5</v>
      </c>
      <c r="G2" s="1">
        <v>10464.5</v>
      </c>
      <c r="H2" s="1">
        <v>10464.5</v>
      </c>
      <c r="I2" s="1">
        <v>10398.799999999999</v>
      </c>
      <c r="J2" s="1">
        <v>9233.6</v>
      </c>
      <c r="K2" s="1">
        <v>9054.6</v>
      </c>
      <c r="L2" s="5">
        <v>7278.7</v>
      </c>
      <c r="M2" s="5">
        <v>7278.7</v>
      </c>
      <c r="N2" s="5">
        <v>5224.6000000000004</v>
      </c>
      <c r="O2" s="1">
        <v>4070.6</v>
      </c>
      <c r="P2" s="1">
        <v>3666.6</v>
      </c>
      <c r="Q2" s="1">
        <v>3268.8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7">
        <f>AU2-AT2</f>
        <v>0</v>
      </c>
      <c r="AW2" s="17">
        <f>AU2-AI2</f>
        <v>0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x14ac:dyDescent="0.35">
      <c r="A3" t="s">
        <v>5</v>
      </c>
      <c r="B3" t="s">
        <v>59</v>
      </c>
      <c r="C3" s="1">
        <v>5313.3</v>
      </c>
      <c r="D3" s="1">
        <v>4938.3</v>
      </c>
      <c r="E3" s="1">
        <v>2769.6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7">
        <f t="shared" ref="AV3:AV62" si="0">AU3-AT3</f>
        <v>0</v>
      </c>
      <c r="AW3" s="17">
        <f t="shared" ref="AW3:AW62" si="1">AU3-AI3</f>
        <v>0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 x14ac:dyDescent="0.35">
      <c r="A4" t="s">
        <v>5</v>
      </c>
      <c r="B4" t="s">
        <v>60</v>
      </c>
      <c r="C4" s="1">
        <v>768257.7</v>
      </c>
      <c r="D4" s="1">
        <v>692698.4</v>
      </c>
      <c r="E4" s="1">
        <v>478478.3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7">
        <f t="shared" si="0"/>
        <v>0</v>
      </c>
      <c r="AW4" s="17">
        <f t="shared" si="1"/>
        <v>0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x14ac:dyDescent="0.35">
      <c r="A5" t="s">
        <v>5</v>
      </c>
      <c r="B5" t="s">
        <v>2</v>
      </c>
      <c r="C5" s="1">
        <v>309720.09999999998</v>
      </c>
      <c r="D5" s="1">
        <v>309720.09999999998</v>
      </c>
      <c r="E5" s="1">
        <v>309720.09999999998</v>
      </c>
      <c r="F5" s="1">
        <v>309720.09999999998</v>
      </c>
      <c r="G5" s="1">
        <v>307445.90000000002</v>
      </c>
      <c r="H5" s="1">
        <v>300067.90000000002</v>
      </c>
      <c r="I5" s="1">
        <v>292588.79999999999</v>
      </c>
      <c r="J5" s="1">
        <v>288330.09999999998</v>
      </c>
      <c r="K5" s="1">
        <v>285736.09999999998</v>
      </c>
      <c r="L5" s="5">
        <v>282284.2</v>
      </c>
      <c r="M5" s="5">
        <v>280158.90000000002</v>
      </c>
      <c r="N5" s="5">
        <v>279773.7</v>
      </c>
      <c r="O5" s="1">
        <v>279773.7</v>
      </c>
      <c r="P5" s="1">
        <v>279773.7</v>
      </c>
      <c r="Q5" s="1">
        <v>279773.7</v>
      </c>
      <c r="R5" s="1">
        <v>227330.7</v>
      </c>
      <c r="S5" s="1">
        <v>227517.1</v>
      </c>
      <c r="T5" s="1">
        <v>227517.1</v>
      </c>
      <c r="U5" s="1">
        <v>227615.8</v>
      </c>
      <c r="V5" s="1">
        <v>227615.8</v>
      </c>
      <c r="W5" s="1">
        <v>227615.8</v>
      </c>
      <c r="X5" s="1">
        <v>229532.6</v>
      </c>
      <c r="Y5" s="1">
        <v>226532.6</v>
      </c>
      <c r="Z5" s="1">
        <v>223782.6</v>
      </c>
      <c r="AA5" s="1">
        <v>221782.6</v>
      </c>
      <c r="AB5" s="1">
        <v>220532.6</v>
      </c>
      <c r="AC5" s="1">
        <v>219532.6</v>
      </c>
      <c r="AD5" s="1">
        <v>164044.20000000001</v>
      </c>
      <c r="AE5" s="1">
        <v>164255.79999999999</v>
      </c>
      <c r="AF5" s="1">
        <v>164285.9</v>
      </c>
      <c r="AG5" s="1">
        <v>164387.6</v>
      </c>
      <c r="AH5" s="1">
        <v>164597.20000000001</v>
      </c>
      <c r="AI5" s="1">
        <v>153698.1</v>
      </c>
      <c r="AJ5" s="1">
        <v>214820.7</v>
      </c>
      <c r="AK5" s="1">
        <v>210208.6</v>
      </c>
      <c r="AL5" s="1">
        <v>209152</v>
      </c>
      <c r="AM5" s="1">
        <v>209152</v>
      </c>
      <c r="AN5" s="1">
        <f>AM5</f>
        <v>209152</v>
      </c>
      <c r="AO5" s="1">
        <f>AN5</f>
        <v>209152</v>
      </c>
      <c r="AP5" s="1">
        <f>AO5</f>
        <v>209152</v>
      </c>
      <c r="AQ5" s="1">
        <v>201065.7</v>
      </c>
      <c r="AR5" s="1">
        <v>188087.1</v>
      </c>
      <c r="AS5" s="1">
        <v>185210.6</v>
      </c>
      <c r="AT5" s="1">
        <v>185210.6</v>
      </c>
      <c r="AU5" s="1">
        <v>185546.9</v>
      </c>
      <c r="AV5" s="17">
        <f t="shared" si="0"/>
        <v>336.29999999998836</v>
      </c>
      <c r="AW5" s="17">
        <f t="shared" si="1"/>
        <v>31848.799999999988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 x14ac:dyDescent="0.35">
      <c r="A6" t="s">
        <v>5</v>
      </c>
      <c r="B6" t="s">
        <v>3</v>
      </c>
      <c r="C6" s="1">
        <v>554910.5</v>
      </c>
      <c r="D6" s="1">
        <v>554910.5</v>
      </c>
      <c r="E6" s="1">
        <v>554910.5</v>
      </c>
      <c r="F6" s="1">
        <v>554910.5</v>
      </c>
      <c r="G6" s="1">
        <v>551277.5</v>
      </c>
      <c r="H6" s="1">
        <v>539245.1</v>
      </c>
      <c r="I6" s="1">
        <v>527382.30000000005</v>
      </c>
      <c r="J6" s="1">
        <v>520974</v>
      </c>
      <c r="K6" s="1">
        <v>517114.1</v>
      </c>
      <c r="L6" s="5">
        <v>511986.9</v>
      </c>
      <c r="M6" s="5">
        <v>508835.4</v>
      </c>
      <c r="N6" s="5">
        <v>508265.3</v>
      </c>
      <c r="O6" s="1">
        <v>508265.3</v>
      </c>
      <c r="P6" s="1">
        <v>508265.3</v>
      </c>
      <c r="Q6" s="1">
        <v>508265.3</v>
      </c>
      <c r="R6" s="1">
        <v>358960.6</v>
      </c>
      <c r="S6" s="1">
        <v>358960.6</v>
      </c>
      <c r="T6" s="1">
        <v>358014.6</v>
      </c>
      <c r="U6" s="1">
        <v>334863.2</v>
      </c>
      <c r="V6" s="1">
        <v>334367.3</v>
      </c>
      <c r="W6" s="1">
        <v>329705.3</v>
      </c>
      <c r="X6" s="1">
        <v>303578.59999999998</v>
      </c>
      <c r="Y6" s="1">
        <v>298840.40000000002</v>
      </c>
      <c r="Z6" s="1">
        <v>293188.59999999998</v>
      </c>
      <c r="AA6" s="1">
        <v>292494.09999999998</v>
      </c>
      <c r="AB6" s="1">
        <v>283575.3</v>
      </c>
      <c r="AC6" s="1">
        <v>279562.59999999998</v>
      </c>
      <c r="AD6" s="1">
        <v>187749.1</v>
      </c>
      <c r="AE6" s="1">
        <v>178996</v>
      </c>
      <c r="AF6" s="1">
        <v>174626.7</v>
      </c>
      <c r="AG6" s="1">
        <v>168271.4</v>
      </c>
      <c r="AH6" s="1">
        <v>168061.1</v>
      </c>
      <c r="AI6" s="1">
        <v>139509.1</v>
      </c>
      <c r="AJ6" s="1">
        <v>211953.9</v>
      </c>
      <c r="AK6" s="1">
        <v>179097.4</v>
      </c>
      <c r="AL6" s="1">
        <v>178260.9</v>
      </c>
      <c r="AM6" s="1">
        <v>173109.6</v>
      </c>
      <c r="AN6" s="1">
        <v>173102.6</v>
      </c>
      <c r="AO6" s="1">
        <v>173039.4</v>
      </c>
      <c r="AP6" s="1">
        <v>160241.20000000001</v>
      </c>
      <c r="AQ6" s="1">
        <v>155093.70000000001</v>
      </c>
      <c r="AR6" s="1">
        <v>147197.20000000001</v>
      </c>
      <c r="AS6" s="1">
        <v>145348.4</v>
      </c>
      <c r="AT6" s="1">
        <v>145180.1</v>
      </c>
      <c r="AU6" s="1">
        <v>145180.1</v>
      </c>
      <c r="AV6" s="17">
        <f t="shared" si="0"/>
        <v>0</v>
      </c>
      <c r="AW6" s="17">
        <f t="shared" si="1"/>
        <v>5671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 x14ac:dyDescent="0.35">
      <c r="A7" t="s">
        <v>5</v>
      </c>
      <c r="B7" t="s">
        <v>4</v>
      </c>
      <c r="C7" s="1">
        <v>264.3</v>
      </c>
      <c r="D7" s="1">
        <v>526.70000000000005</v>
      </c>
      <c r="E7" s="1">
        <v>242.7</v>
      </c>
      <c r="F7" s="1">
        <v>274.8</v>
      </c>
      <c r="G7" s="1">
        <v>530.1</v>
      </c>
      <c r="H7" s="1">
        <v>6124</v>
      </c>
      <c r="I7" s="1">
        <v>140.69999999999999</v>
      </c>
      <c r="J7" s="1">
        <v>232.8</v>
      </c>
      <c r="K7" s="1">
        <v>228</v>
      </c>
      <c r="L7" s="5">
        <v>400.4</v>
      </c>
      <c r="M7" s="5">
        <v>5490.5</v>
      </c>
      <c r="N7" s="5">
        <v>6775.9</v>
      </c>
      <c r="O7" s="1">
        <v>395.9</v>
      </c>
      <c r="P7" s="1">
        <v>261.8</v>
      </c>
      <c r="Q7" s="1">
        <v>1187.5999999999999</v>
      </c>
      <c r="R7" s="1">
        <v>1514</v>
      </c>
      <c r="S7" s="1">
        <v>294.8</v>
      </c>
      <c r="T7" s="1">
        <v>1241</v>
      </c>
      <c r="U7" s="1">
        <v>1650.1</v>
      </c>
      <c r="V7" s="1">
        <v>299.7</v>
      </c>
      <c r="W7" s="1">
        <v>1252</v>
      </c>
      <c r="X7" s="1">
        <v>1676</v>
      </c>
      <c r="Y7" s="1">
        <v>368.5</v>
      </c>
      <c r="Z7" s="1">
        <v>1261.9000000000001</v>
      </c>
      <c r="AA7" s="1">
        <v>1612.3</v>
      </c>
      <c r="AB7" s="1">
        <v>410.2</v>
      </c>
      <c r="AC7" s="1">
        <v>1429.9</v>
      </c>
      <c r="AD7" s="1">
        <v>1630.9</v>
      </c>
      <c r="AE7" s="1">
        <v>0</v>
      </c>
      <c r="AF7" s="1">
        <v>1249.5999999999999</v>
      </c>
      <c r="AG7" s="1">
        <v>1671.6</v>
      </c>
      <c r="AH7" s="1">
        <v>397.6</v>
      </c>
      <c r="AI7" s="1">
        <v>1271.3</v>
      </c>
      <c r="AJ7" s="1">
        <v>2525.5</v>
      </c>
      <c r="AK7" s="1">
        <v>419.6</v>
      </c>
      <c r="AL7" s="1">
        <v>1267.4000000000001</v>
      </c>
      <c r="AM7" s="1">
        <v>473.7</v>
      </c>
      <c r="AN7" s="1">
        <v>0</v>
      </c>
      <c r="AO7" s="1">
        <v>1734.4</v>
      </c>
      <c r="AP7" s="1">
        <v>3123</v>
      </c>
      <c r="AQ7" s="1">
        <v>0</v>
      </c>
      <c r="AR7" s="1">
        <v>1295.9000000000001</v>
      </c>
      <c r="AS7" s="1">
        <v>2936.3</v>
      </c>
      <c r="AT7" s="1">
        <v>1320.8</v>
      </c>
      <c r="AU7" s="1">
        <v>1534</v>
      </c>
      <c r="AV7" s="17">
        <f t="shared" si="0"/>
        <v>213.20000000000005</v>
      </c>
      <c r="AW7" s="17">
        <f t="shared" si="1"/>
        <v>262.70000000000005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 x14ac:dyDescent="0.35">
      <c r="A8" t="s">
        <v>24</v>
      </c>
      <c r="B8" t="s">
        <v>118</v>
      </c>
      <c r="C8" s="1"/>
      <c r="D8" s="1"/>
      <c r="E8" s="1"/>
      <c r="F8" s="1"/>
      <c r="G8" s="1">
        <v>50000</v>
      </c>
      <c r="H8" s="1"/>
      <c r="I8" s="1"/>
      <c r="J8" s="1"/>
      <c r="K8" s="1"/>
      <c r="L8" s="5">
        <v>50000</v>
      </c>
      <c r="M8" s="5">
        <v>50000</v>
      </c>
      <c r="N8" s="5">
        <v>50000</v>
      </c>
      <c r="O8" s="1">
        <v>50000</v>
      </c>
      <c r="P8" s="1">
        <f t="shared" ref="P8:P13" si="2">O8</f>
        <v>50000</v>
      </c>
      <c r="Q8" s="1">
        <v>50000</v>
      </c>
      <c r="R8" s="1">
        <f>Q8</f>
        <v>50000</v>
      </c>
      <c r="S8" s="1">
        <f>R8</f>
        <v>50000</v>
      </c>
      <c r="T8" s="1">
        <v>50000</v>
      </c>
      <c r="U8" s="1">
        <f t="shared" ref="U8:V13" si="3">T8</f>
        <v>50000</v>
      </c>
      <c r="V8" s="1">
        <f>U8</f>
        <v>50000</v>
      </c>
      <c r="W8" s="1">
        <f>V8</f>
        <v>50000</v>
      </c>
      <c r="X8" s="1">
        <f t="shared" ref="X8:X13" si="4">W8</f>
        <v>50000</v>
      </c>
      <c r="Y8" s="1">
        <f t="shared" ref="Y8:Y13" si="5">X8</f>
        <v>50000</v>
      </c>
      <c r="Z8" s="1">
        <f t="shared" ref="Z8:Z13" si="6">Y8</f>
        <v>50000</v>
      </c>
      <c r="AA8" s="1">
        <f t="shared" ref="AA8:AB13" si="7">Z8</f>
        <v>50000</v>
      </c>
      <c r="AB8" s="1">
        <f t="shared" ref="AB8:AG8" si="8">AA8</f>
        <v>50000</v>
      </c>
      <c r="AC8" s="1">
        <f t="shared" si="8"/>
        <v>50000</v>
      </c>
      <c r="AD8" s="1">
        <f t="shared" si="8"/>
        <v>50000</v>
      </c>
      <c r="AE8" s="1">
        <f t="shared" si="8"/>
        <v>50000</v>
      </c>
      <c r="AF8" s="1">
        <f t="shared" si="8"/>
        <v>50000</v>
      </c>
      <c r="AG8" s="1">
        <f t="shared" si="8"/>
        <v>50000</v>
      </c>
      <c r="AH8" s="1">
        <v>50000</v>
      </c>
      <c r="AI8" s="1">
        <f t="shared" ref="AI8:AI13" si="9">AH8</f>
        <v>50000</v>
      </c>
      <c r="AJ8" s="1">
        <f t="shared" ref="AJ8:AJ13" si="10">AI8</f>
        <v>50000</v>
      </c>
      <c r="AK8" s="1">
        <f t="shared" ref="AK8:AK13" si="11">AJ8</f>
        <v>50000</v>
      </c>
      <c r="AL8" s="1">
        <f t="shared" ref="AL8:AL13" si="12">AK8</f>
        <v>50000</v>
      </c>
      <c r="AM8" s="1">
        <f t="shared" ref="AM8:AM13" si="13">AL8</f>
        <v>50000</v>
      </c>
      <c r="AN8" s="1">
        <f t="shared" ref="AN8:AP13" si="14">AM8</f>
        <v>50000</v>
      </c>
      <c r="AO8" s="1">
        <f t="shared" ref="AO8:AT8" si="15">AN8</f>
        <v>50000</v>
      </c>
      <c r="AP8" s="1">
        <f t="shared" si="15"/>
        <v>50000</v>
      </c>
      <c r="AQ8" s="1">
        <f t="shared" si="15"/>
        <v>50000</v>
      </c>
      <c r="AR8" s="1">
        <f t="shared" si="15"/>
        <v>50000</v>
      </c>
      <c r="AS8" s="1">
        <f t="shared" si="15"/>
        <v>50000</v>
      </c>
      <c r="AT8" s="1">
        <f t="shared" si="15"/>
        <v>50000</v>
      </c>
      <c r="AU8" s="1">
        <f>AT8</f>
        <v>50000</v>
      </c>
      <c r="AV8" s="17">
        <f t="shared" si="0"/>
        <v>0</v>
      </c>
      <c r="AW8" s="17">
        <f t="shared" si="1"/>
        <v>0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0" x14ac:dyDescent="0.35">
      <c r="A9" t="s">
        <v>24</v>
      </c>
      <c r="B9" t="s">
        <v>25</v>
      </c>
      <c r="C9" s="1"/>
      <c r="D9" s="1"/>
      <c r="E9" s="1"/>
      <c r="F9" s="1"/>
      <c r="G9" s="1">
        <v>30000</v>
      </c>
      <c r="H9" s="1"/>
      <c r="I9" s="1"/>
      <c r="J9" s="1"/>
      <c r="K9" s="1"/>
      <c r="L9" s="5">
        <v>30000</v>
      </c>
      <c r="M9" s="5">
        <v>30000</v>
      </c>
      <c r="N9" s="5">
        <v>30000</v>
      </c>
      <c r="O9" s="1">
        <v>30000</v>
      </c>
      <c r="P9" s="1">
        <f t="shared" si="2"/>
        <v>30000</v>
      </c>
      <c r="Q9" s="1">
        <v>30000</v>
      </c>
      <c r="R9" s="1">
        <f>Q9</f>
        <v>30000</v>
      </c>
      <c r="S9" s="1">
        <f t="shared" ref="S9:T13" si="16">R9</f>
        <v>30000</v>
      </c>
      <c r="T9" s="1">
        <f t="shared" si="16"/>
        <v>30000</v>
      </c>
      <c r="U9" s="1">
        <f t="shared" si="3"/>
        <v>30000</v>
      </c>
      <c r="V9" s="1">
        <f t="shared" si="3"/>
        <v>30000</v>
      </c>
      <c r="W9" s="1">
        <f>V9</f>
        <v>30000</v>
      </c>
      <c r="X9" s="1">
        <f t="shared" si="4"/>
        <v>30000</v>
      </c>
      <c r="Y9" s="1">
        <f t="shared" si="5"/>
        <v>30000</v>
      </c>
      <c r="Z9" s="1">
        <f t="shared" si="6"/>
        <v>30000</v>
      </c>
      <c r="AA9" s="1">
        <f t="shared" si="7"/>
        <v>30000</v>
      </c>
      <c r="AB9" s="1">
        <f t="shared" si="7"/>
        <v>30000</v>
      </c>
      <c r="AC9" s="1">
        <f t="shared" ref="AC9:AD13" si="17">AB9</f>
        <v>30000</v>
      </c>
      <c r="AD9" s="1">
        <f t="shared" si="17"/>
        <v>30000</v>
      </c>
      <c r="AE9" s="1">
        <f t="shared" ref="AE9:AF13" si="18">AD9</f>
        <v>30000</v>
      </c>
      <c r="AF9" s="1">
        <f t="shared" si="18"/>
        <v>30000</v>
      </c>
      <c r="AG9" s="1">
        <f t="shared" ref="AG9:AH13" si="19">AF9</f>
        <v>30000</v>
      </c>
      <c r="AH9" s="1">
        <v>30000</v>
      </c>
      <c r="AI9" s="1">
        <f t="shared" si="9"/>
        <v>30000</v>
      </c>
      <c r="AJ9" s="1">
        <f t="shared" si="10"/>
        <v>30000</v>
      </c>
      <c r="AK9" s="1">
        <f t="shared" si="11"/>
        <v>30000</v>
      </c>
      <c r="AL9" s="1">
        <f t="shared" si="12"/>
        <v>30000</v>
      </c>
      <c r="AM9" s="1">
        <f t="shared" si="13"/>
        <v>30000</v>
      </c>
      <c r="AN9" s="1">
        <f t="shared" si="14"/>
        <v>30000</v>
      </c>
      <c r="AO9" s="1">
        <f t="shared" si="14"/>
        <v>30000</v>
      </c>
      <c r="AP9" s="1">
        <f t="shared" si="14"/>
        <v>30000</v>
      </c>
      <c r="AQ9" s="1">
        <f t="shared" ref="AQ9:AR13" si="20">AP9</f>
        <v>30000</v>
      </c>
      <c r="AR9" s="1">
        <f t="shared" si="20"/>
        <v>30000</v>
      </c>
      <c r="AS9" s="1">
        <f t="shared" ref="AS9:AU13" si="21">AR9</f>
        <v>30000</v>
      </c>
      <c r="AT9" s="1">
        <f t="shared" si="21"/>
        <v>30000</v>
      </c>
      <c r="AU9" s="1">
        <f t="shared" si="21"/>
        <v>30000</v>
      </c>
      <c r="AV9" s="17">
        <f t="shared" si="0"/>
        <v>0</v>
      </c>
      <c r="AW9" s="17">
        <f t="shared" si="1"/>
        <v>0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0" x14ac:dyDescent="0.35">
      <c r="A10" t="s">
        <v>24</v>
      </c>
      <c r="B10" t="s">
        <v>53</v>
      </c>
      <c r="C10" s="1"/>
      <c r="D10" s="1"/>
      <c r="E10" s="1"/>
      <c r="F10" s="1"/>
      <c r="G10" s="1">
        <v>40000</v>
      </c>
      <c r="H10" s="1"/>
      <c r="I10" s="1"/>
      <c r="J10" s="1"/>
      <c r="K10" s="1"/>
      <c r="L10" s="5">
        <v>40000</v>
      </c>
      <c r="M10" s="5">
        <v>40000</v>
      </c>
      <c r="N10" s="5">
        <v>40000</v>
      </c>
      <c r="O10" s="1">
        <v>40000</v>
      </c>
      <c r="P10" s="1">
        <f t="shared" si="2"/>
        <v>40000</v>
      </c>
      <c r="Q10" s="1">
        <v>40000</v>
      </c>
      <c r="R10" s="1">
        <f>Q10</f>
        <v>40000</v>
      </c>
      <c r="S10" s="1">
        <f t="shared" si="16"/>
        <v>40000</v>
      </c>
      <c r="T10" s="1">
        <f t="shared" si="16"/>
        <v>40000</v>
      </c>
      <c r="U10" s="1">
        <f t="shared" si="3"/>
        <v>40000</v>
      </c>
      <c r="V10" s="1">
        <f t="shared" si="3"/>
        <v>40000</v>
      </c>
      <c r="W10" s="1">
        <f>V10</f>
        <v>40000</v>
      </c>
      <c r="X10" s="1">
        <f t="shared" si="4"/>
        <v>40000</v>
      </c>
      <c r="Y10" s="1">
        <f t="shared" si="5"/>
        <v>40000</v>
      </c>
      <c r="Z10" s="1">
        <f t="shared" si="6"/>
        <v>40000</v>
      </c>
      <c r="AA10" s="1">
        <f t="shared" si="7"/>
        <v>40000</v>
      </c>
      <c r="AB10" s="1">
        <f t="shared" si="7"/>
        <v>40000</v>
      </c>
      <c r="AC10" s="1">
        <f t="shared" si="17"/>
        <v>40000</v>
      </c>
      <c r="AD10" s="1">
        <f t="shared" si="17"/>
        <v>40000</v>
      </c>
      <c r="AE10" s="1">
        <f t="shared" si="18"/>
        <v>40000</v>
      </c>
      <c r="AF10" s="1">
        <f t="shared" si="18"/>
        <v>40000</v>
      </c>
      <c r="AG10" s="1">
        <f t="shared" si="19"/>
        <v>40000</v>
      </c>
      <c r="AH10" s="1">
        <v>40000</v>
      </c>
      <c r="AI10" s="1">
        <f t="shared" si="9"/>
        <v>40000</v>
      </c>
      <c r="AJ10" s="1">
        <f t="shared" si="10"/>
        <v>40000</v>
      </c>
      <c r="AK10" s="1">
        <f t="shared" si="11"/>
        <v>40000</v>
      </c>
      <c r="AL10" s="1">
        <f t="shared" si="12"/>
        <v>40000</v>
      </c>
      <c r="AM10" s="1">
        <f t="shared" si="13"/>
        <v>40000</v>
      </c>
      <c r="AN10" s="1">
        <f t="shared" si="14"/>
        <v>40000</v>
      </c>
      <c r="AO10" s="1">
        <f t="shared" si="14"/>
        <v>40000</v>
      </c>
      <c r="AP10" s="1">
        <f t="shared" si="14"/>
        <v>40000</v>
      </c>
      <c r="AQ10" s="1">
        <f t="shared" si="20"/>
        <v>40000</v>
      </c>
      <c r="AR10" s="1">
        <f t="shared" si="20"/>
        <v>40000</v>
      </c>
      <c r="AS10" s="1">
        <f t="shared" si="21"/>
        <v>40000</v>
      </c>
      <c r="AT10" s="1">
        <f t="shared" si="21"/>
        <v>40000</v>
      </c>
      <c r="AU10" s="1">
        <f t="shared" si="21"/>
        <v>40000</v>
      </c>
      <c r="AV10" s="17">
        <f t="shared" si="0"/>
        <v>0</v>
      </c>
      <c r="AW10" s="17">
        <f t="shared" si="1"/>
        <v>0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1:80" x14ac:dyDescent="0.35">
      <c r="A11" t="s">
        <v>24</v>
      </c>
      <c r="B11" t="s">
        <v>26</v>
      </c>
      <c r="C11" s="1"/>
      <c r="D11" s="1"/>
      <c r="E11" s="1"/>
      <c r="F11" s="1"/>
      <c r="G11" s="1">
        <v>138830</v>
      </c>
      <c r="H11" s="1"/>
      <c r="I11" s="1"/>
      <c r="J11" s="1"/>
      <c r="K11" s="1"/>
      <c r="L11" s="5">
        <v>138830</v>
      </c>
      <c r="M11" s="5">
        <v>138830</v>
      </c>
      <c r="N11" s="5">
        <v>138830</v>
      </c>
      <c r="O11" s="5">
        <v>138830</v>
      </c>
      <c r="P11" s="1">
        <f t="shared" si="2"/>
        <v>138830</v>
      </c>
      <c r="Q11" s="1">
        <v>138830</v>
      </c>
      <c r="R11" s="1">
        <f>Q11</f>
        <v>138830</v>
      </c>
      <c r="S11" s="1">
        <f t="shared" si="16"/>
        <v>138830</v>
      </c>
      <c r="T11" s="1">
        <f t="shared" si="16"/>
        <v>138830</v>
      </c>
      <c r="U11" s="1">
        <f t="shared" si="3"/>
        <v>138830</v>
      </c>
      <c r="V11" s="1">
        <f t="shared" si="3"/>
        <v>138830</v>
      </c>
      <c r="W11" s="1">
        <f>V11</f>
        <v>138830</v>
      </c>
      <c r="X11" s="1">
        <f t="shared" si="4"/>
        <v>138830</v>
      </c>
      <c r="Y11" s="1">
        <f t="shared" si="5"/>
        <v>138830</v>
      </c>
      <c r="Z11" s="1">
        <f t="shared" si="6"/>
        <v>138830</v>
      </c>
      <c r="AA11" s="1">
        <f t="shared" si="7"/>
        <v>138830</v>
      </c>
      <c r="AB11" s="1">
        <f t="shared" si="7"/>
        <v>138830</v>
      </c>
      <c r="AC11" s="1">
        <f t="shared" si="17"/>
        <v>138830</v>
      </c>
      <c r="AD11" s="1">
        <f t="shared" si="17"/>
        <v>138830</v>
      </c>
      <c r="AE11" s="1">
        <f t="shared" si="18"/>
        <v>138830</v>
      </c>
      <c r="AF11" s="1">
        <f t="shared" si="18"/>
        <v>138830</v>
      </c>
      <c r="AG11" s="1">
        <f t="shared" si="19"/>
        <v>138830</v>
      </c>
      <c r="AH11" s="1">
        <v>138830</v>
      </c>
      <c r="AI11" s="1">
        <f t="shared" si="9"/>
        <v>138830</v>
      </c>
      <c r="AJ11" s="1">
        <f t="shared" si="10"/>
        <v>138830</v>
      </c>
      <c r="AK11" s="1">
        <f t="shared" si="11"/>
        <v>138830</v>
      </c>
      <c r="AL11" s="1">
        <f t="shared" si="12"/>
        <v>138830</v>
      </c>
      <c r="AM11" s="1">
        <f t="shared" si="13"/>
        <v>138830</v>
      </c>
      <c r="AN11" s="1">
        <f t="shared" si="14"/>
        <v>138830</v>
      </c>
      <c r="AO11" s="1">
        <f t="shared" si="14"/>
        <v>138830</v>
      </c>
      <c r="AP11" s="1">
        <f t="shared" si="14"/>
        <v>138830</v>
      </c>
      <c r="AQ11" s="1">
        <f t="shared" si="20"/>
        <v>138830</v>
      </c>
      <c r="AR11" s="1">
        <f t="shared" si="20"/>
        <v>138830</v>
      </c>
      <c r="AS11" s="1">
        <f t="shared" si="21"/>
        <v>138830</v>
      </c>
      <c r="AT11" s="1">
        <f t="shared" si="21"/>
        <v>138830</v>
      </c>
      <c r="AU11" s="1">
        <f t="shared" si="21"/>
        <v>138830</v>
      </c>
      <c r="AV11" s="17">
        <f t="shared" si="0"/>
        <v>0</v>
      </c>
      <c r="AW11" s="17">
        <f t="shared" si="1"/>
        <v>0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1:80" x14ac:dyDescent="0.35">
      <c r="A12" t="s">
        <v>24</v>
      </c>
      <c r="B12" t="s">
        <v>26</v>
      </c>
      <c r="C12" s="1"/>
      <c r="D12" s="1"/>
      <c r="E12" s="1"/>
      <c r="F12" s="1"/>
      <c r="G12" s="1">
        <v>197580</v>
      </c>
      <c r="H12" s="1"/>
      <c r="I12" s="1"/>
      <c r="J12" s="1"/>
      <c r="K12" s="1"/>
      <c r="L12" s="5">
        <v>197580</v>
      </c>
      <c r="M12" s="5">
        <v>197580</v>
      </c>
      <c r="N12" s="5">
        <v>197580</v>
      </c>
      <c r="O12" s="5">
        <v>197580</v>
      </c>
      <c r="P12" s="1">
        <f t="shared" si="2"/>
        <v>197580</v>
      </c>
      <c r="Q12" s="1">
        <v>197580</v>
      </c>
      <c r="R12" s="1">
        <f>Q12</f>
        <v>197580</v>
      </c>
      <c r="S12" s="1">
        <f t="shared" si="16"/>
        <v>197580</v>
      </c>
      <c r="T12" s="1">
        <f t="shared" si="16"/>
        <v>197580</v>
      </c>
      <c r="U12" s="1">
        <f t="shared" si="3"/>
        <v>197580</v>
      </c>
      <c r="V12" s="1">
        <f t="shared" si="3"/>
        <v>197580</v>
      </c>
      <c r="W12" s="1">
        <f>V12</f>
        <v>197580</v>
      </c>
      <c r="X12" s="1">
        <f t="shared" si="4"/>
        <v>197580</v>
      </c>
      <c r="Y12" s="1">
        <f t="shared" si="5"/>
        <v>197580</v>
      </c>
      <c r="Z12" s="1">
        <f t="shared" si="6"/>
        <v>197580</v>
      </c>
      <c r="AA12" s="1">
        <f t="shared" si="7"/>
        <v>197580</v>
      </c>
      <c r="AB12" s="1">
        <f t="shared" si="7"/>
        <v>197580</v>
      </c>
      <c r="AC12" s="1">
        <f t="shared" si="17"/>
        <v>197580</v>
      </c>
      <c r="AD12" s="1">
        <f t="shared" si="17"/>
        <v>197580</v>
      </c>
      <c r="AE12" s="1">
        <f t="shared" si="18"/>
        <v>197580</v>
      </c>
      <c r="AF12" s="1">
        <f t="shared" si="18"/>
        <v>197580</v>
      </c>
      <c r="AG12" s="1">
        <f t="shared" si="19"/>
        <v>197580</v>
      </c>
      <c r="AH12" s="1">
        <v>197580</v>
      </c>
      <c r="AI12" s="1">
        <f t="shared" si="9"/>
        <v>197580</v>
      </c>
      <c r="AJ12" s="1">
        <f t="shared" si="10"/>
        <v>197580</v>
      </c>
      <c r="AK12" s="1">
        <f t="shared" si="11"/>
        <v>197580</v>
      </c>
      <c r="AL12" s="1">
        <f t="shared" si="12"/>
        <v>197580</v>
      </c>
      <c r="AM12" s="1">
        <f t="shared" si="13"/>
        <v>197580</v>
      </c>
      <c r="AN12" s="1">
        <f t="shared" si="14"/>
        <v>197580</v>
      </c>
      <c r="AO12" s="1">
        <f t="shared" si="14"/>
        <v>197580</v>
      </c>
      <c r="AP12" s="1">
        <f t="shared" si="14"/>
        <v>197580</v>
      </c>
      <c r="AQ12" s="1">
        <f t="shared" si="20"/>
        <v>197580</v>
      </c>
      <c r="AR12" s="1">
        <f t="shared" si="20"/>
        <v>197580</v>
      </c>
      <c r="AS12" s="1">
        <f t="shared" si="21"/>
        <v>197580</v>
      </c>
      <c r="AT12" s="1">
        <f t="shared" si="21"/>
        <v>197580</v>
      </c>
      <c r="AU12" s="1">
        <f t="shared" si="21"/>
        <v>197580</v>
      </c>
      <c r="AV12" s="17">
        <f t="shared" si="0"/>
        <v>0</v>
      </c>
      <c r="AW12" s="17">
        <f t="shared" si="1"/>
        <v>0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 x14ac:dyDescent="0.35">
      <c r="A13" t="s">
        <v>24</v>
      </c>
      <c r="B13" t="s">
        <v>27</v>
      </c>
      <c r="C13" s="1"/>
      <c r="D13" s="1"/>
      <c r="E13" s="1"/>
      <c r="F13" s="1"/>
      <c r="G13" s="1">
        <v>16240</v>
      </c>
      <c r="H13" s="1"/>
      <c r="I13" s="1"/>
      <c r="J13" s="1"/>
      <c r="K13" s="1"/>
      <c r="L13" s="5">
        <v>16240</v>
      </c>
      <c r="M13" s="5">
        <v>16240</v>
      </c>
      <c r="N13" s="5">
        <v>16240</v>
      </c>
      <c r="O13" s="5">
        <v>16240</v>
      </c>
      <c r="P13" s="1">
        <f t="shared" si="2"/>
        <v>16240</v>
      </c>
      <c r="Q13" s="1">
        <v>16240</v>
      </c>
      <c r="R13" s="1">
        <f>Q13</f>
        <v>16240</v>
      </c>
      <c r="S13" s="1">
        <f t="shared" si="16"/>
        <v>16240</v>
      </c>
      <c r="T13" s="1">
        <f t="shared" si="16"/>
        <v>16240</v>
      </c>
      <c r="U13" s="1">
        <f t="shared" si="3"/>
        <v>16240</v>
      </c>
      <c r="V13" s="1">
        <f t="shared" si="3"/>
        <v>16240</v>
      </c>
      <c r="W13" s="1">
        <f>V13</f>
        <v>16240</v>
      </c>
      <c r="X13" s="1">
        <f t="shared" si="4"/>
        <v>16240</v>
      </c>
      <c r="Y13" s="1">
        <f t="shared" si="5"/>
        <v>16240</v>
      </c>
      <c r="Z13" s="1">
        <f t="shared" si="6"/>
        <v>16240</v>
      </c>
      <c r="AA13" s="1">
        <f t="shared" si="7"/>
        <v>16240</v>
      </c>
      <c r="AB13" s="1">
        <f t="shared" si="7"/>
        <v>16240</v>
      </c>
      <c r="AC13" s="1">
        <f t="shared" si="17"/>
        <v>16240</v>
      </c>
      <c r="AD13" s="1">
        <f t="shared" si="17"/>
        <v>16240</v>
      </c>
      <c r="AE13" s="1">
        <f t="shared" si="18"/>
        <v>16240</v>
      </c>
      <c r="AF13" s="1">
        <f t="shared" si="18"/>
        <v>16240</v>
      </c>
      <c r="AG13" s="1">
        <f t="shared" si="19"/>
        <v>16240</v>
      </c>
      <c r="AH13" s="1">
        <f t="shared" si="19"/>
        <v>16240</v>
      </c>
      <c r="AI13" s="1">
        <f t="shared" si="9"/>
        <v>16240</v>
      </c>
      <c r="AJ13" s="1">
        <f t="shared" si="10"/>
        <v>16240</v>
      </c>
      <c r="AK13" s="1">
        <f t="shared" si="11"/>
        <v>16240</v>
      </c>
      <c r="AL13" s="1">
        <f t="shared" si="12"/>
        <v>16240</v>
      </c>
      <c r="AM13" s="1">
        <f t="shared" si="13"/>
        <v>16240</v>
      </c>
      <c r="AN13" s="1">
        <f t="shared" si="14"/>
        <v>16240</v>
      </c>
      <c r="AO13" s="1">
        <f t="shared" si="14"/>
        <v>16240</v>
      </c>
      <c r="AP13" s="1">
        <f t="shared" si="14"/>
        <v>16240</v>
      </c>
      <c r="AQ13" s="1">
        <f t="shared" si="20"/>
        <v>16240</v>
      </c>
      <c r="AR13" s="1">
        <f t="shared" si="20"/>
        <v>16240</v>
      </c>
      <c r="AS13" s="1">
        <f t="shared" si="21"/>
        <v>16240</v>
      </c>
      <c r="AT13" s="1">
        <f t="shared" si="21"/>
        <v>16240</v>
      </c>
      <c r="AU13" s="1">
        <f t="shared" si="21"/>
        <v>16240</v>
      </c>
      <c r="AV13" s="17">
        <f t="shared" si="0"/>
        <v>0</v>
      </c>
      <c r="AW13" s="17">
        <f t="shared" si="1"/>
        <v>0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0" x14ac:dyDescent="0.35">
      <c r="A14" t="s">
        <v>24</v>
      </c>
      <c r="B14" t="s">
        <v>54</v>
      </c>
      <c r="C14" s="1"/>
      <c r="D14" s="1"/>
      <c r="E14" s="1"/>
      <c r="F14" s="1"/>
      <c r="G14" s="1">
        <v>18350</v>
      </c>
      <c r="H14" s="1"/>
      <c r="I14" s="1"/>
      <c r="J14" s="1"/>
      <c r="K14" s="1"/>
      <c r="L14" s="5">
        <v>17660</v>
      </c>
      <c r="M14" s="5">
        <f>L14-139.8</f>
        <v>17520.2</v>
      </c>
      <c r="N14" s="5">
        <v>17390</v>
      </c>
      <c r="O14" s="1">
        <f>17250-0.7</f>
        <v>17249.3</v>
      </c>
      <c r="P14" s="1">
        <f>O14-142.9</f>
        <v>17106.399999999998</v>
      </c>
      <c r="Q14" s="1">
        <v>16980</v>
      </c>
      <c r="R14" s="1">
        <f>Q14-145</f>
        <v>16835</v>
      </c>
      <c r="S14" s="1">
        <f>R14-142.2</f>
        <v>16692.8</v>
      </c>
      <c r="T14" s="1">
        <f>S14-143.4</f>
        <v>16549.399999999998</v>
      </c>
      <c r="U14" s="1">
        <f>T14-152.6</f>
        <v>16396.8</v>
      </c>
      <c r="V14" s="1">
        <f>U14-145.6</f>
        <v>16251.199999999999</v>
      </c>
      <c r="W14" s="1">
        <f>V14-150.7</f>
        <v>16100.499999999998</v>
      </c>
      <c r="X14" s="1">
        <f>W14-147.9</f>
        <v>15952.599999999999</v>
      </c>
      <c r="Y14" s="1">
        <f>X14-152.9</f>
        <v>15799.699999999999</v>
      </c>
      <c r="Z14" s="1">
        <f>Y14-150.2</f>
        <v>15649.499999999998</v>
      </c>
      <c r="AA14" s="1">
        <f>Z14-151.3</f>
        <v>15498.199999999999</v>
      </c>
      <c r="AB14" s="1">
        <f>AA14-156.3</f>
        <v>15341.9</v>
      </c>
      <c r="AC14" s="1">
        <f>AB14-153.7</f>
        <v>15188.199999999999</v>
      </c>
      <c r="AD14" s="1">
        <f>AC14-158.6</f>
        <v>15029.599999999999</v>
      </c>
      <c r="AE14" s="1">
        <f>AD14-155.8</f>
        <v>14873.8</v>
      </c>
      <c r="AF14" s="1">
        <f>AE14-156.9</f>
        <v>14716.9</v>
      </c>
      <c r="AG14" s="1">
        <f>AF14-169</f>
        <v>14547.9</v>
      </c>
      <c r="AH14" s="1">
        <f>AG14-159.4</f>
        <v>14388.5</v>
      </c>
      <c r="AI14" s="1">
        <f>AH14-164.2</f>
        <v>14224.3</v>
      </c>
      <c r="AJ14" s="1">
        <f>AI14-161.9</f>
        <v>14062.4</v>
      </c>
      <c r="AK14" s="1">
        <f>AJ14-166.6</f>
        <v>13895.8</v>
      </c>
      <c r="AL14" s="1">
        <f>AK14-164.4</f>
        <v>13731.4</v>
      </c>
      <c r="AM14" s="1">
        <f>AL14-165.6</f>
        <v>13565.8</v>
      </c>
      <c r="AN14" s="1">
        <f>AM14-170.3</f>
        <v>13395.5</v>
      </c>
      <c r="AO14" s="1">
        <f>AN14-168.2</f>
        <v>13227.3</v>
      </c>
      <c r="AP14" s="1">
        <f>AO14-172.8</f>
        <v>13054.5</v>
      </c>
      <c r="AQ14" s="1">
        <f>AP14-170.8</f>
        <v>12883.7</v>
      </c>
      <c r="AR14" s="1">
        <f>AQ14-172.1</f>
        <v>12711.6</v>
      </c>
      <c r="AS14" s="1">
        <f>AR14-182.8</f>
        <v>12528.800000000001</v>
      </c>
      <c r="AT14" s="1">
        <f>AS14-174.8</f>
        <v>12354.000000000002</v>
      </c>
      <c r="AU14" s="1">
        <f>AT14-179.2</f>
        <v>12174.800000000001</v>
      </c>
      <c r="AV14" s="17">
        <f t="shared" si="0"/>
        <v>-179.20000000000073</v>
      </c>
      <c r="AW14" s="17">
        <f t="shared" si="1"/>
        <v>-2049.4999999999982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0" x14ac:dyDescent="0.35">
      <c r="A15" t="s">
        <v>24</v>
      </c>
      <c r="B15" t="s">
        <v>55</v>
      </c>
      <c r="C15" s="1"/>
      <c r="D15" s="1"/>
      <c r="E15" s="1"/>
      <c r="F15" s="1"/>
      <c r="G15" s="1">
        <v>4830</v>
      </c>
      <c r="H15" s="1"/>
      <c r="I15" s="1"/>
      <c r="J15" s="1"/>
      <c r="K15" s="1"/>
      <c r="L15" s="5">
        <v>4550</v>
      </c>
      <c r="M15" s="5">
        <v>4550</v>
      </c>
      <c r="N15" s="5">
        <v>4550</v>
      </c>
      <c r="O15" s="1">
        <v>4410</v>
      </c>
      <c r="P15" s="1">
        <f>O15</f>
        <v>4410</v>
      </c>
      <c r="Q15" s="1">
        <v>4410</v>
      </c>
      <c r="R15" s="1">
        <f>Q15-140.7</f>
        <v>4269.3</v>
      </c>
      <c r="S15" s="1">
        <f>R15</f>
        <v>4269.3</v>
      </c>
      <c r="T15" s="1">
        <f>S15</f>
        <v>4269.3</v>
      </c>
      <c r="U15" s="1">
        <f>T15-140.7</f>
        <v>4128.6000000000004</v>
      </c>
      <c r="V15" s="1">
        <f>U15</f>
        <v>4128.6000000000004</v>
      </c>
      <c r="W15" s="1">
        <f>V15</f>
        <v>4128.6000000000004</v>
      </c>
      <c r="X15" s="1">
        <f>W15-140.7</f>
        <v>3987.9000000000005</v>
      </c>
      <c r="Y15" s="1">
        <f>X15</f>
        <v>3987.9000000000005</v>
      </c>
      <c r="Z15" s="1">
        <f>Y15</f>
        <v>3987.9000000000005</v>
      </c>
      <c r="AA15" s="1">
        <f>Z15-140.7</f>
        <v>3847.2000000000007</v>
      </c>
      <c r="AB15" s="1">
        <f>AA15</f>
        <v>3847.2000000000007</v>
      </c>
      <c r="AC15" s="1">
        <f>AB15</f>
        <v>3847.2000000000007</v>
      </c>
      <c r="AD15" s="1">
        <f>AC15-140.7</f>
        <v>3706.5000000000009</v>
      </c>
      <c r="AE15" s="1">
        <f>AD15</f>
        <v>3706.5000000000009</v>
      </c>
      <c r="AF15" s="1">
        <f>AE15</f>
        <v>3706.5000000000009</v>
      </c>
      <c r="AG15" s="1">
        <f>AF15-166.7</f>
        <v>3539.8000000000011</v>
      </c>
      <c r="AH15" s="1">
        <f>AG15</f>
        <v>3539.8000000000011</v>
      </c>
      <c r="AI15" s="1">
        <f>AH15</f>
        <v>3539.8000000000011</v>
      </c>
      <c r="AJ15" s="1">
        <f>AI15-166.7</f>
        <v>3373.1000000000013</v>
      </c>
      <c r="AK15" s="1">
        <f>AJ15</f>
        <v>3373.1000000000013</v>
      </c>
      <c r="AL15" s="1">
        <f>AK15</f>
        <v>3373.1000000000013</v>
      </c>
      <c r="AM15" s="1">
        <f>AL15-166.7</f>
        <v>3206.4000000000015</v>
      </c>
      <c r="AN15" s="1">
        <f>AM15</f>
        <v>3206.4000000000015</v>
      </c>
      <c r="AO15" s="1">
        <f>AN15</f>
        <v>3206.4000000000015</v>
      </c>
      <c r="AP15" s="1">
        <f>AO15-166.7</f>
        <v>3039.7000000000016</v>
      </c>
      <c r="AQ15" s="1">
        <f>AP15</f>
        <v>3039.7000000000016</v>
      </c>
      <c r="AR15" s="1">
        <f>AQ15</f>
        <v>3039.7000000000016</v>
      </c>
      <c r="AS15" s="1">
        <f>AR15-166.7</f>
        <v>2873.0000000000018</v>
      </c>
      <c r="AT15" s="1">
        <f>AS15</f>
        <v>2873.0000000000018</v>
      </c>
      <c r="AU15" s="1">
        <f>AT15</f>
        <v>2873.0000000000018</v>
      </c>
      <c r="AV15" s="17">
        <f t="shared" si="0"/>
        <v>0</v>
      </c>
      <c r="AW15" s="17">
        <f t="shared" si="1"/>
        <v>-666.79999999999927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0" x14ac:dyDescent="0.35">
      <c r="A16" t="s">
        <v>24</v>
      </c>
      <c r="B16" t="s">
        <v>56</v>
      </c>
      <c r="C16" s="1"/>
      <c r="D16" s="1"/>
      <c r="E16" s="1"/>
      <c r="F16" s="1"/>
      <c r="G16" s="1">
        <v>31590</v>
      </c>
      <c r="H16" s="1"/>
      <c r="I16" s="1"/>
      <c r="J16" s="1"/>
      <c r="K16" s="1"/>
      <c r="L16" s="5">
        <v>31030</v>
      </c>
      <c r="M16" s="5">
        <f>L16-115.3</f>
        <v>30914.7</v>
      </c>
      <c r="N16" s="5">
        <v>30820</v>
      </c>
      <c r="O16" s="1">
        <v>30700</v>
      </c>
      <c r="P16" s="1">
        <f>O16-118.9</f>
        <v>30581.1</v>
      </c>
      <c r="Q16" s="1">
        <v>30470</v>
      </c>
      <c r="R16" s="1">
        <f>Q16-121.4</f>
        <v>30348.6</v>
      </c>
      <c r="S16" s="1">
        <f>R16-90.4</f>
        <v>30258.199999999997</v>
      </c>
      <c r="T16" s="1">
        <f>S16-158.8</f>
        <v>30099.399999999998</v>
      </c>
      <c r="U16" s="1">
        <f>T16-167.3</f>
        <v>29932.1</v>
      </c>
      <c r="V16" s="1">
        <f>U16-154.1</f>
        <v>29778</v>
      </c>
      <c r="W16" s="1">
        <f>V16-162.4</f>
        <v>29615.599999999999</v>
      </c>
      <c r="X16" s="1">
        <f>W16-156.5</f>
        <v>29459.1</v>
      </c>
      <c r="Y16" s="1">
        <f>X16-150.6</f>
        <v>29308.5</v>
      </c>
      <c r="Z16" s="1">
        <f>Y16-172.9</f>
        <v>29135.599999999999</v>
      </c>
      <c r="AA16" s="1">
        <f>Z16-160.1</f>
        <v>28975.5</v>
      </c>
      <c r="AB16" s="1">
        <f>AA16-161.2</f>
        <v>28814.3</v>
      </c>
      <c r="AC16" s="1">
        <f>AB16-169.4</f>
        <v>28644.899999999998</v>
      </c>
      <c r="AD16" s="1">
        <f>AC16-170.6</f>
        <v>28474.3</v>
      </c>
      <c r="AE16" s="1">
        <f>AD16-164.5</f>
        <v>28309.8</v>
      </c>
      <c r="AF16" s="1">
        <f>AE16-153.8</f>
        <v>28156</v>
      </c>
      <c r="AG16" s="1">
        <f>AF16-173.9</f>
        <v>27982.1</v>
      </c>
      <c r="AH16" s="1">
        <f>AG16-142</f>
        <v>27840.1</v>
      </c>
      <c r="AI16" s="1">
        <f>AH16-168.2</f>
        <v>27671.899999999998</v>
      </c>
      <c r="AJ16" s="1">
        <f>AI16-153.2</f>
        <v>27518.699999999997</v>
      </c>
      <c r="AK16" s="1">
        <f>AJ16-154.6</f>
        <v>27364.1</v>
      </c>
      <c r="AL16" s="1">
        <f>AK16-164.2</f>
        <v>27199.899999999998</v>
      </c>
      <c r="AM16" s="1">
        <f>AL16-141.3</f>
        <v>27058.6</v>
      </c>
      <c r="AN16" s="1">
        <f>AM16-183.1</f>
        <v>26875.5</v>
      </c>
      <c r="AO16" s="1">
        <f>AN16-160.5</f>
        <v>26715</v>
      </c>
      <c r="AP16" s="1">
        <f>AO16-154.1</f>
        <v>26560.9</v>
      </c>
      <c r="AQ16" s="1">
        <f>AP16-179.3</f>
        <v>26381.600000000002</v>
      </c>
      <c r="AR16" s="1">
        <f>AQ16-184.9</f>
        <v>26196.7</v>
      </c>
      <c r="AS16" s="1">
        <f>AR16-215.2</f>
        <v>25981.5</v>
      </c>
      <c r="AT16" s="1">
        <f>AS16-201.5</f>
        <v>25780</v>
      </c>
      <c r="AU16" s="1">
        <f>AT16-207.6</f>
        <v>25572.400000000001</v>
      </c>
      <c r="AV16" s="17">
        <f t="shared" si="0"/>
        <v>-207.59999999999854</v>
      </c>
      <c r="AW16" s="17">
        <f t="shared" si="1"/>
        <v>-2099.4999999999964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1:80" x14ac:dyDescent="0.35">
      <c r="A17" t="s">
        <v>24</v>
      </c>
      <c r="B17" t="s">
        <v>128</v>
      </c>
      <c r="C17" s="1"/>
      <c r="D17" s="1"/>
      <c r="E17" s="1"/>
      <c r="F17" s="1"/>
      <c r="G17" s="1"/>
      <c r="H17" s="1"/>
      <c r="I17" s="1"/>
      <c r="J17" s="1"/>
      <c r="K17" s="1"/>
      <c r="L17" s="5"/>
      <c r="M17" s="5"/>
      <c r="N17" s="5"/>
      <c r="O17" s="1">
        <v>0</v>
      </c>
      <c r="P17" s="1">
        <v>154.9</v>
      </c>
      <c r="Q17" s="1">
        <v>154.9</v>
      </c>
      <c r="R17" s="1">
        <f t="shared" ref="R17:W17" si="22">Q17</f>
        <v>154.9</v>
      </c>
      <c r="S17" s="1">
        <f t="shared" si="22"/>
        <v>154.9</v>
      </c>
      <c r="T17" s="1">
        <f t="shared" si="22"/>
        <v>154.9</v>
      </c>
      <c r="U17" s="1">
        <f t="shared" si="22"/>
        <v>154.9</v>
      </c>
      <c r="V17" s="1">
        <f t="shared" si="22"/>
        <v>154.9</v>
      </c>
      <c r="W17" s="1">
        <f t="shared" si="22"/>
        <v>154.9</v>
      </c>
      <c r="X17" s="1">
        <f t="shared" ref="X17:AC17" si="23">W17</f>
        <v>154.9</v>
      </c>
      <c r="Y17" s="1">
        <f t="shared" si="23"/>
        <v>154.9</v>
      </c>
      <c r="Z17" s="1">
        <f t="shared" si="23"/>
        <v>154.9</v>
      </c>
      <c r="AA17" s="1">
        <f t="shared" si="23"/>
        <v>154.9</v>
      </c>
      <c r="AB17" s="1">
        <f t="shared" si="23"/>
        <v>154.9</v>
      </c>
      <c r="AC17" s="1">
        <f t="shared" si="23"/>
        <v>154.9</v>
      </c>
      <c r="AD17" s="1">
        <f t="shared" ref="AD17:AE19" si="24">AC17</f>
        <v>154.9</v>
      </c>
      <c r="AE17" s="1">
        <f t="shared" si="24"/>
        <v>154.9</v>
      </c>
      <c r="AF17" s="1">
        <f t="shared" ref="AF17:AK17" si="25">AE17</f>
        <v>154.9</v>
      </c>
      <c r="AG17" s="1">
        <f t="shared" si="25"/>
        <v>154.9</v>
      </c>
      <c r="AH17" s="1">
        <f t="shared" si="25"/>
        <v>154.9</v>
      </c>
      <c r="AI17" s="1">
        <f t="shared" si="25"/>
        <v>154.9</v>
      </c>
      <c r="AJ17" s="1">
        <f t="shared" si="25"/>
        <v>154.9</v>
      </c>
      <c r="AK17" s="1">
        <f t="shared" si="25"/>
        <v>154.9</v>
      </c>
      <c r="AL17" s="1">
        <f t="shared" ref="AL17:AM19" si="26">AK17</f>
        <v>154.9</v>
      </c>
      <c r="AM17" s="1">
        <f t="shared" si="26"/>
        <v>154.9</v>
      </c>
      <c r="AN17" s="1">
        <f>AM17</f>
        <v>154.9</v>
      </c>
      <c r="AO17" s="1">
        <f>AN17</f>
        <v>154.9</v>
      </c>
      <c r="AP17" s="1">
        <f>AO17+1658.3</f>
        <v>1813.2</v>
      </c>
      <c r="AQ17" s="1">
        <f>AP17</f>
        <v>1813.2</v>
      </c>
      <c r="AR17" s="1">
        <f>AQ17</f>
        <v>1813.2</v>
      </c>
      <c r="AS17" s="1">
        <f>AR17+574.3</f>
        <v>2387.5</v>
      </c>
      <c r="AT17" s="1">
        <f>AS17</f>
        <v>2387.5</v>
      </c>
      <c r="AU17" s="1">
        <f>AT17</f>
        <v>2387.5</v>
      </c>
      <c r="AV17" s="17">
        <f t="shared" si="0"/>
        <v>0</v>
      </c>
      <c r="AW17" s="17">
        <f t="shared" si="1"/>
        <v>2232.6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1:80" x14ac:dyDescent="0.35">
      <c r="A18" t="s">
        <v>24</v>
      </c>
      <c r="B18" t="s">
        <v>212</v>
      </c>
      <c r="C18" s="1"/>
      <c r="D18" s="1"/>
      <c r="E18" s="1"/>
      <c r="F18" s="1"/>
      <c r="G18" s="1"/>
      <c r="H18" s="1"/>
      <c r="I18" s="1"/>
      <c r="J18" s="1"/>
      <c r="K18" s="1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300.5</v>
      </c>
      <c r="Z18" s="1">
        <f t="shared" ref="Z18:AB19" si="27">Y18</f>
        <v>300.5</v>
      </c>
      <c r="AA18" s="1">
        <f t="shared" si="27"/>
        <v>300.5</v>
      </c>
      <c r="AB18" s="1">
        <f t="shared" si="27"/>
        <v>300.5</v>
      </c>
      <c r="AC18" s="1">
        <f>AB18</f>
        <v>300.5</v>
      </c>
      <c r="AD18" s="1">
        <f t="shared" si="24"/>
        <v>300.5</v>
      </c>
      <c r="AE18" s="1">
        <f t="shared" si="24"/>
        <v>300.5</v>
      </c>
      <c r="AF18" s="1">
        <f>AE18</f>
        <v>300.5</v>
      </c>
      <c r="AG18" s="1">
        <f t="shared" ref="AG18:AH21" si="28">AF18</f>
        <v>300.5</v>
      </c>
      <c r="AH18" s="1">
        <f t="shared" si="28"/>
        <v>300.5</v>
      </c>
      <c r="AI18" s="1">
        <f>AH18</f>
        <v>300.5</v>
      </c>
      <c r="AJ18" s="1">
        <f>AI18</f>
        <v>300.5</v>
      </c>
      <c r="AK18" s="1">
        <f>AJ18-2.7</f>
        <v>297.8</v>
      </c>
      <c r="AL18" s="1">
        <f t="shared" si="26"/>
        <v>297.8</v>
      </c>
      <c r="AM18" s="1">
        <f t="shared" si="26"/>
        <v>297.8</v>
      </c>
      <c r="AN18" s="1">
        <f>AM18-2.7</f>
        <v>295.10000000000002</v>
      </c>
      <c r="AO18" s="1">
        <f>AN18-26.5</f>
        <v>268.60000000000002</v>
      </c>
      <c r="AP18" s="1">
        <f>AO18</f>
        <v>268.60000000000002</v>
      </c>
      <c r="AQ18" s="1">
        <f>AP18-29.5</f>
        <v>239.10000000000002</v>
      </c>
      <c r="AR18" s="1">
        <f>AQ18</f>
        <v>239.10000000000002</v>
      </c>
      <c r="AS18" s="1">
        <f>AR18</f>
        <v>239.10000000000002</v>
      </c>
      <c r="AT18" s="1">
        <f>AS18-30.9</f>
        <v>208.20000000000002</v>
      </c>
      <c r="AU18" s="1">
        <f t="shared" ref="AU18:AU20" si="29">AT18</f>
        <v>208.20000000000002</v>
      </c>
      <c r="AV18" s="17">
        <f t="shared" si="0"/>
        <v>0</v>
      </c>
      <c r="AW18" s="17">
        <f t="shared" si="1"/>
        <v>-92.299999999999983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 x14ac:dyDescent="0.35">
      <c r="A19" t="s">
        <v>24</v>
      </c>
      <c r="B19" t="s">
        <v>211</v>
      </c>
      <c r="C19" s="1"/>
      <c r="D19" s="1"/>
      <c r="E19" s="1"/>
      <c r="F19" s="1"/>
      <c r="G19" s="1"/>
      <c r="H19" s="1"/>
      <c r="I19" s="1"/>
      <c r="J19" s="1"/>
      <c r="K19" s="1"/>
      <c r="L19" s="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v>939.5</v>
      </c>
      <c r="Z19" s="1">
        <f t="shared" si="27"/>
        <v>939.5</v>
      </c>
      <c r="AA19" s="1">
        <f t="shared" si="27"/>
        <v>939.5</v>
      </c>
      <c r="AB19" s="1">
        <f t="shared" si="27"/>
        <v>939.5</v>
      </c>
      <c r="AC19" s="1">
        <f>AB19</f>
        <v>939.5</v>
      </c>
      <c r="AD19" s="1">
        <f t="shared" si="24"/>
        <v>939.5</v>
      </c>
      <c r="AE19" s="1">
        <f t="shared" si="24"/>
        <v>939.5</v>
      </c>
      <c r="AF19" s="1">
        <f>AE19</f>
        <v>939.5</v>
      </c>
      <c r="AG19" s="1">
        <f t="shared" si="28"/>
        <v>939.5</v>
      </c>
      <c r="AH19" s="1">
        <f t="shared" si="28"/>
        <v>939.5</v>
      </c>
      <c r="AI19" s="1">
        <f>AH19</f>
        <v>939.5</v>
      </c>
      <c r="AJ19" s="1">
        <f>AI19</f>
        <v>939.5</v>
      </c>
      <c r="AK19" s="1">
        <f>AJ19</f>
        <v>939.5</v>
      </c>
      <c r="AL19" s="1">
        <f t="shared" si="26"/>
        <v>939.5</v>
      </c>
      <c r="AM19" s="1">
        <f t="shared" si="26"/>
        <v>939.5</v>
      </c>
      <c r="AN19" s="1">
        <f>AM19</f>
        <v>939.5</v>
      </c>
      <c r="AO19" s="1">
        <f>AN19</f>
        <v>939.5</v>
      </c>
      <c r="AP19" s="1">
        <f>AO19</f>
        <v>939.5</v>
      </c>
      <c r="AQ19" s="1">
        <f>AP19</f>
        <v>939.5</v>
      </c>
      <c r="AR19" s="1">
        <f>AQ19</f>
        <v>939.5</v>
      </c>
      <c r="AS19" s="1">
        <f>AR19</f>
        <v>939.5</v>
      </c>
      <c r="AT19" s="1">
        <f>AS19-54.2</f>
        <v>885.3</v>
      </c>
      <c r="AU19" s="1">
        <f t="shared" si="29"/>
        <v>885.3</v>
      </c>
      <c r="AV19" s="17">
        <f t="shared" si="0"/>
        <v>0</v>
      </c>
      <c r="AW19" s="17">
        <f t="shared" si="1"/>
        <v>-54.200000000000045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 x14ac:dyDescent="0.35">
      <c r="A20" t="s">
        <v>24</v>
      </c>
      <c r="B20" t="s">
        <v>452</v>
      </c>
      <c r="C20" s="1"/>
      <c r="D20" s="1"/>
      <c r="E20" s="1"/>
      <c r="F20" s="1"/>
      <c r="G20" s="1"/>
      <c r="H20" s="1"/>
      <c r="I20" s="1"/>
      <c r="J20" s="1"/>
      <c r="K20" s="1"/>
      <c r="L20" s="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>
        <v>523.9</v>
      </c>
      <c r="AS20" s="1">
        <f t="shared" ref="AS20:AS27" si="30">AR20</f>
        <v>523.9</v>
      </c>
      <c r="AT20" s="1">
        <f>AS20</f>
        <v>523.9</v>
      </c>
      <c r="AU20" s="1">
        <f t="shared" si="29"/>
        <v>523.9</v>
      </c>
      <c r="AV20" s="17">
        <f t="shared" si="0"/>
        <v>0</v>
      </c>
      <c r="AW20" s="17">
        <f t="shared" si="1"/>
        <v>523.9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 x14ac:dyDescent="0.35">
      <c r="A21" t="s">
        <v>24</v>
      </c>
      <c r="B21" t="s">
        <v>57</v>
      </c>
      <c r="C21" s="1"/>
      <c r="D21" s="1"/>
      <c r="E21" s="1"/>
      <c r="F21" s="1"/>
      <c r="G21" s="1">
        <v>2170</v>
      </c>
      <c r="H21" s="1"/>
      <c r="I21" s="1"/>
      <c r="J21" s="1"/>
      <c r="K21" s="1"/>
      <c r="L21" s="5">
        <v>7130</v>
      </c>
      <c r="M21" s="5">
        <f>L21+2405.9</f>
        <v>9535.9</v>
      </c>
      <c r="N21" s="5">
        <v>11170</v>
      </c>
      <c r="O21" s="1">
        <v>12020</v>
      </c>
      <c r="P21" s="1">
        <f>O21+842.4</f>
        <v>12862.4</v>
      </c>
      <c r="Q21" s="1">
        <v>13700</v>
      </c>
      <c r="R21" s="1">
        <f>Q21+870.5</f>
        <v>14570.5</v>
      </c>
      <c r="S21" s="1">
        <f t="shared" ref="S21:T27" si="31">R21</f>
        <v>14570.5</v>
      </c>
      <c r="T21" s="1">
        <f t="shared" si="31"/>
        <v>14570.5</v>
      </c>
      <c r="U21" s="1">
        <f>T21</f>
        <v>14570.5</v>
      </c>
      <c r="V21" s="1">
        <f>U21+1786.7</f>
        <v>16357.2</v>
      </c>
      <c r="W21" s="1">
        <f>V21+893.3</f>
        <v>17250.5</v>
      </c>
      <c r="X21" s="1">
        <f>W21+917.7</f>
        <v>18168.2</v>
      </c>
      <c r="Y21" s="1">
        <f>X21+917.7</f>
        <v>19085.900000000001</v>
      </c>
      <c r="Z21" s="1">
        <f>Y21+917.7</f>
        <v>20003.600000000002</v>
      </c>
      <c r="AA21" s="1">
        <f>Z21+938</f>
        <v>20941.600000000002</v>
      </c>
      <c r="AB21" s="1">
        <f>AA21</f>
        <v>20941.600000000002</v>
      </c>
      <c r="AC21" s="1">
        <f>AB21</f>
        <v>20941.600000000002</v>
      </c>
      <c r="AD21" s="1">
        <f>AC21+2832.8</f>
        <v>23774.400000000001</v>
      </c>
      <c r="AE21" s="1">
        <f>AD21</f>
        <v>23774.400000000001</v>
      </c>
      <c r="AF21" s="1">
        <f>AE21</f>
        <v>23774.400000000001</v>
      </c>
      <c r="AG21" s="1">
        <f t="shared" si="28"/>
        <v>23774.400000000001</v>
      </c>
      <c r="AH21" s="1">
        <f>AG21+1950.2</f>
        <v>25724.600000000002</v>
      </c>
      <c r="AI21" s="1">
        <f>AH21+975.1</f>
        <v>26699.7</v>
      </c>
      <c r="AJ21" s="1">
        <f>AI21+995.7</f>
        <v>27695.4</v>
      </c>
      <c r="AK21" s="1">
        <f>AJ21+995.7</f>
        <v>28691.100000000002</v>
      </c>
      <c r="AL21" s="1">
        <f>AK21+995.7</f>
        <v>29686.800000000003</v>
      </c>
      <c r="AM21" s="1">
        <f>AL21+991.7</f>
        <v>30678.500000000004</v>
      </c>
      <c r="AN21" s="1">
        <f>AM21+991.7</f>
        <v>31670.200000000004</v>
      </c>
      <c r="AO21" s="1">
        <f>AN21+1983.4</f>
        <v>33653.600000000006</v>
      </c>
      <c r="AP21" s="1">
        <f>AO21+3950.9</f>
        <v>37604.500000000007</v>
      </c>
      <c r="AQ21" s="1">
        <f>AP21+987.7</f>
        <v>38592.200000000004</v>
      </c>
      <c r="AR21" s="1">
        <f t="shared" ref="AR21:AR27" si="32">AQ21</f>
        <v>38592.200000000004</v>
      </c>
      <c r="AS21" s="1">
        <f t="shared" si="30"/>
        <v>38592.200000000004</v>
      </c>
      <c r="AT21" s="1">
        <f>AS21+3028.7-692.2</f>
        <v>40928.700000000004</v>
      </c>
      <c r="AU21" s="1">
        <f>AT21+757.2</f>
        <v>41685.9</v>
      </c>
      <c r="AV21" s="17">
        <f t="shared" si="0"/>
        <v>757.19999999999709</v>
      </c>
      <c r="AW21" s="17">
        <f t="shared" si="1"/>
        <v>14986.2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 x14ac:dyDescent="0.35">
      <c r="A22" t="s">
        <v>24</v>
      </c>
      <c r="B22" t="s">
        <v>429</v>
      </c>
      <c r="C22" s="1"/>
      <c r="D22" s="1"/>
      <c r="E22" s="1"/>
      <c r="F22" s="1"/>
      <c r="G22" s="1"/>
      <c r="H22" s="1"/>
      <c r="I22" s="1"/>
      <c r="J22" s="1"/>
      <c r="K22" s="1"/>
      <c r="L22" s="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>
        <v>461.6</v>
      </c>
      <c r="AO22" s="1">
        <f>AN22</f>
        <v>461.6</v>
      </c>
      <c r="AP22" s="1">
        <f>AO22</f>
        <v>461.6</v>
      </c>
      <c r="AQ22" s="1">
        <f>AP22-2</f>
        <v>459.6</v>
      </c>
      <c r="AR22" s="1">
        <f t="shared" si="32"/>
        <v>459.6</v>
      </c>
      <c r="AS22" s="1">
        <f t="shared" si="30"/>
        <v>459.6</v>
      </c>
      <c r="AT22" s="1">
        <f>AS22-2</f>
        <v>457.6</v>
      </c>
      <c r="AU22" s="1">
        <f>AT22</f>
        <v>457.6</v>
      </c>
      <c r="AV22" s="17">
        <f t="shared" si="0"/>
        <v>0</v>
      </c>
      <c r="AW22" s="17">
        <f t="shared" si="1"/>
        <v>457.6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 x14ac:dyDescent="0.35">
      <c r="A23" t="s">
        <v>24</v>
      </c>
      <c r="B23" t="s">
        <v>427</v>
      </c>
      <c r="C23" s="1"/>
      <c r="D23" s="1"/>
      <c r="E23" s="1"/>
      <c r="F23" s="1"/>
      <c r="G23" s="1"/>
      <c r="H23" s="1"/>
      <c r="I23" s="1"/>
      <c r="J23" s="1"/>
      <c r="K23" s="1"/>
      <c r="L23" s="5"/>
      <c r="M23" s="5"/>
      <c r="N23" s="5"/>
      <c r="O23" s="1"/>
      <c r="P23" s="1"/>
      <c r="Q23" s="1"/>
      <c r="R23" s="1"/>
      <c r="S23" s="1"/>
      <c r="T23" s="1"/>
      <c r="U23" s="1"/>
      <c r="V23" s="1">
        <v>316</v>
      </c>
      <c r="W23" s="1">
        <f>V23</f>
        <v>316</v>
      </c>
      <c r="X23" s="1">
        <f>W23</f>
        <v>316</v>
      </c>
      <c r="Y23" s="1">
        <f>X23+26885</f>
        <v>27201</v>
      </c>
      <c r="Z23" s="1">
        <f>Y23</f>
        <v>27201</v>
      </c>
      <c r="AA23" s="1">
        <f>Z23</f>
        <v>27201</v>
      </c>
      <c r="AB23" s="1">
        <f>AA23+62050</f>
        <v>89251</v>
      </c>
      <c r="AC23" s="1">
        <f>AB23</f>
        <v>89251</v>
      </c>
      <c r="AD23" s="1">
        <f>AC23+137039</f>
        <v>226290</v>
      </c>
      <c r="AE23" s="1">
        <f>AD23+77848</f>
        <v>304138</v>
      </c>
      <c r="AF23" s="1">
        <f>AE23+37297</f>
        <v>341435</v>
      </c>
      <c r="AG23" s="1">
        <f>AF23+49015</f>
        <v>390450</v>
      </c>
      <c r="AH23" s="1">
        <f>AG23</f>
        <v>390450</v>
      </c>
      <c r="AI23" s="1">
        <f>AH23+47473</f>
        <v>437923</v>
      </c>
      <c r="AJ23" s="1">
        <f t="shared" ref="AJ23:AO23" si="33">AI23</f>
        <v>437923</v>
      </c>
      <c r="AK23" s="1">
        <f t="shared" si="33"/>
        <v>437923</v>
      </c>
      <c r="AL23" s="1">
        <f t="shared" si="33"/>
        <v>437923</v>
      </c>
      <c r="AM23" s="1">
        <f t="shared" si="33"/>
        <v>437923</v>
      </c>
      <c r="AN23" s="1">
        <f t="shared" si="33"/>
        <v>437923</v>
      </c>
      <c r="AO23" s="1">
        <f t="shared" si="33"/>
        <v>437923</v>
      </c>
      <c r="AP23" s="1">
        <f>AO23+2077</f>
        <v>440000</v>
      </c>
      <c r="AQ23" s="1">
        <f>AP23</f>
        <v>440000</v>
      </c>
      <c r="AR23" s="1">
        <f t="shared" si="32"/>
        <v>440000</v>
      </c>
      <c r="AS23" s="1">
        <f t="shared" si="30"/>
        <v>440000</v>
      </c>
      <c r="AT23" s="1">
        <f>AS23</f>
        <v>440000</v>
      </c>
      <c r="AU23" s="1">
        <f t="shared" ref="AU23:AU27" si="34">AT23</f>
        <v>440000</v>
      </c>
      <c r="AV23" s="17">
        <f t="shared" si="0"/>
        <v>0</v>
      </c>
      <c r="AW23" s="17">
        <f t="shared" si="1"/>
        <v>2077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 x14ac:dyDescent="0.35">
      <c r="A24" t="s">
        <v>24</v>
      </c>
      <c r="B24" t="s">
        <v>438</v>
      </c>
      <c r="C24" s="1"/>
      <c r="D24" s="1"/>
      <c r="E24" s="1"/>
      <c r="F24" s="1"/>
      <c r="G24" s="1"/>
      <c r="H24" s="1"/>
      <c r="I24" s="1"/>
      <c r="J24" s="1"/>
      <c r="K24" s="1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>
        <f>24553</f>
        <v>24553</v>
      </c>
      <c r="AQ24" s="1">
        <f>AP24</f>
        <v>24553</v>
      </c>
      <c r="AR24" s="1">
        <f t="shared" si="32"/>
        <v>24553</v>
      </c>
      <c r="AS24" s="1">
        <f t="shared" si="30"/>
        <v>24553</v>
      </c>
      <c r="AT24" s="1">
        <f>AS24</f>
        <v>24553</v>
      </c>
      <c r="AU24" s="1">
        <f t="shared" si="34"/>
        <v>24553</v>
      </c>
      <c r="AV24" s="17">
        <f t="shared" si="0"/>
        <v>0</v>
      </c>
      <c r="AW24" s="17">
        <f t="shared" si="1"/>
        <v>24553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1:80" x14ac:dyDescent="0.35">
      <c r="A25" t="s">
        <v>24</v>
      </c>
      <c r="B25" t="s">
        <v>426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133424</v>
      </c>
      <c r="AL25" s="1">
        <f>AK25+18524</f>
        <v>151948</v>
      </c>
      <c r="AM25" s="1">
        <f>AL25+25452</f>
        <v>177400</v>
      </c>
      <c r="AN25" s="1">
        <f t="shared" ref="AN25:AP27" si="35">AM25</f>
        <v>177400</v>
      </c>
      <c r="AO25" s="1">
        <f t="shared" si="35"/>
        <v>177400</v>
      </c>
      <c r="AP25" s="1">
        <f t="shared" si="35"/>
        <v>177400</v>
      </c>
      <c r="AQ25" s="1">
        <f>AP25</f>
        <v>177400</v>
      </c>
      <c r="AR25" s="1">
        <f t="shared" si="32"/>
        <v>177400</v>
      </c>
      <c r="AS25" s="1">
        <f t="shared" si="30"/>
        <v>177400</v>
      </c>
      <c r="AT25" s="1">
        <f>AS25</f>
        <v>177400</v>
      </c>
      <c r="AU25" s="1">
        <f t="shared" si="34"/>
        <v>177400</v>
      </c>
      <c r="AV25" s="17">
        <f t="shared" si="0"/>
        <v>0</v>
      </c>
      <c r="AW25" s="17">
        <f t="shared" si="1"/>
        <v>177400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1:80" x14ac:dyDescent="0.35">
      <c r="A26" t="s">
        <v>24</v>
      </c>
      <c r="B26" t="s">
        <v>58</v>
      </c>
      <c r="C26" s="1"/>
      <c r="D26" s="1"/>
      <c r="E26" s="1"/>
      <c r="F26" s="1"/>
      <c r="G26" s="1">
        <v>120000</v>
      </c>
      <c r="H26" s="1"/>
      <c r="I26" s="1"/>
      <c r="J26" s="1"/>
      <c r="K26" s="1"/>
      <c r="L26" s="5">
        <v>120000</v>
      </c>
      <c r="M26" s="5">
        <v>120000</v>
      </c>
      <c r="N26" s="5">
        <v>120000</v>
      </c>
      <c r="O26" s="1">
        <v>120000</v>
      </c>
      <c r="P26" s="1">
        <f>O26</f>
        <v>120000</v>
      </c>
      <c r="Q26" s="1">
        <v>120000</v>
      </c>
      <c r="R26" s="1">
        <f>Q26</f>
        <v>120000</v>
      </c>
      <c r="S26" s="1">
        <f t="shared" si="31"/>
        <v>120000</v>
      </c>
      <c r="T26" s="1">
        <f t="shared" si="31"/>
        <v>120000</v>
      </c>
      <c r="U26" s="1">
        <f t="shared" ref="U26:AE26" si="36">T26</f>
        <v>120000</v>
      </c>
      <c r="V26" s="1">
        <f t="shared" si="36"/>
        <v>120000</v>
      </c>
      <c r="W26" s="1">
        <f t="shared" si="36"/>
        <v>120000</v>
      </c>
      <c r="X26" s="1">
        <f t="shared" si="36"/>
        <v>120000</v>
      </c>
      <c r="Y26" s="1">
        <f t="shared" si="36"/>
        <v>120000</v>
      </c>
      <c r="Z26" s="1">
        <f t="shared" si="36"/>
        <v>120000</v>
      </c>
      <c r="AA26" s="1">
        <f t="shared" si="36"/>
        <v>120000</v>
      </c>
      <c r="AB26" s="1">
        <f t="shared" si="36"/>
        <v>120000</v>
      </c>
      <c r="AC26" s="1">
        <f t="shared" si="36"/>
        <v>120000</v>
      </c>
      <c r="AD26" s="1">
        <f t="shared" si="36"/>
        <v>120000</v>
      </c>
      <c r="AE26" s="1">
        <f t="shared" si="36"/>
        <v>120000</v>
      </c>
      <c r="AF26" s="1">
        <f t="shared" ref="AF26:AH27" si="37">AE26</f>
        <v>120000</v>
      </c>
      <c r="AG26" s="1">
        <f t="shared" si="37"/>
        <v>120000</v>
      </c>
      <c r="AH26" s="1">
        <f t="shared" si="37"/>
        <v>120000</v>
      </c>
      <c r="AI26" s="1">
        <f>AH26</f>
        <v>120000</v>
      </c>
      <c r="AJ26" s="1">
        <f>AI26</f>
        <v>120000</v>
      </c>
      <c r="AK26" s="1">
        <f>AJ26</f>
        <v>120000</v>
      </c>
      <c r="AL26" s="1">
        <f>AK26</f>
        <v>120000</v>
      </c>
      <c r="AM26" s="1">
        <f>AL26</f>
        <v>120000</v>
      </c>
      <c r="AN26" s="1">
        <f t="shared" si="35"/>
        <v>120000</v>
      </c>
      <c r="AO26" s="1">
        <f t="shared" si="35"/>
        <v>120000</v>
      </c>
      <c r="AP26" s="1">
        <f t="shared" si="35"/>
        <v>120000</v>
      </c>
      <c r="AQ26" s="1">
        <f>AP26</f>
        <v>120000</v>
      </c>
      <c r="AR26" s="1">
        <f t="shared" si="32"/>
        <v>120000</v>
      </c>
      <c r="AS26" s="1">
        <f t="shared" si="30"/>
        <v>120000</v>
      </c>
      <c r="AT26" s="1">
        <f>AS26</f>
        <v>120000</v>
      </c>
      <c r="AU26" s="1">
        <f t="shared" si="34"/>
        <v>120000</v>
      </c>
      <c r="AV26" s="17">
        <f t="shared" si="0"/>
        <v>0</v>
      </c>
      <c r="AW26" s="17">
        <f t="shared" si="1"/>
        <v>0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35">
      <c r="A27" t="s">
        <v>35</v>
      </c>
      <c r="B27" t="s">
        <v>6</v>
      </c>
      <c r="C27" s="1">
        <v>3000</v>
      </c>
      <c r="D27" s="1">
        <v>3000</v>
      </c>
      <c r="E27" s="1">
        <v>3000</v>
      </c>
      <c r="F27" s="1">
        <v>3000</v>
      </c>
      <c r="G27" s="1">
        <v>3000</v>
      </c>
      <c r="H27" s="1">
        <v>3000</v>
      </c>
      <c r="I27" s="1">
        <v>3000</v>
      </c>
      <c r="J27" s="1">
        <v>3000</v>
      </c>
      <c r="K27" s="1">
        <v>3000</v>
      </c>
      <c r="L27" s="5">
        <v>3000</v>
      </c>
      <c r="M27" s="5">
        <v>3000</v>
      </c>
      <c r="N27" s="5">
        <v>3000</v>
      </c>
      <c r="O27" s="1">
        <v>3000</v>
      </c>
      <c r="P27" s="1">
        <v>3000</v>
      </c>
      <c r="Q27" s="1">
        <v>3000</v>
      </c>
      <c r="R27" s="1">
        <f>Q27</f>
        <v>3000</v>
      </c>
      <c r="S27" s="1">
        <f t="shared" si="31"/>
        <v>3000</v>
      </c>
      <c r="T27" s="1">
        <f t="shared" si="31"/>
        <v>3000</v>
      </c>
      <c r="U27" s="1">
        <f>T27</f>
        <v>3000</v>
      </c>
      <c r="V27" s="1">
        <v>3000</v>
      </c>
      <c r="W27" s="1">
        <v>3000</v>
      </c>
      <c r="X27" s="1">
        <f>W27</f>
        <v>3000</v>
      </c>
      <c r="Y27" s="1">
        <f>X27</f>
        <v>3000</v>
      </c>
      <c r="Z27" s="1">
        <v>3000</v>
      </c>
      <c r="AA27" s="1">
        <v>3000</v>
      </c>
      <c r="AB27" s="1">
        <v>3000</v>
      </c>
      <c r="AC27" s="1">
        <v>3000</v>
      </c>
      <c r="AD27" s="1">
        <f>AC27</f>
        <v>3000</v>
      </c>
      <c r="AE27" s="1">
        <f>AD27</f>
        <v>3000</v>
      </c>
      <c r="AF27" s="1">
        <f t="shared" si="37"/>
        <v>3000</v>
      </c>
      <c r="AG27" s="1">
        <f t="shared" si="37"/>
        <v>3000</v>
      </c>
      <c r="AH27" s="1">
        <f t="shared" si="37"/>
        <v>3000</v>
      </c>
      <c r="AI27" s="1">
        <v>3000</v>
      </c>
      <c r="AJ27" s="1">
        <f>AI27</f>
        <v>3000</v>
      </c>
      <c r="AK27" s="1">
        <f>AJ27</f>
        <v>3000</v>
      </c>
      <c r="AL27" s="1">
        <f>AK27</f>
        <v>3000</v>
      </c>
      <c r="AM27" s="1">
        <f>AL27</f>
        <v>3000</v>
      </c>
      <c r="AN27" s="1">
        <f t="shared" si="35"/>
        <v>3000</v>
      </c>
      <c r="AO27" s="1">
        <f t="shared" si="35"/>
        <v>3000</v>
      </c>
      <c r="AP27" s="1">
        <f t="shared" si="35"/>
        <v>3000</v>
      </c>
      <c r="AQ27" s="1">
        <f>AP27</f>
        <v>3000</v>
      </c>
      <c r="AR27" s="1">
        <f t="shared" si="32"/>
        <v>3000</v>
      </c>
      <c r="AS27" s="1">
        <f t="shared" si="30"/>
        <v>3000</v>
      </c>
      <c r="AT27" s="1">
        <f>AS27</f>
        <v>3000</v>
      </c>
      <c r="AU27" s="1">
        <f t="shared" si="34"/>
        <v>3000</v>
      </c>
      <c r="AV27" s="17">
        <f t="shared" si="0"/>
        <v>0</v>
      </c>
      <c r="AW27" s="17">
        <f t="shared" si="1"/>
        <v>0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 x14ac:dyDescent="0.35">
      <c r="A28" t="s">
        <v>36</v>
      </c>
      <c r="B28" t="s">
        <v>7</v>
      </c>
      <c r="C28" s="1">
        <v>314357.40000000002</v>
      </c>
      <c r="D28" s="1">
        <v>319388.7</v>
      </c>
      <c r="E28" s="1">
        <v>385146.2</v>
      </c>
      <c r="F28" s="1">
        <v>583710</v>
      </c>
      <c r="G28" s="1">
        <v>583710</v>
      </c>
      <c r="H28" s="1">
        <v>583710</v>
      </c>
      <c r="I28" s="1">
        <v>595596</v>
      </c>
      <c r="J28" s="1">
        <v>603639.1</v>
      </c>
      <c r="K28" s="1">
        <v>619314.4</v>
      </c>
      <c r="L28" s="5">
        <v>697875.5</v>
      </c>
      <c r="M28" s="5">
        <v>703010.4</v>
      </c>
      <c r="N28" s="5">
        <v>862315.2</v>
      </c>
      <c r="O28" s="1">
        <v>918404.2</v>
      </c>
      <c r="P28" s="1">
        <v>940395.4</v>
      </c>
      <c r="Q28" s="1">
        <f>386744.9+140891.8+117073.5+88556.5+4050+178300+57500</f>
        <v>973116.7</v>
      </c>
      <c r="R28" s="1">
        <v>1157407</v>
      </c>
      <c r="S28" s="1">
        <f>R28</f>
        <v>1157407</v>
      </c>
      <c r="T28" s="1">
        <v>1163373</v>
      </c>
      <c r="U28" s="1">
        <v>1179302</v>
      </c>
      <c r="V28" s="1">
        <v>1182890</v>
      </c>
      <c r="W28" s="1">
        <v>1213962.3</v>
      </c>
      <c r="X28" s="1">
        <v>1231367.6000000001</v>
      </c>
      <c r="Y28" s="1">
        <v>1236574.6000000001</v>
      </c>
      <c r="Z28" s="1">
        <v>1262976</v>
      </c>
      <c r="AA28" s="1">
        <v>1270394.2</v>
      </c>
      <c r="AB28" s="1">
        <v>1283924.3999999999</v>
      </c>
      <c r="AC28" s="1">
        <v>1296899.4000000001</v>
      </c>
      <c r="AD28" s="1">
        <v>1339327.2</v>
      </c>
      <c r="AE28" s="1">
        <v>1339073.0999999999</v>
      </c>
      <c r="AF28" s="1">
        <v>1338488.3</v>
      </c>
      <c r="AG28" s="1">
        <v>1340916</v>
      </c>
      <c r="AH28" s="1">
        <v>1340825.6000000001</v>
      </c>
      <c r="AI28" s="1">
        <v>1347272.4</v>
      </c>
      <c r="AJ28" s="1">
        <v>1350046.2</v>
      </c>
      <c r="AK28" s="1">
        <v>1349572.0999999999</v>
      </c>
      <c r="AL28" s="1">
        <v>1349460.9000000001</v>
      </c>
      <c r="AM28" s="1">
        <v>1347890.4</v>
      </c>
      <c r="AN28" s="1">
        <v>1348143.9000000001</v>
      </c>
      <c r="AO28" s="1">
        <v>1346460.0000000002</v>
      </c>
      <c r="AP28" s="1">
        <v>1351077.6</v>
      </c>
      <c r="AQ28" s="1">
        <v>1350589.5</v>
      </c>
      <c r="AR28" s="1">
        <v>1347391.2</v>
      </c>
      <c r="AS28" s="1">
        <v>1344847.3</v>
      </c>
      <c r="AT28" s="1">
        <v>1347322.5</v>
      </c>
      <c r="AU28" s="1">
        <f>GETPIVOTDATA("Сумма, млн. руб",infra_invest!$J$2,"Получатель","АО «Атомэнергопром»")+GETPIVOTDATA("Сумма, млн. руб",infra_invest!$J$2,"Получатель","АО «ГТЛК»")+GETPIVOTDATA("Сумма, млн. руб",infra_invest!$J$2,"Получатель","ГК «Российские автомобильные дороги»")+GETPIVOTDATA("Сумма, млн. руб",infra_invest!$J$2,"Получатель","ГК Фонд содействия реформированию жилищно-коммунального хозяйства")+GETPIVOTDATA("Сумма, млн. руб",infra_invest!$J$2,"Получатель","ООО «Авиакапитал-Сервис»")+GETPIVOTDATA("Сумма, млн. руб",infra_invest!$J$2,"Получатель","ООО «Инфраструктурные инвестиции - 4»")+GETPIVOTDATA("Сумма, млн. руб",infra_invest!$J$2,"Получатель","ППК «Фонд развития территорий»")+GETPIVOTDATA("Сумма, млн. руб",infra_invest!$J$2,"Получатель","ОАО «РЖД»")</f>
        <v>1344250.0999999999</v>
      </c>
      <c r="AV28" s="17">
        <f t="shared" si="0"/>
        <v>-3072.4000000001397</v>
      </c>
      <c r="AW28" s="17">
        <f t="shared" si="1"/>
        <v>-3022.3000000000466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 x14ac:dyDescent="0.35">
      <c r="A29" t="s">
        <v>36</v>
      </c>
      <c r="B29" t="s">
        <v>8</v>
      </c>
      <c r="C29" s="1">
        <v>2221.4</v>
      </c>
      <c r="D29" s="1">
        <v>2221.4</v>
      </c>
      <c r="E29" s="1">
        <v>2221.4</v>
      </c>
      <c r="F29" s="1">
        <v>2153.4</v>
      </c>
      <c r="G29" s="1">
        <v>2153.4</v>
      </c>
      <c r="H29" s="1">
        <v>2082.4</v>
      </c>
      <c r="I29" s="1">
        <v>2082.4</v>
      </c>
      <c r="J29" s="1">
        <v>2082.4</v>
      </c>
      <c r="K29" s="1">
        <v>2082.4</v>
      </c>
      <c r="L29" s="5">
        <v>2014.4</v>
      </c>
      <c r="M29" s="5">
        <v>2014.4</v>
      </c>
      <c r="N29" s="5">
        <v>1943.5</v>
      </c>
      <c r="O29" s="1">
        <v>1943.5</v>
      </c>
      <c r="P29" s="1">
        <v>1943.5</v>
      </c>
      <c r="Q29" s="1">
        <v>1943.5</v>
      </c>
      <c r="R29" s="1">
        <v>1875.5</v>
      </c>
      <c r="S29" s="1">
        <f t="shared" ref="S29:T32" si="38">R29</f>
        <v>1875.5</v>
      </c>
      <c r="T29" s="1">
        <f t="shared" si="38"/>
        <v>1875.5</v>
      </c>
      <c r="U29" s="1">
        <f t="shared" ref="U29:V32" si="39">T29</f>
        <v>1875.5</v>
      </c>
      <c r="V29" s="1">
        <f t="shared" si="39"/>
        <v>1875.5</v>
      </c>
      <c r="W29" s="1">
        <v>1875.4</v>
      </c>
      <c r="X29" s="1">
        <f t="shared" ref="X29:Y31" si="40">W29</f>
        <v>1875.4</v>
      </c>
      <c r="Y29" s="1">
        <f t="shared" si="40"/>
        <v>1875.4</v>
      </c>
      <c r="Z29" s="1">
        <f t="shared" ref="Z29:AA32" si="41">Y29</f>
        <v>1875.4</v>
      </c>
      <c r="AA29" s="1">
        <f t="shared" ref="AA29:AF29" si="42">Z29</f>
        <v>1875.4</v>
      </c>
      <c r="AB29" s="1">
        <f t="shared" si="42"/>
        <v>1875.4</v>
      </c>
      <c r="AC29" s="1">
        <f t="shared" si="42"/>
        <v>1875.4</v>
      </c>
      <c r="AD29" s="1">
        <f t="shared" si="42"/>
        <v>1875.4</v>
      </c>
      <c r="AE29" s="1">
        <f t="shared" si="42"/>
        <v>1875.4</v>
      </c>
      <c r="AF29" s="1">
        <f t="shared" si="42"/>
        <v>1875.4</v>
      </c>
      <c r="AG29" s="1">
        <f t="shared" ref="AG29:AL29" si="43">AF29</f>
        <v>1875.4</v>
      </c>
      <c r="AH29" s="1">
        <f t="shared" si="43"/>
        <v>1875.4</v>
      </c>
      <c r="AI29" s="1">
        <f t="shared" si="43"/>
        <v>1875.4</v>
      </c>
      <c r="AJ29" s="1">
        <f t="shared" si="43"/>
        <v>1875.4</v>
      </c>
      <c r="AK29" s="1">
        <f t="shared" si="43"/>
        <v>1875.4</v>
      </c>
      <c r="AL29" s="1">
        <f t="shared" si="43"/>
        <v>1875.4</v>
      </c>
      <c r="AM29" s="1">
        <f t="shared" ref="AM29:AN31" si="44">AL29</f>
        <v>1875.4</v>
      </c>
      <c r="AN29" s="1">
        <f t="shared" si="44"/>
        <v>1875.4</v>
      </c>
      <c r="AO29" s="1">
        <f t="shared" ref="AO29:AP32" si="45">AN29</f>
        <v>1875.4</v>
      </c>
      <c r="AP29" s="1">
        <f t="shared" si="45"/>
        <v>1875.4</v>
      </c>
      <c r="AQ29" s="1">
        <f t="shared" ref="AQ29:AR32" si="46">AP29</f>
        <v>1875.4</v>
      </c>
      <c r="AR29" s="1">
        <f t="shared" si="46"/>
        <v>1875.4</v>
      </c>
      <c r="AS29" s="1">
        <f>AR29</f>
        <v>1875.4</v>
      </c>
      <c r="AT29" s="1">
        <f>AS29</f>
        <v>1875.4</v>
      </c>
      <c r="AU29" s="1">
        <f>AT29</f>
        <v>1875.4</v>
      </c>
      <c r="AV29" s="17">
        <f t="shared" si="0"/>
        <v>0</v>
      </c>
      <c r="AW29" s="17">
        <f t="shared" si="1"/>
        <v>0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x14ac:dyDescent="0.35">
      <c r="A30" t="s">
        <v>9</v>
      </c>
      <c r="B30" t="s">
        <v>30</v>
      </c>
      <c r="C30" s="1">
        <v>214037.9</v>
      </c>
      <c r="D30" s="1">
        <v>214037.9</v>
      </c>
      <c r="E30" s="1">
        <v>214037.9</v>
      </c>
      <c r="F30" s="1">
        <v>214037.9</v>
      </c>
      <c r="G30" s="1">
        <v>214037.9</v>
      </c>
      <c r="H30" s="1">
        <v>214037.9</v>
      </c>
      <c r="I30" s="1">
        <v>214037.9</v>
      </c>
      <c r="J30" s="1">
        <v>214037.9</v>
      </c>
      <c r="K30" s="1">
        <v>214037.9</v>
      </c>
      <c r="L30" s="5">
        <v>214037.9</v>
      </c>
      <c r="M30" s="5">
        <v>214037.9</v>
      </c>
      <c r="N30" s="5">
        <v>214037.9</v>
      </c>
      <c r="O30" s="5">
        <v>214037.9</v>
      </c>
      <c r="P30" s="5">
        <v>214037.9</v>
      </c>
      <c r="Q30" s="5">
        <v>214037.9</v>
      </c>
      <c r="R30" s="1">
        <f>Q30</f>
        <v>214037.9</v>
      </c>
      <c r="S30" s="1">
        <f t="shared" si="38"/>
        <v>214037.9</v>
      </c>
      <c r="T30" s="1">
        <f t="shared" si="38"/>
        <v>214037.9</v>
      </c>
      <c r="U30" s="1">
        <f t="shared" si="39"/>
        <v>214037.9</v>
      </c>
      <c r="V30" s="1">
        <f t="shared" si="39"/>
        <v>214037.9</v>
      </c>
      <c r="W30" s="1">
        <f>V30</f>
        <v>214037.9</v>
      </c>
      <c r="X30" s="1">
        <f t="shared" si="40"/>
        <v>214037.9</v>
      </c>
      <c r="Y30" s="1">
        <f t="shared" si="40"/>
        <v>214037.9</v>
      </c>
      <c r="Z30" s="1">
        <f t="shared" si="41"/>
        <v>214037.9</v>
      </c>
      <c r="AA30" s="1">
        <f t="shared" si="41"/>
        <v>214037.9</v>
      </c>
      <c r="AB30" s="1">
        <f t="shared" ref="AB30:AC32" si="47">AA30</f>
        <v>214037.9</v>
      </c>
      <c r="AC30" s="1">
        <f t="shared" si="47"/>
        <v>214037.9</v>
      </c>
      <c r="AD30" s="1">
        <f>AC30</f>
        <v>214037.9</v>
      </c>
      <c r="AE30" s="1">
        <v>214038</v>
      </c>
      <c r="AF30" s="1">
        <f>AE30</f>
        <v>214038</v>
      </c>
      <c r="AG30" s="1">
        <v>214038</v>
      </c>
      <c r="AH30" s="1">
        <v>214038</v>
      </c>
      <c r="AI30" s="1">
        <f t="shared" ref="AI30:AJ32" si="48">AH30</f>
        <v>214038</v>
      </c>
      <c r="AJ30" s="1">
        <f t="shared" si="48"/>
        <v>214038</v>
      </c>
      <c r="AK30" s="1">
        <f t="shared" ref="AK30:AL32" si="49">AJ30</f>
        <v>214038</v>
      </c>
      <c r="AL30" s="1">
        <f t="shared" si="49"/>
        <v>214038</v>
      </c>
      <c r="AM30" s="1">
        <f t="shared" si="44"/>
        <v>214038</v>
      </c>
      <c r="AN30" s="1">
        <f t="shared" si="44"/>
        <v>214038</v>
      </c>
      <c r="AO30" s="1">
        <f t="shared" si="45"/>
        <v>214038</v>
      </c>
      <c r="AP30" s="1">
        <f t="shared" si="45"/>
        <v>214038</v>
      </c>
      <c r="AQ30" s="1">
        <f t="shared" si="46"/>
        <v>214038</v>
      </c>
      <c r="AR30" s="1">
        <f t="shared" si="46"/>
        <v>214038</v>
      </c>
      <c r="AS30" s="1">
        <f>AR30</f>
        <v>214038</v>
      </c>
      <c r="AT30" s="1">
        <v>0</v>
      </c>
      <c r="AU30" s="1">
        <v>0</v>
      </c>
      <c r="AV30" s="17">
        <f t="shared" si="0"/>
        <v>0</v>
      </c>
      <c r="AW30" s="17">
        <f t="shared" si="1"/>
        <v>-214038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x14ac:dyDescent="0.35">
      <c r="A31" t="s">
        <v>9</v>
      </c>
      <c r="B31" t="s">
        <v>31</v>
      </c>
      <c r="C31" s="1">
        <v>25000</v>
      </c>
      <c r="D31" s="1">
        <v>25000</v>
      </c>
      <c r="E31" s="1">
        <v>25000</v>
      </c>
      <c r="F31" s="1">
        <v>25000</v>
      </c>
      <c r="G31" s="1">
        <v>25000</v>
      </c>
      <c r="H31" s="1">
        <v>25000</v>
      </c>
      <c r="I31" s="1">
        <v>25000</v>
      </c>
      <c r="J31" s="1">
        <v>25000</v>
      </c>
      <c r="K31" s="1">
        <v>25000</v>
      </c>
      <c r="L31" s="5">
        <v>25000</v>
      </c>
      <c r="M31" s="5">
        <v>25000</v>
      </c>
      <c r="N31" s="5">
        <v>25000</v>
      </c>
      <c r="O31" s="5">
        <v>25000</v>
      </c>
      <c r="P31" s="5">
        <v>25000</v>
      </c>
      <c r="Q31" s="5">
        <v>25000</v>
      </c>
      <c r="R31" s="1">
        <f>Q31</f>
        <v>25000</v>
      </c>
      <c r="S31" s="1">
        <f t="shared" si="38"/>
        <v>25000</v>
      </c>
      <c r="T31" s="1">
        <f t="shared" si="38"/>
        <v>25000</v>
      </c>
      <c r="U31" s="1">
        <f t="shared" si="39"/>
        <v>25000</v>
      </c>
      <c r="V31" s="1">
        <f t="shared" si="39"/>
        <v>25000</v>
      </c>
      <c r="W31" s="1">
        <f>V31</f>
        <v>25000</v>
      </c>
      <c r="X31" s="1">
        <f t="shared" si="40"/>
        <v>25000</v>
      </c>
      <c r="Y31" s="1">
        <f t="shared" si="40"/>
        <v>25000</v>
      </c>
      <c r="Z31" s="1">
        <f t="shared" si="41"/>
        <v>25000</v>
      </c>
      <c r="AA31" s="1">
        <f t="shared" si="41"/>
        <v>25000</v>
      </c>
      <c r="AB31" s="1">
        <f t="shared" si="47"/>
        <v>25000</v>
      </c>
      <c r="AC31" s="1">
        <f t="shared" si="47"/>
        <v>25000</v>
      </c>
      <c r="AD31" s="1">
        <f>AC31</f>
        <v>25000</v>
      </c>
      <c r="AE31" s="1">
        <v>25000</v>
      </c>
      <c r="AF31" s="1">
        <f>AE31</f>
        <v>25000</v>
      </c>
      <c r="AG31" s="1">
        <f>AF31</f>
        <v>25000</v>
      </c>
      <c r="AH31" s="1">
        <f>AG31</f>
        <v>25000</v>
      </c>
      <c r="AI31" s="1">
        <f t="shared" si="48"/>
        <v>25000</v>
      </c>
      <c r="AJ31" s="1">
        <f t="shared" si="48"/>
        <v>25000</v>
      </c>
      <c r="AK31" s="1">
        <f t="shared" si="49"/>
        <v>25000</v>
      </c>
      <c r="AL31" s="1">
        <f t="shared" si="49"/>
        <v>25000</v>
      </c>
      <c r="AM31" s="1">
        <f t="shared" si="44"/>
        <v>25000</v>
      </c>
      <c r="AN31" s="1">
        <f t="shared" si="44"/>
        <v>25000</v>
      </c>
      <c r="AO31" s="1">
        <f t="shared" si="45"/>
        <v>25000</v>
      </c>
      <c r="AP31" s="1">
        <f t="shared" si="45"/>
        <v>25000</v>
      </c>
      <c r="AQ31" s="1">
        <f t="shared" si="46"/>
        <v>25000</v>
      </c>
      <c r="AR31" s="1">
        <f t="shared" si="46"/>
        <v>25000</v>
      </c>
      <c r="AS31" s="1">
        <f>AR31</f>
        <v>25000</v>
      </c>
      <c r="AT31" s="1">
        <v>25000</v>
      </c>
      <c r="AU31" s="1">
        <f>AT31</f>
        <v>25000</v>
      </c>
      <c r="AV31" s="17">
        <f t="shared" si="0"/>
        <v>0</v>
      </c>
      <c r="AW31" s="17">
        <f t="shared" si="1"/>
        <v>0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 x14ac:dyDescent="0.35">
      <c r="A32" t="s">
        <v>9</v>
      </c>
      <c r="B32" t="s">
        <v>32</v>
      </c>
      <c r="C32" s="1">
        <v>89954</v>
      </c>
      <c r="D32" s="1">
        <v>89954</v>
      </c>
      <c r="E32" s="1">
        <v>89954</v>
      </c>
      <c r="F32" s="1">
        <v>89954</v>
      </c>
      <c r="G32" s="1">
        <v>89954</v>
      </c>
      <c r="H32" s="1">
        <v>89954</v>
      </c>
      <c r="I32" s="1">
        <v>89954</v>
      </c>
      <c r="J32" s="1">
        <v>89954</v>
      </c>
      <c r="K32" s="1">
        <v>89954</v>
      </c>
      <c r="L32" s="5">
        <v>89954</v>
      </c>
      <c r="M32" s="5">
        <v>89954</v>
      </c>
      <c r="N32" s="5">
        <v>89954</v>
      </c>
      <c r="O32" s="5">
        <v>89954</v>
      </c>
      <c r="P32" s="5">
        <v>89954</v>
      </c>
      <c r="Q32" s="5">
        <v>89954</v>
      </c>
      <c r="R32" s="1">
        <f>Q32</f>
        <v>89954</v>
      </c>
      <c r="S32" s="1">
        <f t="shared" si="38"/>
        <v>89954</v>
      </c>
      <c r="T32" s="1">
        <f t="shared" si="38"/>
        <v>89954</v>
      </c>
      <c r="U32" s="1">
        <f t="shared" si="39"/>
        <v>89954</v>
      </c>
      <c r="V32" s="1">
        <f t="shared" si="39"/>
        <v>89954</v>
      </c>
      <c r="W32" s="1">
        <f>V32</f>
        <v>89954</v>
      </c>
      <c r="X32" s="1">
        <v>164954</v>
      </c>
      <c r="Y32" s="1">
        <f>X32</f>
        <v>164954</v>
      </c>
      <c r="Z32" s="1">
        <f t="shared" si="41"/>
        <v>164954</v>
      </c>
      <c r="AA32" s="1">
        <f t="shared" si="41"/>
        <v>164954</v>
      </c>
      <c r="AB32" s="1">
        <f t="shared" si="47"/>
        <v>164954</v>
      </c>
      <c r="AC32" s="1">
        <f t="shared" si="47"/>
        <v>164954</v>
      </c>
      <c r="AD32" s="1">
        <f>AC32</f>
        <v>164954</v>
      </c>
      <c r="AE32" s="1">
        <v>164954</v>
      </c>
      <c r="AF32" s="1">
        <f>AE32</f>
        <v>164954</v>
      </c>
      <c r="AG32" s="1">
        <f>AF32</f>
        <v>164954</v>
      </c>
      <c r="AH32" s="1">
        <f>AG32</f>
        <v>164954</v>
      </c>
      <c r="AI32" s="1">
        <f t="shared" si="48"/>
        <v>164954</v>
      </c>
      <c r="AJ32" s="1">
        <f t="shared" si="48"/>
        <v>164954</v>
      </c>
      <c r="AK32" s="1">
        <f t="shared" si="49"/>
        <v>164954</v>
      </c>
      <c r="AL32" s="1">
        <f t="shared" si="49"/>
        <v>164954</v>
      </c>
      <c r="AM32" s="1">
        <f>AL32+30000</f>
        <v>194954</v>
      </c>
      <c r="AN32" s="1">
        <f>AM32</f>
        <v>194954</v>
      </c>
      <c r="AO32" s="1">
        <f t="shared" si="45"/>
        <v>194954</v>
      </c>
      <c r="AP32" s="1">
        <f t="shared" si="45"/>
        <v>194954</v>
      </c>
      <c r="AQ32" s="1">
        <f t="shared" si="46"/>
        <v>194954</v>
      </c>
      <c r="AR32" s="1">
        <f t="shared" si="46"/>
        <v>194954</v>
      </c>
      <c r="AS32" s="1">
        <f>AR32</f>
        <v>194954</v>
      </c>
      <c r="AT32" s="1">
        <v>194954</v>
      </c>
      <c r="AU32" s="1">
        <f>AT32</f>
        <v>194954</v>
      </c>
      <c r="AV32" s="17">
        <f t="shared" si="0"/>
        <v>0</v>
      </c>
      <c r="AW32" s="17">
        <f t="shared" si="1"/>
        <v>30000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1:80" x14ac:dyDescent="0.35">
      <c r="A33" t="s">
        <v>38</v>
      </c>
      <c r="B33" t="s">
        <v>10</v>
      </c>
      <c r="C33" s="1">
        <v>138433.9</v>
      </c>
      <c r="D33" s="1">
        <v>138433.9</v>
      </c>
      <c r="E33" s="1">
        <v>138433.9</v>
      </c>
      <c r="F33" s="1">
        <v>138433.9</v>
      </c>
      <c r="G33" s="1">
        <v>138433.9</v>
      </c>
      <c r="H33" s="1">
        <v>138433.9</v>
      </c>
      <c r="I33" s="1">
        <v>0</v>
      </c>
      <c r="J33" s="1">
        <v>0</v>
      </c>
      <c r="K33" s="1">
        <v>0</v>
      </c>
      <c r="L33" s="5">
        <v>0</v>
      </c>
      <c r="M33" s="5">
        <v>0</v>
      </c>
      <c r="N33" s="5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f>AF33</f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f t="shared" ref="AM33:AM40" si="50">AL33</f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f>AT33</f>
        <v>0</v>
      </c>
      <c r="AV33" s="17">
        <f t="shared" si="0"/>
        <v>0</v>
      </c>
      <c r="AW33" s="17">
        <f t="shared" si="1"/>
        <v>0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1:80" x14ac:dyDescent="0.35">
      <c r="A34" t="s">
        <v>38</v>
      </c>
      <c r="B34" t="s">
        <v>122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38433.9</v>
      </c>
      <c r="J34" s="1">
        <v>38433.9</v>
      </c>
      <c r="K34" s="1">
        <v>38433.9</v>
      </c>
      <c r="L34" s="5">
        <v>38433.9</v>
      </c>
      <c r="M34" s="5">
        <v>38433.9</v>
      </c>
      <c r="N34" s="5">
        <v>38433.9</v>
      </c>
      <c r="O34" s="1">
        <v>38433.9</v>
      </c>
      <c r="P34" s="1">
        <v>38433.9</v>
      </c>
      <c r="Q34" s="1">
        <v>38433.9</v>
      </c>
      <c r="R34" s="1">
        <f t="shared" ref="R34:W34" si="51">Q34</f>
        <v>38433.9</v>
      </c>
      <c r="S34" s="1">
        <f t="shared" si="51"/>
        <v>38433.9</v>
      </c>
      <c r="T34" s="1">
        <f t="shared" si="51"/>
        <v>38433.9</v>
      </c>
      <c r="U34" s="1">
        <f t="shared" si="51"/>
        <v>38433.9</v>
      </c>
      <c r="V34" s="1">
        <f t="shared" si="51"/>
        <v>38433.9</v>
      </c>
      <c r="W34" s="1">
        <f t="shared" si="51"/>
        <v>38433.9</v>
      </c>
      <c r="X34" s="1">
        <f t="shared" ref="X34:AC34" si="52">W34</f>
        <v>38433.9</v>
      </c>
      <c r="Y34" s="1">
        <f t="shared" si="52"/>
        <v>38433.9</v>
      </c>
      <c r="Z34" s="1">
        <f t="shared" si="52"/>
        <v>38433.9</v>
      </c>
      <c r="AA34" s="1">
        <f t="shared" si="52"/>
        <v>38433.9</v>
      </c>
      <c r="AB34" s="1">
        <f t="shared" si="52"/>
        <v>38433.9</v>
      </c>
      <c r="AC34" s="1">
        <f t="shared" si="52"/>
        <v>38433.9</v>
      </c>
      <c r="AD34" s="1">
        <f>AC34</f>
        <v>38433.9</v>
      </c>
      <c r="AE34" s="1">
        <f>AD34</f>
        <v>38433.9</v>
      </c>
      <c r="AF34" s="1">
        <f>AE34</f>
        <v>38433.9</v>
      </c>
      <c r="AG34" s="1">
        <f>AF34</f>
        <v>38433.9</v>
      </c>
      <c r="AH34" s="1">
        <f>AG34</f>
        <v>38433.9</v>
      </c>
      <c r="AI34" s="1">
        <f>AH34</f>
        <v>38433.9</v>
      </c>
      <c r="AJ34" s="1">
        <f>AI34</f>
        <v>38433.9</v>
      </c>
      <c r="AK34" s="1">
        <f>AJ34</f>
        <v>38433.9</v>
      </c>
      <c r="AL34" s="1">
        <f>AK34</f>
        <v>38433.9</v>
      </c>
      <c r="AM34" s="1">
        <f t="shared" si="50"/>
        <v>38433.9</v>
      </c>
      <c r="AN34" s="1">
        <f t="shared" ref="AN34:AN40" si="53">AM34</f>
        <v>38433.9</v>
      </c>
      <c r="AO34" s="1">
        <f t="shared" ref="AO34:AO40" si="54">AN34</f>
        <v>38433.9</v>
      </c>
      <c r="AP34" s="1">
        <f>AO34</f>
        <v>38433.9</v>
      </c>
      <c r="AQ34" s="1">
        <f>AP34</f>
        <v>38433.9</v>
      </c>
      <c r="AR34" s="1">
        <f>AQ34</f>
        <v>38433.9</v>
      </c>
      <c r="AS34" s="1">
        <f>AR34</f>
        <v>38433.9</v>
      </c>
      <c r="AT34" s="1">
        <f>AS34</f>
        <v>38433.9</v>
      </c>
      <c r="AU34" s="1">
        <f>AT34</f>
        <v>38433.9</v>
      </c>
      <c r="AV34" s="17">
        <f t="shared" si="0"/>
        <v>0</v>
      </c>
      <c r="AW34" s="17">
        <f t="shared" si="1"/>
        <v>0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1:80" x14ac:dyDescent="0.35">
      <c r="A35" t="s">
        <v>38</v>
      </c>
      <c r="B35" t="s">
        <v>238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5">
        <v>0</v>
      </c>
      <c r="M35" s="5">
        <v>0</v>
      </c>
      <c r="N35" s="5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94200</v>
      </c>
      <c r="AJ35" s="1">
        <f t="shared" ref="AJ35:AK39" si="55">AI35</f>
        <v>94200</v>
      </c>
      <c r="AK35" s="1">
        <f t="shared" si="55"/>
        <v>94200</v>
      </c>
      <c r="AL35" s="1">
        <f>AK35</f>
        <v>94200</v>
      </c>
      <c r="AM35" s="1">
        <f t="shared" si="50"/>
        <v>94200</v>
      </c>
      <c r="AN35" s="1">
        <f t="shared" si="53"/>
        <v>94200</v>
      </c>
      <c r="AO35" s="1">
        <f t="shared" si="54"/>
        <v>94200</v>
      </c>
      <c r="AP35" s="1">
        <f>AO35</f>
        <v>94200</v>
      </c>
      <c r="AQ35" s="1">
        <v>94225.8</v>
      </c>
      <c r="AR35" s="1">
        <f t="shared" ref="AR35:AR40" si="56">AQ35</f>
        <v>94225.8</v>
      </c>
      <c r="AS35" s="1">
        <v>94267.5</v>
      </c>
      <c r="AT35" s="1">
        <v>94267.5</v>
      </c>
      <c r="AU35" s="1">
        <f>AT35</f>
        <v>94267.5</v>
      </c>
      <c r="AV35" s="17">
        <f t="shared" si="0"/>
        <v>0</v>
      </c>
      <c r="AW35" s="17">
        <f t="shared" si="1"/>
        <v>67.5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1:80" x14ac:dyDescent="0.35">
      <c r="A36" t="s">
        <v>38</v>
      </c>
      <c r="B36" t="s">
        <v>241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93180</v>
      </c>
      <c r="AJ36" s="1">
        <f t="shared" si="55"/>
        <v>93180</v>
      </c>
      <c r="AK36" s="1">
        <f t="shared" si="55"/>
        <v>93180</v>
      </c>
      <c r="AL36" s="1">
        <f>AK36</f>
        <v>93180</v>
      </c>
      <c r="AM36" s="1">
        <f t="shared" si="50"/>
        <v>93180</v>
      </c>
      <c r="AN36" s="1">
        <f t="shared" si="53"/>
        <v>93180</v>
      </c>
      <c r="AO36" s="1">
        <f t="shared" si="54"/>
        <v>93180</v>
      </c>
      <c r="AP36" s="1">
        <f>AO36</f>
        <v>93180</v>
      </c>
      <c r="AQ36" s="1">
        <v>93205.5</v>
      </c>
      <c r="AR36" s="1">
        <f t="shared" si="56"/>
        <v>93205.5</v>
      </c>
      <c r="AS36" s="1">
        <f>AR36+41.3</f>
        <v>93246.8</v>
      </c>
      <c r="AT36" s="1">
        <f>AS36</f>
        <v>93246.8</v>
      </c>
      <c r="AU36" s="1">
        <f>AT36</f>
        <v>93246.8</v>
      </c>
      <c r="AV36" s="17">
        <f t="shared" si="0"/>
        <v>0</v>
      </c>
      <c r="AW36" s="17">
        <f t="shared" si="1"/>
        <v>66.80000000000291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1:80" x14ac:dyDescent="0.35">
      <c r="A37" t="s">
        <v>38</v>
      </c>
      <c r="B37" t="s">
        <v>242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83055</v>
      </c>
      <c r="AJ37" s="1">
        <f t="shared" si="55"/>
        <v>83055</v>
      </c>
      <c r="AK37" s="1">
        <f t="shared" si="55"/>
        <v>83055</v>
      </c>
      <c r="AL37" s="1">
        <f>AK37</f>
        <v>83055</v>
      </c>
      <c r="AM37" s="1">
        <f t="shared" si="50"/>
        <v>83055</v>
      </c>
      <c r="AN37" s="1">
        <f t="shared" si="53"/>
        <v>83055</v>
      </c>
      <c r="AO37" s="1">
        <f t="shared" si="54"/>
        <v>83055</v>
      </c>
      <c r="AP37" s="1">
        <f>AO37</f>
        <v>83055</v>
      </c>
      <c r="AQ37" s="1">
        <f>AP37</f>
        <v>83055</v>
      </c>
      <c r="AR37" s="1">
        <f t="shared" si="56"/>
        <v>83055</v>
      </c>
      <c r="AS37" s="1">
        <f>AR37</f>
        <v>83055</v>
      </c>
      <c r="AT37" s="1">
        <f>AS37</f>
        <v>83055</v>
      </c>
      <c r="AU37" s="1">
        <f>AT37</f>
        <v>83055</v>
      </c>
      <c r="AV37" s="17">
        <f t="shared" si="0"/>
        <v>0</v>
      </c>
      <c r="AW37" s="17">
        <f t="shared" si="1"/>
        <v>0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1:80" x14ac:dyDescent="0.35">
      <c r="A38" t="s">
        <v>38</v>
      </c>
      <c r="B38" t="s">
        <v>437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>
        <v>82600</v>
      </c>
      <c r="AQ38" s="1">
        <f>AP38</f>
        <v>82600</v>
      </c>
      <c r="AR38" s="1">
        <f t="shared" si="56"/>
        <v>82600</v>
      </c>
      <c r="AS38" s="1">
        <f>AR38+59.6</f>
        <v>82659.600000000006</v>
      </c>
      <c r="AT38" s="1">
        <f>AS38</f>
        <v>82659.600000000006</v>
      </c>
      <c r="AU38" s="1">
        <f>AT38</f>
        <v>82659.600000000006</v>
      </c>
      <c r="AV38" s="17">
        <f t="shared" si="0"/>
        <v>0</v>
      </c>
      <c r="AW38" s="17">
        <f t="shared" si="1"/>
        <v>82659.600000000006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1:80" x14ac:dyDescent="0.35">
      <c r="A39" t="s">
        <v>38</v>
      </c>
      <c r="B39" t="s">
        <v>243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29565</v>
      </c>
      <c r="AJ39" s="1">
        <f t="shared" si="55"/>
        <v>29565</v>
      </c>
      <c r="AK39" s="1">
        <f t="shared" si="55"/>
        <v>29565</v>
      </c>
      <c r="AL39" s="1">
        <f>AK39</f>
        <v>29565</v>
      </c>
      <c r="AM39" s="1">
        <f t="shared" si="50"/>
        <v>29565</v>
      </c>
      <c r="AN39" s="1">
        <f t="shared" si="53"/>
        <v>29565</v>
      </c>
      <c r="AO39" s="1">
        <f t="shared" si="54"/>
        <v>29565</v>
      </c>
      <c r="AP39" s="1">
        <f>AO39</f>
        <v>29565</v>
      </c>
      <c r="AQ39" s="1">
        <f>29573.1</f>
        <v>29573.1</v>
      </c>
      <c r="AR39" s="1">
        <f t="shared" si="56"/>
        <v>29573.1</v>
      </c>
      <c r="AS39" s="1">
        <v>29586.2</v>
      </c>
      <c r="AT39" s="1">
        <f>AS39</f>
        <v>29586.2</v>
      </c>
      <c r="AU39" s="1">
        <f>AT39</f>
        <v>29586.2</v>
      </c>
      <c r="AV39" s="17">
        <f t="shared" si="0"/>
        <v>0</v>
      </c>
      <c r="AW39" s="17">
        <f t="shared" si="1"/>
        <v>21.200000000000728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1:80" x14ac:dyDescent="0.35">
      <c r="A40" t="s">
        <v>38</v>
      </c>
      <c r="B40" t="s">
        <v>247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200000</v>
      </c>
      <c r="AL40" s="1">
        <f>AK40</f>
        <v>200000</v>
      </c>
      <c r="AM40" s="1">
        <f t="shared" si="50"/>
        <v>200000</v>
      </c>
      <c r="AN40" s="1">
        <f t="shared" si="53"/>
        <v>200000</v>
      </c>
      <c r="AO40" s="1">
        <f t="shared" si="54"/>
        <v>200000</v>
      </c>
      <c r="AP40" s="1">
        <f>AO40</f>
        <v>200000</v>
      </c>
      <c r="AQ40" s="1">
        <f>AP40</f>
        <v>200000</v>
      </c>
      <c r="AR40" s="1">
        <f t="shared" si="56"/>
        <v>200000</v>
      </c>
      <c r="AS40" s="1">
        <f>AR40</f>
        <v>200000</v>
      </c>
      <c r="AT40" s="1">
        <f>AS40</f>
        <v>200000</v>
      </c>
      <c r="AU40" s="1">
        <f>AT40</f>
        <v>200000</v>
      </c>
      <c r="AV40" s="17">
        <f t="shared" si="0"/>
        <v>0</v>
      </c>
      <c r="AW40" s="17">
        <f t="shared" si="1"/>
        <v>200000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1:80" x14ac:dyDescent="0.35">
      <c r="A41" t="s">
        <v>37</v>
      </c>
      <c r="B41" t="s">
        <v>120</v>
      </c>
      <c r="C41" s="1">
        <v>1231892.1000000001</v>
      </c>
      <c r="D41" s="1">
        <v>1432125.4</v>
      </c>
      <c r="E41" s="1">
        <v>1534896.1</v>
      </c>
      <c r="F41" s="1">
        <v>1590911.7</v>
      </c>
      <c r="G41" s="1">
        <v>1758281</v>
      </c>
      <c r="H41" s="1">
        <v>1920003.5</v>
      </c>
      <c r="I41" s="1">
        <v>2420417.2999999998</v>
      </c>
      <c r="J41" s="1">
        <v>2708739.7</v>
      </c>
      <c r="K41" s="1">
        <v>2756172.3</v>
      </c>
      <c r="L41" s="5">
        <v>2705012.9</v>
      </c>
      <c r="M41" s="5">
        <v>2931447</v>
      </c>
      <c r="N41" s="5">
        <v>2997062.1</v>
      </c>
      <c r="O41" s="1">
        <v>2944773.3</v>
      </c>
      <c r="P41" s="1">
        <v>3028345.1</v>
      </c>
      <c r="Q41" s="1">
        <v>3110787.4</v>
      </c>
      <c r="R41" s="1">
        <v>3067646.3</v>
      </c>
      <c r="S41" s="1">
        <v>3113497.8</v>
      </c>
      <c r="T41" s="1">
        <v>3303115.3</v>
      </c>
      <c r="U41" s="1">
        <v>3373360.7</v>
      </c>
      <c r="V41" s="1">
        <v>3483246.2</v>
      </c>
      <c r="W41" s="1">
        <v>3553491.6</v>
      </c>
      <c r="X41" s="1">
        <v>3698838.6</v>
      </c>
      <c r="Y41" s="1">
        <v>3271719.4</v>
      </c>
      <c r="Z41" s="1">
        <v>2895985.5</v>
      </c>
      <c r="AA41" s="1">
        <v>3057256.3</v>
      </c>
      <c r="AB41" s="1">
        <v>2708852.7</v>
      </c>
      <c r="AC41" s="1">
        <v>2632508.7999999998</v>
      </c>
      <c r="AD41" s="1">
        <v>3124000.8</v>
      </c>
      <c r="AE41" s="1">
        <v>3190971.1</v>
      </c>
      <c r="AF41" s="1">
        <v>3466757.7</v>
      </c>
      <c r="AG41" s="1">
        <v>3457722.9</v>
      </c>
      <c r="AH41" s="1">
        <v>3461111</v>
      </c>
      <c r="AI41" s="1">
        <v>3483133.3</v>
      </c>
      <c r="AJ41" s="1">
        <v>3569867.1</v>
      </c>
      <c r="AK41" s="1">
        <v>3437507.6</v>
      </c>
      <c r="AL41" s="1">
        <v>3505381.4</v>
      </c>
      <c r="AM41" s="1">
        <v>3247551.4</v>
      </c>
      <c r="AN41" s="1">
        <v>3316554.5</v>
      </c>
      <c r="AO41" s="1">
        <v>3413791.3</v>
      </c>
      <c r="AP41" s="1">
        <v>3387816.3</v>
      </c>
      <c r="AQ41" s="1">
        <v>3454899.6</v>
      </c>
      <c r="AR41" s="1">
        <v>3553265.7</v>
      </c>
      <c r="AS41" s="1">
        <v>3548070.7</v>
      </c>
      <c r="AT41" s="1">
        <v>3612895.3</v>
      </c>
      <c r="AU41" s="1">
        <v>3622833.5</v>
      </c>
      <c r="AV41" s="17">
        <f t="shared" si="0"/>
        <v>9938.2000000001863</v>
      </c>
      <c r="AW41" s="17">
        <f t="shared" si="1"/>
        <v>139700.20000000019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1:80" x14ac:dyDescent="0.35">
      <c r="A42" t="s">
        <v>37</v>
      </c>
      <c r="B42" t="s">
        <v>116</v>
      </c>
      <c r="C42" s="1">
        <v>53439.199999999997</v>
      </c>
      <c r="D42" s="1">
        <v>60627.5</v>
      </c>
      <c r="E42" s="1">
        <v>58793.2</v>
      </c>
      <c r="F42" s="1">
        <v>58073.8</v>
      </c>
      <c r="G42" s="1">
        <v>65876.899999999994</v>
      </c>
      <c r="H42" s="1">
        <v>66822.7</v>
      </c>
      <c r="I42" s="1">
        <v>74507.5</v>
      </c>
      <c r="J42" s="1">
        <v>94511.8</v>
      </c>
      <c r="K42" s="1">
        <v>94157.1</v>
      </c>
      <c r="L42" s="5">
        <v>100730.6</v>
      </c>
      <c r="M42" s="5">
        <v>107256.8</v>
      </c>
      <c r="N42" s="5">
        <v>104111.9</v>
      </c>
      <c r="O42" s="1">
        <v>97869.5</v>
      </c>
      <c r="P42" s="1">
        <v>92785.7</v>
      </c>
      <c r="Q42" s="1">
        <v>86046.6</v>
      </c>
      <c r="R42" s="1">
        <v>82901.8</v>
      </c>
      <c r="S42" s="1">
        <v>92076.3</v>
      </c>
      <c r="T42" s="1">
        <v>90823.1</v>
      </c>
      <c r="U42" s="1">
        <v>105719.8</v>
      </c>
      <c r="V42" s="1">
        <v>121964.4</v>
      </c>
      <c r="W42" s="1">
        <v>130264.1</v>
      </c>
      <c r="X42" s="1">
        <v>148471.20000000001</v>
      </c>
      <c r="Y42" s="1">
        <v>128206.9</v>
      </c>
      <c r="Z42" s="1">
        <v>112884.5</v>
      </c>
      <c r="AA42" s="1">
        <v>130145.8</v>
      </c>
      <c r="AB42" s="1">
        <v>127426.6</v>
      </c>
      <c r="AC42" s="1">
        <v>126433.5</v>
      </c>
      <c r="AD42" s="1">
        <v>139533.20000000001</v>
      </c>
      <c r="AE42" s="1">
        <v>152585.60000000001</v>
      </c>
      <c r="AF42" s="1">
        <v>171738.6</v>
      </c>
      <c r="AG42" s="1">
        <v>162233</v>
      </c>
      <c r="AH42" s="1">
        <v>166442</v>
      </c>
      <c r="AI42" s="1">
        <v>160696.1</v>
      </c>
      <c r="AJ42" s="1">
        <v>157172.79999999999</v>
      </c>
      <c r="AK42" s="1">
        <v>134520.29999999999</v>
      </c>
      <c r="AL42" s="1">
        <v>147076.1</v>
      </c>
      <c r="AM42" s="1">
        <v>128892.6</v>
      </c>
      <c r="AN42" s="1">
        <v>119670.8</v>
      </c>
      <c r="AO42" s="1">
        <v>133219.79999999999</v>
      </c>
      <c r="AP42" s="1">
        <v>136719.29999999999</v>
      </c>
      <c r="AQ42" s="1">
        <v>135915.4</v>
      </c>
      <c r="AR42" s="1">
        <v>132061.1</v>
      </c>
      <c r="AS42" s="1">
        <v>112458.9</v>
      </c>
      <c r="AT42" s="1">
        <v>111820.4</v>
      </c>
      <c r="AU42" s="1">
        <v>114303.2</v>
      </c>
      <c r="AV42" s="17">
        <f t="shared" si="0"/>
        <v>2482.8000000000029</v>
      </c>
      <c r="AW42" s="17">
        <f t="shared" si="1"/>
        <v>-46392.900000000009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1:80" x14ac:dyDescent="0.35">
      <c r="A43" t="s">
        <v>37</v>
      </c>
      <c r="B43" t="s">
        <v>11</v>
      </c>
      <c r="C43" s="1">
        <v>50000</v>
      </c>
      <c r="D43" s="1">
        <v>50000</v>
      </c>
      <c r="E43" s="1">
        <v>50000</v>
      </c>
      <c r="F43" s="1">
        <v>50000</v>
      </c>
      <c r="G43" s="1">
        <v>50000</v>
      </c>
      <c r="H43" s="1">
        <v>50000</v>
      </c>
      <c r="I43" s="1">
        <v>50000</v>
      </c>
      <c r="J43" s="1">
        <v>50000</v>
      </c>
      <c r="K43" s="1">
        <v>50000</v>
      </c>
      <c r="L43" s="5">
        <v>137000</v>
      </c>
      <c r="M43" s="5">
        <v>137000</v>
      </c>
      <c r="N43" s="5">
        <v>137000</v>
      </c>
      <c r="O43" s="1">
        <v>137000</v>
      </c>
      <c r="P43" s="1">
        <v>137000</v>
      </c>
      <c r="Q43" s="1">
        <v>137000</v>
      </c>
      <c r="R43" s="1">
        <f>Q43</f>
        <v>137000</v>
      </c>
      <c r="S43" s="1">
        <v>137000</v>
      </c>
      <c r="T43" s="1">
        <f t="shared" ref="T43:V44" si="57">S43</f>
        <v>137000</v>
      </c>
      <c r="U43" s="1">
        <f t="shared" si="57"/>
        <v>137000</v>
      </c>
      <c r="V43" s="1">
        <f t="shared" si="57"/>
        <v>137000</v>
      </c>
      <c r="W43" s="1">
        <v>137000</v>
      </c>
      <c r="X43" s="1">
        <f t="shared" ref="X43:Z44" si="58">W43</f>
        <v>137000</v>
      </c>
      <c r="Y43" s="1">
        <f t="shared" si="58"/>
        <v>137000</v>
      </c>
      <c r="Z43" s="1">
        <f t="shared" si="58"/>
        <v>137000</v>
      </c>
      <c r="AA43" s="1">
        <f t="shared" ref="AA43:AC44" si="59">Z43</f>
        <v>137000</v>
      </c>
      <c r="AB43" s="1">
        <f t="shared" si="59"/>
        <v>137000</v>
      </c>
      <c r="AC43" s="1">
        <f t="shared" si="59"/>
        <v>137000</v>
      </c>
      <c r="AD43" s="1">
        <f t="shared" ref="AD43:AF44" si="60">AC43</f>
        <v>137000</v>
      </c>
      <c r="AE43" s="1">
        <f t="shared" si="60"/>
        <v>137000</v>
      </c>
      <c r="AF43" s="1">
        <f t="shared" si="60"/>
        <v>137000</v>
      </c>
      <c r="AG43" s="1">
        <f t="shared" ref="AG43:AL43" si="61">AF43</f>
        <v>137000</v>
      </c>
      <c r="AH43" s="1">
        <f t="shared" si="61"/>
        <v>137000</v>
      </c>
      <c r="AI43" s="1">
        <f t="shared" si="61"/>
        <v>137000</v>
      </c>
      <c r="AJ43" s="1">
        <f t="shared" si="61"/>
        <v>137000</v>
      </c>
      <c r="AK43" s="1">
        <f t="shared" si="61"/>
        <v>137000</v>
      </c>
      <c r="AL43" s="1">
        <f t="shared" si="61"/>
        <v>137000</v>
      </c>
      <c r="AM43" s="1">
        <f t="shared" ref="AM43:AO44" si="62">AL43</f>
        <v>137000</v>
      </c>
      <c r="AN43" s="1">
        <f t="shared" si="62"/>
        <v>137000</v>
      </c>
      <c r="AO43" s="1">
        <f t="shared" si="62"/>
        <v>137000</v>
      </c>
      <c r="AP43" s="1">
        <v>181368.4</v>
      </c>
      <c r="AQ43" s="1">
        <v>207192.9</v>
      </c>
      <c r="AR43" s="1">
        <v>225824.9</v>
      </c>
      <c r="AS43" s="1">
        <v>214297.4</v>
      </c>
      <c r="AT43" s="1">
        <v>218299.7</v>
      </c>
      <c r="AU43" s="1">
        <v>235659.6</v>
      </c>
      <c r="AV43" s="17">
        <f t="shared" si="0"/>
        <v>17359.899999999994</v>
      </c>
      <c r="AW43" s="17">
        <f t="shared" si="1"/>
        <v>98659.6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1:80" x14ac:dyDescent="0.35">
      <c r="A44" t="s">
        <v>37</v>
      </c>
      <c r="B44" t="s">
        <v>16</v>
      </c>
      <c r="C44" s="1">
        <v>58334</v>
      </c>
      <c r="D44" s="1">
        <v>58334</v>
      </c>
      <c r="E44" s="1">
        <v>58334</v>
      </c>
      <c r="F44" s="1">
        <v>58334</v>
      </c>
      <c r="G44" s="1">
        <v>58334</v>
      </c>
      <c r="H44" s="1">
        <v>58334</v>
      </c>
      <c r="I44" s="1">
        <v>58334</v>
      </c>
      <c r="J44" s="1">
        <v>58334</v>
      </c>
      <c r="K44" s="1">
        <v>58334</v>
      </c>
      <c r="L44" s="5">
        <v>58334</v>
      </c>
      <c r="M44" s="5">
        <v>58334</v>
      </c>
      <c r="N44" s="5">
        <v>58334</v>
      </c>
      <c r="O44" s="1">
        <v>58334</v>
      </c>
      <c r="P44" s="1">
        <v>58334</v>
      </c>
      <c r="Q44" s="1">
        <v>58334</v>
      </c>
      <c r="R44" s="1">
        <v>58334</v>
      </c>
      <c r="S44" s="1">
        <v>58334</v>
      </c>
      <c r="T44" s="1">
        <f t="shared" si="57"/>
        <v>58334</v>
      </c>
      <c r="U44" s="1">
        <f t="shared" si="57"/>
        <v>58334</v>
      </c>
      <c r="V44" s="1">
        <f t="shared" si="57"/>
        <v>58334</v>
      </c>
      <c r="W44" s="1">
        <v>58334</v>
      </c>
      <c r="X44" s="1">
        <f t="shared" si="58"/>
        <v>58334</v>
      </c>
      <c r="Y44" s="1">
        <f t="shared" si="58"/>
        <v>58334</v>
      </c>
      <c r="Z44" s="1">
        <f t="shared" si="58"/>
        <v>58334</v>
      </c>
      <c r="AA44" s="1">
        <f t="shared" si="59"/>
        <v>58334</v>
      </c>
      <c r="AB44" s="1">
        <f t="shared" si="59"/>
        <v>58334</v>
      </c>
      <c r="AC44" s="1">
        <f t="shared" si="59"/>
        <v>58334</v>
      </c>
      <c r="AD44" s="1">
        <f t="shared" si="60"/>
        <v>58334</v>
      </c>
      <c r="AE44" s="1">
        <f t="shared" si="60"/>
        <v>58334</v>
      </c>
      <c r="AF44" s="1">
        <f t="shared" si="60"/>
        <v>58334</v>
      </c>
      <c r="AG44" s="1">
        <v>58334</v>
      </c>
      <c r="AH44" s="1">
        <f>AG44</f>
        <v>58334</v>
      </c>
      <c r="AI44" s="1">
        <f>AH44</f>
        <v>58334</v>
      </c>
      <c r="AJ44" s="1">
        <f>AI44</f>
        <v>58334</v>
      </c>
      <c r="AK44" s="1">
        <f>AJ44</f>
        <v>58334</v>
      </c>
      <c r="AL44" s="1">
        <f>AK44</f>
        <v>58334</v>
      </c>
      <c r="AM44" s="1">
        <f t="shared" si="62"/>
        <v>58334</v>
      </c>
      <c r="AN44" s="1">
        <f t="shared" si="62"/>
        <v>58334</v>
      </c>
      <c r="AO44" s="1">
        <f t="shared" si="62"/>
        <v>58334</v>
      </c>
      <c r="AP44" s="1">
        <v>58334</v>
      </c>
      <c r="AQ44" s="1">
        <f>AP44</f>
        <v>58334</v>
      </c>
      <c r="AR44" s="1">
        <v>58334</v>
      </c>
      <c r="AS44" s="1">
        <f>AR44</f>
        <v>58334</v>
      </c>
      <c r="AT44" s="1">
        <v>58334</v>
      </c>
      <c r="AU44" s="1">
        <f>AT44</f>
        <v>58334</v>
      </c>
      <c r="AV44" s="17">
        <f t="shared" si="0"/>
        <v>0</v>
      </c>
      <c r="AW44" s="17">
        <f t="shared" si="1"/>
        <v>0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1:80" x14ac:dyDescent="0.35">
      <c r="A45" t="s">
        <v>37</v>
      </c>
      <c r="B45" t="s">
        <v>112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105853.1</v>
      </c>
      <c r="J45" s="1">
        <v>130289.7</v>
      </c>
      <c r="K45" s="1">
        <v>130084.9</v>
      </c>
      <c r="L45" s="5">
        <v>127216.9</v>
      </c>
      <c r="M45" s="5">
        <v>150482.9</v>
      </c>
      <c r="N45" s="5">
        <v>168598.2</v>
      </c>
      <c r="O45" s="1">
        <v>151214.5</v>
      </c>
      <c r="P45" s="1">
        <v>147205.20000000001</v>
      </c>
      <c r="Q45" s="1">
        <v>138806</v>
      </c>
      <c r="R45" s="1">
        <v>133713.79999999999</v>
      </c>
      <c r="S45" s="1">
        <f>143693.3</f>
        <v>143693.29999999999</v>
      </c>
      <c r="T45" s="1">
        <v>136845.20000000001</v>
      </c>
      <c r="U45" s="1">
        <v>133040.70000000001</v>
      </c>
      <c r="V45" s="1">
        <v>137137.79999999999</v>
      </c>
      <c r="W45" s="1">
        <v>116856.9</v>
      </c>
      <c r="X45" s="1">
        <v>125021.9</v>
      </c>
      <c r="Y45" s="1">
        <v>114989.8</v>
      </c>
      <c r="Z45" s="1">
        <v>109206.9</v>
      </c>
      <c r="AA45" s="1">
        <v>105730.2</v>
      </c>
      <c r="AB45" s="1">
        <v>88416.7</v>
      </c>
      <c r="AC45" s="1">
        <v>81568.600000000006</v>
      </c>
      <c r="AD45" s="1">
        <v>93052.4</v>
      </c>
      <c r="AE45" s="1">
        <v>99549.3</v>
      </c>
      <c r="AF45" s="1">
        <v>105777</v>
      </c>
      <c r="AG45" s="1">
        <v>95674.6</v>
      </c>
      <c r="AH45" s="1">
        <v>113339.2</v>
      </c>
      <c r="AI45" s="1">
        <v>110670.2</v>
      </c>
      <c r="AJ45" s="1">
        <v>124542</v>
      </c>
      <c r="AK45" s="1">
        <v>90992.1</v>
      </c>
      <c r="AL45" s="1">
        <v>88042.1</v>
      </c>
      <c r="AM45" s="1">
        <v>79847.8</v>
      </c>
      <c r="AN45" s="1">
        <v>80046.8</v>
      </c>
      <c r="AO45" s="1">
        <v>84612.2</v>
      </c>
      <c r="AP45" s="1">
        <v>84682.5</v>
      </c>
      <c r="AQ45" s="1">
        <f>90945.3</f>
        <v>90945.3</v>
      </c>
      <c r="AR45" s="1">
        <v>101633</v>
      </c>
      <c r="AS45" s="1">
        <v>99227.4</v>
      </c>
      <c r="AT45" s="1">
        <v>343728.9</v>
      </c>
      <c r="AU45" s="1">
        <v>296413.3</v>
      </c>
      <c r="AV45" s="17">
        <f t="shared" si="0"/>
        <v>-47315.600000000035</v>
      </c>
      <c r="AW45" s="17">
        <f t="shared" si="1"/>
        <v>185743.09999999998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1:80" x14ac:dyDescent="0.35">
      <c r="A46" t="s">
        <v>13</v>
      </c>
      <c r="B46" t="s">
        <v>12</v>
      </c>
      <c r="C46" s="1">
        <v>250000</v>
      </c>
      <c r="D46" s="1">
        <v>250000</v>
      </c>
      <c r="E46" s="1">
        <v>250000</v>
      </c>
      <c r="F46" s="1">
        <v>467000</v>
      </c>
      <c r="G46" s="1">
        <v>467000</v>
      </c>
      <c r="H46" s="1">
        <v>467000</v>
      </c>
      <c r="I46" s="1">
        <v>467000</v>
      </c>
      <c r="J46" s="1">
        <v>467000</v>
      </c>
      <c r="K46" s="1">
        <v>467000</v>
      </c>
      <c r="L46" s="5">
        <v>467000</v>
      </c>
      <c r="M46" s="5">
        <v>467000</v>
      </c>
      <c r="N46" s="5">
        <v>467000</v>
      </c>
      <c r="O46" s="1">
        <v>467000</v>
      </c>
      <c r="P46" s="1">
        <v>467000</v>
      </c>
      <c r="Q46" s="1">
        <v>467000</v>
      </c>
      <c r="R46" s="1">
        <f t="shared" ref="R46:W46" si="63">Q46</f>
        <v>467000</v>
      </c>
      <c r="S46" s="1">
        <f t="shared" si="63"/>
        <v>467000</v>
      </c>
      <c r="T46" s="1">
        <f t="shared" si="63"/>
        <v>467000</v>
      </c>
      <c r="U46" s="1">
        <f t="shared" si="63"/>
        <v>467000</v>
      </c>
      <c r="V46" s="1">
        <f t="shared" si="63"/>
        <v>467000</v>
      </c>
      <c r="W46" s="1">
        <f t="shared" si="63"/>
        <v>467000</v>
      </c>
      <c r="X46" s="1">
        <f t="shared" ref="X46:AC46" si="64">W46</f>
        <v>467000</v>
      </c>
      <c r="Y46" s="1">
        <f t="shared" si="64"/>
        <v>467000</v>
      </c>
      <c r="Z46" s="1">
        <f t="shared" si="64"/>
        <v>467000</v>
      </c>
      <c r="AA46" s="1">
        <f t="shared" si="64"/>
        <v>467000</v>
      </c>
      <c r="AB46" s="1">
        <f t="shared" si="64"/>
        <v>467000</v>
      </c>
      <c r="AC46" s="1">
        <f t="shared" si="64"/>
        <v>467000</v>
      </c>
      <c r="AD46" s="1">
        <f t="shared" ref="AD46:AI46" si="65">AC46</f>
        <v>467000</v>
      </c>
      <c r="AE46" s="1">
        <f t="shared" si="65"/>
        <v>467000</v>
      </c>
      <c r="AF46" s="1">
        <f t="shared" si="65"/>
        <v>467000</v>
      </c>
      <c r="AG46" s="1">
        <f t="shared" si="65"/>
        <v>467000</v>
      </c>
      <c r="AH46" s="1">
        <f t="shared" si="65"/>
        <v>467000</v>
      </c>
      <c r="AI46" s="1">
        <f t="shared" si="65"/>
        <v>467000</v>
      </c>
      <c r="AJ46" s="1">
        <f t="shared" ref="AJ46:AO46" si="66">AI46</f>
        <v>467000</v>
      </c>
      <c r="AK46" s="1">
        <f t="shared" si="66"/>
        <v>467000</v>
      </c>
      <c r="AL46" s="1">
        <f t="shared" si="66"/>
        <v>467000</v>
      </c>
      <c r="AM46" s="1">
        <f t="shared" si="66"/>
        <v>467000</v>
      </c>
      <c r="AN46" s="1">
        <f t="shared" si="66"/>
        <v>467000</v>
      </c>
      <c r="AO46" s="1">
        <f t="shared" si="66"/>
        <v>467000</v>
      </c>
      <c r="AP46" s="1">
        <f>AO46</f>
        <v>467000</v>
      </c>
      <c r="AQ46" s="1">
        <f>AP46</f>
        <v>467000</v>
      </c>
      <c r="AR46" s="1">
        <f>AQ46</f>
        <v>467000</v>
      </c>
      <c r="AS46" s="1">
        <f>AR46</f>
        <v>467000</v>
      </c>
      <c r="AT46" s="1">
        <f>AS46</f>
        <v>467000</v>
      </c>
      <c r="AU46" s="1">
        <f>AT46</f>
        <v>467000</v>
      </c>
      <c r="AV46" s="17">
        <f t="shared" si="0"/>
        <v>0</v>
      </c>
      <c r="AW46" s="17">
        <f t="shared" si="1"/>
        <v>0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1:80" x14ac:dyDescent="0.35">
      <c r="A47" t="s">
        <v>14</v>
      </c>
      <c r="B47" t="s">
        <v>15</v>
      </c>
      <c r="C47" s="1">
        <v>11851.9</v>
      </c>
      <c r="D47" s="1">
        <v>11851.9</v>
      </c>
      <c r="E47" s="1">
        <v>11851.9</v>
      </c>
      <c r="F47" s="1">
        <v>11851.9</v>
      </c>
      <c r="G47" s="1">
        <v>11851.9</v>
      </c>
      <c r="H47" s="1">
        <v>11851.9</v>
      </c>
      <c r="I47" s="1">
        <v>11851.9</v>
      </c>
      <c r="J47" s="1">
        <v>11851.9</v>
      </c>
      <c r="K47" s="1">
        <v>11851.9</v>
      </c>
      <c r="L47" s="5">
        <v>11851.9</v>
      </c>
      <c r="M47" s="5">
        <v>0</v>
      </c>
      <c r="N47" s="5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f>AS47</f>
        <v>0</v>
      </c>
      <c r="AU47" s="1">
        <f>AT47</f>
        <v>0</v>
      </c>
      <c r="AV47" s="17">
        <f t="shared" si="0"/>
        <v>0</v>
      </c>
      <c r="AW47" s="17">
        <f t="shared" si="1"/>
        <v>0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1:80" x14ac:dyDescent="0.35">
      <c r="A48" t="s">
        <v>14</v>
      </c>
      <c r="B48" t="s">
        <v>17</v>
      </c>
      <c r="C48" s="1">
        <v>2298.9</v>
      </c>
      <c r="D48" s="1">
        <v>2298.9</v>
      </c>
      <c r="E48" s="1">
        <v>2298.9</v>
      </c>
      <c r="F48" s="1">
        <v>2298.9</v>
      </c>
      <c r="G48" s="1">
        <v>2298.9</v>
      </c>
      <c r="H48" s="1">
        <v>2298.9</v>
      </c>
      <c r="I48" s="1">
        <v>2298.9</v>
      </c>
      <c r="J48" s="1">
        <v>2298.9</v>
      </c>
      <c r="K48" s="1">
        <v>2298.9</v>
      </c>
      <c r="L48" s="5">
        <v>2298.9</v>
      </c>
      <c r="M48" s="5">
        <v>2298.9</v>
      </c>
      <c r="N48" s="5">
        <v>2298.9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f>AS48</f>
        <v>0</v>
      </c>
      <c r="AU48" s="1">
        <f>AT48</f>
        <v>0</v>
      </c>
      <c r="AV48" s="17">
        <f t="shared" si="0"/>
        <v>0</v>
      </c>
      <c r="AW48" s="17">
        <f t="shared" si="1"/>
        <v>0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1:80" x14ac:dyDescent="0.35">
      <c r="A49" t="s">
        <v>14</v>
      </c>
      <c r="B49" t="s">
        <v>39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34948.1</v>
      </c>
      <c r="K49" s="5">
        <v>34948.1</v>
      </c>
      <c r="L49" s="5">
        <v>34948.1</v>
      </c>
      <c r="M49" s="5">
        <v>34423.9</v>
      </c>
      <c r="N49" s="5">
        <v>97014.5</v>
      </c>
      <c r="O49" s="1">
        <v>167543.5</v>
      </c>
      <c r="P49" s="1">
        <v>185719.7</v>
      </c>
      <c r="Q49" s="1">
        <v>190195.1</v>
      </c>
      <c r="R49" s="1">
        <v>296818.8</v>
      </c>
      <c r="S49" s="1">
        <v>296014</v>
      </c>
      <c r="T49" s="1">
        <v>294994</v>
      </c>
      <c r="U49" s="1">
        <v>292320.8</v>
      </c>
      <c r="V49" s="1">
        <v>291516.09999999998</v>
      </c>
      <c r="W49" s="1">
        <v>290496</v>
      </c>
      <c r="X49" s="1">
        <v>287822.8</v>
      </c>
      <c r="Y49" s="1">
        <v>287018.09999999998</v>
      </c>
      <c r="Z49" s="1">
        <v>285998</v>
      </c>
      <c r="AA49" s="1">
        <v>282911.8</v>
      </c>
      <c r="AB49" s="1">
        <v>282107.09999999998</v>
      </c>
      <c r="AC49" s="1">
        <v>281087</v>
      </c>
      <c r="AD49" s="1">
        <f>278420.3</f>
        <v>278420.3</v>
      </c>
      <c r="AE49" s="1">
        <v>277615.59999999998</v>
      </c>
      <c r="AF49" s="1">
        <v>276595.5</v>
      </c>
      <c r="AG49" s="1">
        <v>273928.8</v>
      </c>
      <c r="AH49" s="1">
        <v>273124.09999999998</v>
      </c>
      <c r="AI49" s="1">
        <v>272104</v>
      </c>
      <c r="AJ49" s="1">
        <v>269437.3</v>
      </c>
      <c r="AK49" s="1">
        <v>268632.59999999998</v>
      </c>
      <c r="AL49" s="1">
        <v>267612.5</v>
      </c>
      <c r="AM49" s="1">
        <v>264945.8</v>
      </c>
      <c r="AN49" s="1">
        <v>264141.09999999998</v>
      </c>
      <c r="AO49" s="1">
        <v>263121</v>
      </c>
      <c r="AP49" s="1">
        <v>260454.3</v>
      </c>
      <c r="AQ49" s="1">
        <v>259649.6</v>
      </c>
      <c r="AR49" s="1">
        <v>258629.5</v>
      </c>
      <c r="AS49" s="1">
        <v>255962.8</v>
      </c>
      <c r="AT49" s="1">
        <v>255158.1</v>
      </c>
      <c r="AU49" s="1">
        <v>254138</v>
      </c>
      <c r="AV49" s="17">
        <f t="shared" si="0"/>
        <v>-1020.1000000000058</v>
      </c>
      <c r="AW49" s="17">
        <f t="shared" si="1"/>
        <v>-17966</v>
      </c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1:80" x14ac:dyDescent="0.35">
      <c r="A50" t="s">
        <v>14</v>
      </c>
      <c r="B50" t="s">
        <v>40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60000</v>
      </c>
      <c r="K50" s="5">
        <v>60000</v>
      </c>
      <c r="L50" s="5">
        <v>60000</v>
      </c>
      <c r="M50" s="5">
        <v>60000</v>
      </c>
      <c r="N50" s="5">
        <v>60000</v>
      </c>
      <c r="O50" s="1">
        <v>60000</v>
      </c>
      <c r="P50" s="1">
        <v>60000</v>
      </c>
      <c r="Q50" s="1">
        <v>60000</v>
      </c>
      <c r="R50" s="1">
        <v>60000</v>
      </c>
      <c r="S50" s="1">
        <f t="shared" ref="S50:T53" si="67">R50</f>
        <v>60000</v>
      </c>
      <c r="T50" s="1">
        <f t="shared" si="67"/>
        <v>60000</v>
      </c>
      <c r="U50" s="1">
        <f t="shared" ref="U50:W51" si="68">T50</f>
        <v>60000</v>
      </c>
      <c r="V50" s="1">
        <f t="shared" si="68"/>
        <v>60000</v>
      </c>
      <c r="W50" s="1">
        <f t="shared" si="68"/>
        <v>60000</v>
      </c>
      <c r="X50" s="1">
        <f>W50</f>
        <v>60000</v>
      </c>
      <c r="Y50" s="1">
        <f>X50</f>
        <v>60000</v>
      </c>
      <c r="Z50" s="1">
        <f>Y50</f>
        <v>60000</v>
      </c>
      <c r="AA50" s="1">
        <v>60000</v>
      </c>
      <c r="AB50" s="1">
        <f>AA50</f>
        <v>60000</v>
      </c>
      <c r="AC50" s="1">
        <f>AB50</f>
        <v>60000</v>
      </c>
      <c r="AD50" s="1">
        <f>AC50</f>
        <v>60000</v>
      </c>
      <c r="AE50" s="1">
        <v>60000</v>
      </c>
      <c r="AF50" s="1">
        <f t="shared" ref="AF50:AG53" si="69">AE50</f>
        <v>60000</v>
      </c>
      <c r="AG50" s="1">
        <f t="shared" si="69"/>
        <v>60000</v>
      </c>
      <c r="AH50" s="1">
        <f t="shared" ref="AH50:AM50" si="70">AG50</f>
        <v>60000</v>
      </c>
      <c r="AI50" s="1">
        <f t="shared" si="70"/>
        <v>60000</v>
      </c>
      <c r="AJ50" s="1">
        <f t="shared" si="70"/>
        <v>60000</v>
      </c>
      <c r="AK50" s="1">
        <f t="shared" si="70"/>
        <v>60000</v>
      </c>
      <c r="AL50" s="1">
        <f t="shared" si="70"/>
        <v>60000</v>
      </c>
      <c r="AM50" s="1">
        <f t="shared" si="70"/>
        <v>60000</v>
      </c>
      <c r="AN50" s="1">
        <f t="shared" ref="AN50:AO53" si="71">AM50</f>
        <v>60000</v>
      </c>
      <c r="AO50" s="1">
        <f t="shared" si="71"/>
        <v>60000</v>
      </c>
      <c r="AP50" s="1">
        <f>AO50</f>
        <v>60000</v>
      </c>
      <c r="AQ50" s="1">
        <f>AP50</f>
        <v>60000</v>
      </c>
      <c r="AR50" s="1">
        <f>AQ50</f>
        <v>60000</v>
      </c>
      <c r="AS50" s="1">
        <f>AR50</f>
        <v>60000</v>
      </c>
      <c r="AT50" s="1">
        <f>AS50</f>
        <v>60000</v>
      </c>
      <c r="AU50" s="1">
        <f>AT50</f>
        <v>60000</v>
      </c>
      <c r="AV50" s="17">
        <f t="shared" si="0"/>
        <v>0</v>
      </c>
      <c r="AW50" s="17">
        <f t="shared" si="1"/>
        <v>0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1:80" x14ac:dyDescent="0.35">
      <c r="A51" t="s">
        <v>14</v>
      </c>
      <c r="B51" t="s">
        <v>208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5">
        <v>0</v>
      </c>
      <c r="L51" s="5">
        <v>0</v>
      </c>
      <c r="M51" s="5">
        <v>0</v>
      </c>
      <c r="N51" s="5">
        <v>0</v>
      </c>
      <c r="O51" s="1">
        <v>0</v>
      </c>
      <c r="P51" s="1">
        <v>0</v>
      </c>
      <c r="Q51" s="1">
        <v>0</v>
      </c>
      <c r="R51" s="1">
        <v>11000</v>
      </c>
      <c r="S51" s="1">
        <f t="shared" si="67"/>
        <v>11000</v>
      </c>
      <c r="T51" s="1">
        <f t="shared" si="67"/>
        <v>11000</v>
      </c>
      <c r="U51" s="1">
        <f t="shared" si="68"/>
        <v>11000</v>
      </c>
      <c r="V51" s="1">
        <f t="shared" si="68"/>
        <v>11000</v>
      </c>
      <c r="W51" s="1">
        <f t="shared" si="68"/>
        <v>11000</v>
      </c>
      <c r="X51" s="1">
        <v>16000</v>
      </c>
      <c r="Y51" s="1">
        <f>X51</f>
        <v>16000</v>
      </c>
      <c r="Z51" s="1">
        <f>Y51+12500</f>
        <v>28500</v>
      </c>
      <c r="AA51" s="1">
        <f>Z51</f>
        <v>28500</v>
      </c>
      <c r="AB51" s="1">
        <f>AA51</f>
        <v>28500</v>
      </c>
      <c r="AC51" s="1">
        <f>AB51+21200</f>
        <v>49700</v>
      </c>
      <c r="AD51" s="1">
        <f>AC51</f>
        <v>49700</v>
      </c>
      <c r="AE51" s="1">
        <f>AD51</f>
        <v>49700</v>
      </c>
      <c r="AF51" s="1">
        <f t="shared" si="69"/>
        <v>49700</v>
      </c>
      <c r="AG51" s="1">
        <f t="shared" si="69"/>
        <v>49700</v>
      </c>
      <c r="AH51" s="1">
        <f>AG51</f>
        <v>49700</v>
      </c>
      <c r="AI51" s="1">
        <f>AH51+8700</f>
        <v>58400</v>
      </c>
      <c r="AJ51" s="1">
        <f t="shared" ref="AJ51:AL52" si="72">AI51</f>
        <v>58400</v>
      </c>
      <c r="AK51" s="1">
        <f t="shared" si="72"/>
        <v>58400</v>
      </c>
      <c r="AL51" s="1">
        <f t="shared" si="72"/>
        <v>58400</v>
      </c>
      <c r="AM51" s="1">
        <f>AL51</f>
        <v>58400</v>
      </c>
      <c r="AN51" s="1">
        <f t="shared" si="71"/>
        <v>58400</v>
      </c>
      <c r="AO51" s="1">
        <f t="shared" si="71"/>
        <v>58400</v>
      </c>
      <c r="AP51" s="1">
        <f>AO51+5300</f>
        <v>63700</v>
      </c>
      <c r="AQ51" s="1">
        <f t="shared" ref="AQ51:AR53" si="73">AP51</f>
        <v>63700</v>
      </c>
      <c r="AR51" s="1">
        <f t="shared" si="73"/>
        <v>63700</v>
      </c>
      <c r="AS51" s="1">
        <f t="shared" ref="AS51:AT53" si="74">AR51</f>
        <v>63700</v>
      </c>
      <c r="AT51" s="1">
        <f t="shared" si="74"/>
        <v>63700</v>
      </c>
      <c r="AU51" s="1">
        <f>AT51</f>
        <v>63700</v>
      </c>
      <c r="AV51" s="17">
        <f t="shared" si="0"/>
        <v>0</v>
      </c>
      <c r="AW51" s="17">
        <f t="shared" si="1"/>
        <v>5300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1:80" x14ac:dyDescent="0.35">
      <c r="A52" t="s">
        <v>14</v>
      </c>
      <c r="B52" t="s">
        <v>209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5">
        <v>0</v>
      </c>
      <c r="L52" s="5">
        <v>0</v>
      </c>
      <c r="M52" s="5">
        <v>0</v>
      </c>
      <c r="N52" s="5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3000</v>
      </c>
      <c r="Z52" s="1">
        <f>Y52+2750</f>
        <v>5750</v>
      </c>
      <c r="AA52" s="1">
        <f>Z52+2000</f>
        <v>7750</v>
      </c>
      <c r="AB52" s="1">
        <f>AA52+1250</f>
        <v>9000</v>
      </c>
      <c r="AC52" s="1">
        <f>AB52+1000</f>
        <v>10000</v>
      </c>
      <c r="AD52" s="1">
        <f>AC52</f>
        <v>10000</v>
      </c>
      <c r="AE52" s="1">
        <f>AD52</f>
        <v>10000</v>
      </c>
      <c r="AF52" s="1">
        <f t="shared" si="69"/>
        <v>10000</v>
      </c>
      <c r="AG52" s="1">
        <f t="shared" si="69"/>
        <v>10000</v>
      </c>
      <c r="AH52" s="1">
        <f>AG52</f>
        <v>10000</v>
      </c>
      <c r="AI52" s="1">
        <f>AH52</f>
        <v>10000</v>
      </c>
      <c r="AJ52" s="1">
        <f t="shared" si="72"/>
        <v>10000</v>
      </c>
      <c r="AK52" s="1">
        <f t="shared" si="72"/>
        <v>10000</v>
      </c>
      <c r="AL52" s="1">
        <f t="shared" si="72"/>
        <v>10000</v>
      </c>
      <c r="AM52" s="1">
        <f>AL52</f>
        <v>10000</v>
      </c>
      <c r="AN52" s="1">
        <f t="shared" si="71"/>
        <v>10000</v>
      </c>
      <c r="AO52" s="1">
        <f t="shared" si="71"/>
        <v>10000</v>
      </c>
      <c r="AP52" s="1">
        <f>AO52</f>
        <v>10000</v>
      </c>
      <c r="AQ52" s="1">
        <f t="shared" si="73"/>
        <v>10000</v>
      </c>
      <c r="AR52" s="1">
        <f t="shared" si="73"/>
        <v>10000</v>
      </c>
      <c r="AS52" s="1">
        <f t="shared" si="74"/>
        <v>10000</v>
      </c>
      <c r="AT52" s="1">
        <f t="shared" si="74"/>
        <v>10000</v>
      </c>
      <c r="AU52" s="1">
        <f>AT52</f>
        <v>10000</v>
      </c>
      <c r="AV52" s="17">
        <f t="shared" si="0"/>
        <v>0</v>
      </c>
      <c r="AW52" s="17">
        <f t="shared" si="1"/>
        <v>0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1:80" x14ac:dyDescent="0.35">
      <c r="A53" t="s">
        <v>14</v>
      </c>
      <c r="B53" t="s">
        <v>206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5">
        <v>0</v>
      </c>
      <c r="L53" s="5">
        <v>0</v>
      </c>
      <c r="M53" s="5">
        <v>0</v>
      </c>
      <c r="N53" s="5">
        <v>0</v>
      </c>
      <c r="O53" s="1">
        <v>0</v>
      </c>
      <c r="P53" s="1">
        <v>0</v>
      </c>
      <c r="Q53" s="1">
        <v>0</v>
      </c>
      <c r="R53" s="1">
        <v>17952.400000000001</v>
      </c>
      <c r="S53" s="1">
        <f t="shared" si="67"/>
        <v>17952.400000000001</v>
      </c>
      <c r="T53" s="1">
        <f t="shared" si="67"/>
        <v>17952.400000000001</v>
      </c>
      <c r="U53" s="1">
        <v>153989.70000000001</v>
      </c>
      <c r="V53" s="1">
        <f>U53</f>
        <v>153989.70000000001</v>
      </c>
      <c r="W53" s="1">
        <f>V53</f>
        <v>153989.70000000001</v>
      </c>
      <c r="X53" s="1">
        <f>247324.7</f>
        <v>247324.7</v>
      </c>
      <c r="Y53" s="1">
        <f>X53</f>
        <v>247324.7</v>
      </c>
      <c r="Z53" s="1">
        <f>Y53</f>
        <v>247324.7</v>
      </c>
      <c r="AA53" s="1">
        <f>Z53</f>
        <v>247324.7</v>
      </c>
      <c r="AB53" s="1">
        <f>AA53</f>
        <v>247324.7</v>
      </c>
      <c r="AC53" s="1">
        <f>AB53</f>
        <v>247324.7</v>
      </c>
      <c r="AD53" s="1">
        <f>AC53+111093.5</f>
        <v>358418.2</v>
      </c>
      <c r="AE53" s="1">
        <f>AD53</f>
        <v>358418.2</v>
      </c>
      <c r="AF53" s="1">
        <f t="shared" si="69"/>
        <v>358418.2</v>
      </c>
      <c r="AG53" s="1">
        <f t="shared" si="69"/>
        <v>358418.2</v>
      </c>
      <c r="AH53" s="1">
        <f>AG53</f>
        <v>358418.2</v>
      </c>
      <c r="AI53" s="1">
        <f>AH53</f>
        <v>358418.2</v>
      </c>
      <c r="AJ53" s="1">
        <f>AI53+11791.7</f>
        <v>370209.9</v>
      </c>
      <c r="AK53" s="1">
        <f>AJ53</f>
        <v>370209.9</v>
      </c>
      <c r="AL53" s="1">
        <f>AK53</f>
        <v>370209.9</v>
      </c>
      <c r="AM53" s="1">
        <f>AL53</f>
        <v>370209.9</v>
      </c>
      <c r="AN53" s="1">
        <f t="shared" si="71"/>
        <v>370209.9</v>
      </c>
      <c r="AO53" s="1">
        <f t="shared" si="71"/>
        <v>370209.9</v>
      </c>
      <c r="AP53" s="1">
        <f>AO53+41825-122.7</f>
        <v>411912.2</v>
      </c>
      <c r="AQ53" s="1">
        <f t="shared" si="73"/>
        <v>411912.2</v>
      </c>
      <c r="AR53" s="1">
        <f t="shared" si="73"/>
        <v>411912.2</v>
      </c>
      <c r="AS53" s="1">
        <f t="shared" si="74"/>
        <v>411912.2</v>
      </c>
      <c r="AT53" s="1">
        <f t="shared" si="74"/>
        <v>411912.2</v>
      </c>
      <c r="AU53" s="1">
        <f>AT53</f>
        <v>411912.2</v>
      </c>
      <c r="AV53" s="17">
        <f t="shared" si="0"/>
        <v>0</v>
      </c>
      <c r="AW53" s="17">
        <f t="shared" si="1"/>
        <v>53494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spans="1:80" s="3" customFormat="1" x14ac:dyDescent="0.35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17">
        <f t="shared" si="0"/>
        <v>0</v>
      </c>
      <c r="AW54" s="17">
        <f t="shared" si="1"/>
        <v>0</v>
      </c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spans="1:80" x14ac:dyDescent="0.35">
      <c r="A55" t="s">
        <v>41</v>
      </c>
      <c r="B55" t="s">
        <v>18</v>
      </c>
      <c r="C55" s="1">
        <v>10792185.6</v>
      </c>
      <c r="D55" s="1">
        <v>11374082</v>
      </c>
      <c r="E55" s="1">
        <v>11389507.9</v>
      </c>
      <c r="F55" s="1">
        <v>10434580.800000001</v>
      </c>
      <c r="G55" s="1">
        <v>10807595</v>
      </c>
      <c r="H55" s="1">
        <v>11106403.6</v>
      </c>
      <c r="I55" s="1">
        <v>11906061.4</v>
      </c>
      <c r="J55" s="1">
        <v>12475588.300000001</v>
      </c>
      <c r="K55" s="1">
        <v>12353145.800000001</v>
      </c>
      <c r="L55" s="5">
        <v>12670270.1</v>
      </c>
      <c r="M55" s="5">
        <v>13313450.5</v>
      </c>
      <c r="N55" s="5">
        <v>13703597.699999999</v>
      </c>
      <c r="O55" s="1">
        <v>13648337.699999999</v>
      </c>
      <c r="P55" s="1">
        <v>13541231.5</v>
      </c>
      <c r="Q55" s="1">
        <v>13432971.800000001</v>
      </c>
      <c r="R55" s="1">
        <v>11965074.699999999</v>
      </c>
      <c r="S55" s="1">
        <v>11922371.199999999</v>
      </c>
      <c r="T55" s="1">
        <v>12258661.199999999</v>
      </c>
      <c r="U55" s="1">
        <v>12534406.300000001</v>
      </c>
      <c r="V55" s="1">
        <v>12750839.4</v>
      </c>
      <c r="W55" s="1">
        <v>12703814.5</v>
      </c>
      <c r="X55" s="1">
        <v>12601672.4</v>
      </c>
      <c r="Y55" s="1">
        <v>12277510.9</v>
      </c>
      <c r="Z55" s="1">
        <v>12165767</v>
      </c>
      <c r="AA55" s="1">
        <v>12787132.6</v>
      </c>
      <c r="AB55" s="1">
        <v>12726198.800000001</v>
      </c>
      <c r="AC55" s="1">
        <v>13096719.1</v>
      </c>
      <c r="AD55" s="1">
        <v>11879972.699999999</v>
      </c>
      <c r="AE55" s="1">
        <v>11965801.9</v>
      </c>
      <c r="AF55" s="1">
        <v>11880606.5</v>
      </c>
      <c r="AG55" s="1">
        <v>11750725.5</v>
      </c>
      <c r="AH55" s="1">
        <v>11791774.4</v>
      </c>
      <c r="AI55" s="1">
        <v>11696343.9</v>
      </c>
      <c r="AJ55" s="1">
        <v>13090578.9</v>
      </c>
      <c r="AK55" s="1">
        <v>13080455.4</v>
      </c>
      <c r="AL55" s="1">
        <v>13142340.5</v>
      </c>
      <c r="AM55" s="1">
        <v>13162797.300000001</v>
      </c>
      <c r="AN55" s="1">
        <v>13201461.1</v>
      </c>
      <c r="AO55" s="1">
        <v>13259020.6</v>
      </c>
      <c r="AP55" s="1">
        <v>13415158.699999999</v>
      </c>
      <c r="AQ55" s="1">
        <v>13639253.699999999</v>
      </c>
      <c r="AR55" s="1">
        <v>13548756.699999999</v>
      </c>
      <c r="AS55" s="1">
        <v>13413795.4</v>
      </c>
      <c r="AT55" s="1">
        <v>13213192.6</v>
      </c>
      <c r="AU55" s="1">
        <v>12955276.1</v>
      </c>
      <c r="AV55" s="17">
        <f t="shared" si="0"/>
        <v>-257916.5</v>
      </c>
      <c r="AW55" s="17">
        <f t="shared" si="1"/>
        <v>1258932.1999999993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spans="1:80" x14ac:dyDescent="0.35">
      <c r="A56" t="s">
        <v>41</v>
      </c>
      <c r="B56" t="s">
        <v>20</v>
      </c>
      <c r="C56" s="1">
        <v>187974.6</v>
      </c>
      <c r="D56" s="1">
        <v>184841.3</v>
      </c>
      <c r="E56" s="1">
        <v>186486.39999999999</v>
      </c>
      <c r="F56" s="1">
        <v>148350.20000000001</v>
      </c>
      <c r="G56" s="1">
        <v>155297.79999999999</v>
      </c>
      <c r="H56" s="1">
        <v>147236.70000000001</v>
      </c>
      <c r="I56" s="1">
        <v>154451.1</v>
      </c>
      <c r="J56" s="1">
        <v>154958.29999999999</v>
      </c>
      <c r="K56" s="1">
        <v>153099.20000000001</v>
      </c>
      <c r="L56" s="5">
        <v>145578.20000000001</v>
      </c>
      <c r="M56" s="5">
        <v>146336.5</v>
      </c>
      <c r="N56" s="5">
        <v>142852.5</v>
      </c>
      <c r="O56" s="1">
        <v>140105.5</v>
      </c>
      <c r="P56" s="1">
        <v>145224.4</v>
      </c>
      <c r="Q56" s="1">
        <v>151129.1</v>
      </c>
      <c r="R56" s="1">
        <v>133407.29999999999</v>
      </c>
      <c r="S56" s="1">
        <v>133526.1</v>
      </c>
      <c r="T56" s="1">
        <v>133436</v>
      </c>
      <c r="U56" s="1">
        <v>135703.70000000001</v>
      </c>
      <c r="V56" s="1">
        <v>138929.70000000001</v>
      </c>
      <c r="W56" s="1">
        <v>141488.5</v>
      </c>
      <c r="X56" s="1">
        <v>146961.70000000001</v>
      </c>
      <c r="Y56" s="1">
        <v>142216</v>
      </c>
      <c r="Z56" s="1">
        <v>133415.9</v>
      </c>
      <c r="AA56" s="1">
        <v>137922.29999999999</v>
      </c>
      <c r="AB56" s="1">
        <v>131126.29999999999</v>
      </c>
      <c r="AC56" s="1">
        <v>121557.5</v>
      </c>
      <c r="AD56" s="1">
        <v>116837.2</v>
      </c>
      <c r="AE56" s="1">
        <v>122092.3</v>
      </c>
      <c r="AF56" s="1">
        <v>135473.79999999999</v>
      </c>
      <c r="AG56" s="1">
        <v>140422.39999999999</v>
      </c>
      <c r="AH56" s="1">
        <v>144575.1</v>
      </c>
      <c r="AI56" s="1">
        <v>148776.1</v>
      </c>
      <c r="AJ56" s="1">
        <v>166825.9</v>
      </c>
      <c r="AK56" s="1">
        <v>159840</v>
      </c>
      <c r="AL56" s="1">
        <v>163601.1</v>
      </c>
      <c r="AM56" s="1">
        <v>158841.29999999999</v>
      </c>
      <c r="AN56" s="1">
        <v>163985.79999999999</v>
      </c>
      <c r="AO56" s="1">
        <v>169491.1</v>
      </c>
      <c r="AP56" s="1">
        <v>171490.8</v>
      </c>
      <c r="AQ56" s="1">
        <v>180097.3</v>
      </c>
      <c r="AR56" s="1">
        <v>175334.9</v>
      </c>
      <c r="AS56" s="1">
        <v>165000.5</v>
      </c>
      <c r="AT56" s="1">
        <v>176456.8</v>
      </c>
      <c r="AU56" s="1">
        <v>182411.1</v>
      </c>
      <c r="AV56" s="17">
        <f t="shared" si="0"/>
        <v>5954.3000000000175</v>
      </c>
      <c r="AW56" s="17">
        <f t="shared" si="1"/>
        <v>33635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spans="1:80" x14ac:dyDescent="0.35">
      <c r="A57" t="s">
        <v>43</v>
      </c>
      <c r="B57" t="s">
        <v>19</v>
      </c>
      <c r="C57" s="2">
        <v>8.1000000000000003E-2</v>
      </c>
      <c r="D57" s="2">
        <v>8.5000000000000006E-2</v>
      </c>
      <c r="E57" s="2">
        <v>8.5000000000000006E-2</v>
      </c>
      <c r="F57" s="2">
        <v>7.8E-2</v>
      </c>
      <c r="G57" s="2">
        <v>7.1999999999999995E-2</v>
      </c>
      <c r="H57" s="2">
        <v>7.3999999999999996E-2</v>
      </c>
      <c r="I57" s="2">
        <v>7.9000000000000001E-2</v>
      </c>
      <c r="J57" s="2">
        <v>8.3000000000000004E-2</v>
      </c>
      <c r="K57" s="2">
        <v>8.2000000000000003E-2</v>
      </c>
      <c r="L57" s="8">
        <v>8.4000000000000005E-2</v>
      </c>
      <c r="M57" s="8">
        <v>8.8999999999999996E-2</v>
      </c>
      <c r="N57" s="8">
        <v>9.0999999999999998E-2</v>
      </c>
      <c r="O57" s="2">
        <v>9.0999999999999998E-2</v>
      </c>
      <c r="P57" s="2">
        <v>0.09</v>
      </c>
      <c r="Q57" s="2">
        <v>0.09</v>
      </c>
      <c r="R57" s="2">
        <v>0.08</v>
      </c>
      <c r="S57" s="2">
        <v>6.6000000000000003E-2</v>
      </c>
      <c r="T57" s="2">
        <v>6.8000000000000005E-2</v>
      </c>
      <c r="U57" s="2">
        <v>7.0000000000000007E-2</v>
      </c>
      <c r="V57" s="2">
        <v>7.0999999999999994E-2</v>
      </c>
      <c r="W57" s="2">
        <v>7.0999999999999994E-2</v>
      </c>
      <c r="X57" s="2">
        <v>7.0000000000000007E-2</v>
      </c>
      <c r="Y57" s="2">
        <v>6.4000000000000001E-2</v>
      </c>
      <c r="Z57" s="2">
        <v>6.4000000000000001E-2</v>
      </c>
      <c r="AA57" s="2">
        <v>6.7000000000000004E-2</v>
      </c>
      <c r="AB57" s="2">
        <v>6.6000000000000003E-2</v>
      </c>
      <c r="AC57" s="2">
        <v>6.8000000000000005E-2</v>
      </c>
      <c r="AD57" s="2">
        <v>6.2E-2</v>
      </c>
      <c r="AE57" s="2">
        <v>5.6000000000000001E-2</v>
      </c>
      <c r="AF57" s="2">
        <v>5.5E-2</v>
      </c>
      <c r="AG57" s="2">
        <v>5.5E-2</v>
      </c>
      <c r="AH57" s="2">
        <v>5.5E-2</v>
      </c>
      <c r="AI57" s="2">
        <v>5.5E-2</v>
      </c>
      <c r="AJ57" s="2">
        <v>5.8999999999999997E-2</v>
      </c>
      <c r="AK57" s="2">
        <v>5.8999999999999997E-2</v>
      </c>
      <c r="AL57" s="2">
        <v>5.8999999999999997E-2</v>
      </c>
      <c r="AM57" s="2">
        <v>5.8999999999999997E-2</v>
      </c>
      <c r="AN57" s="2">
        <v>0.06</v>
      </c>
      <c r="AO57" s="2">
        <v>6.0999999999999999E-2</v>
      </c>
      <c r="AP57" s="2">
        <v>6.2E-2</v>
      </c>
      <c r="AQ57" s="2">
        <v>5.8000000000000003E-2</v>
      </c>
      <c r="AR57" s="2">
        <v>5.8000000000000003E-2</v>
      </c>
      <c r="AS57" s="2">
        <v>5.7000000000000002E-2</v>
      </c>
      <c r="AT57" s="2">
        <v>5.6000000000000001E-2</v>
      </c>
      <c r="AU57" s="2">
        <v>5.5E-2</v>
      </c>
      <c r="AV57" s="17">
        <f t="shared" si="0"/>
        <v>-1.0000000000000009E-3</v>
      </c>
      <c r="AW57" s="17">
        <f t="shared" si="1"/>
        <v>0</v>
      </c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</row>
    <row r="58" spans="1:80" s="3" customFormat="1" x14ac:dyDescent="0.35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17">
        <f t="shared" si="0"/>
        <v>0</v>
      </c>
      <c r="AW58" s="17">
        <f t="shared" si="1"/>
        <v>0</v>
      </c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spans="1:80" x14ac:dyDescent="0.35">
      <c r="A59" t="s">
        <v>21</v>
      </c>
      <c r="B59" t="s">
        <v>22</v>
      </c>
      <c r="C59" s="1">
        <v>7524361.2999999998</v>
      </c>
      <c r="D59" s="1">
        <v>7872548.2999999998</v>
      </c>
      <c r="E59" s="1">
        <v>7601763</v>
      </c>
      <c r="F59" s="1">
        <v>6132655.2000000002</v>
      </c>
      <c r="G59" s="1">
        <v>6334590.5999999996</v>
      </c>
      <c r="H59" s="1">
        <v>6446231</v>
      </c>
      <c r="I59" s="1">
        <v>6712063.4000000004</v>
      </c>
      <c r="J59" s="1">
        <v>6828671.4000000004</v>
      </c>
      <c r="K59" s="1">
        <v>6643004.4000000004</v>
      </c>
      <c r="L59" s="5">
        <v>6811125</v>
      </c>
      <c r="M59" s="5">
        <v>7183391.5</v>
      </c>
      <c r="N59" s="5">
        <v>7251634.9000000004</v>
      </c>
      <c r="O59" s="1">
        <v>7140176.0999999996</v>
      </c>
      <c r="P59" s="1">
        <v>6938308.7999999998</v>
      </c>
      <c r="Q59" s="1">
        <v>6746505.0999999996</v>
      </c>
      <c r="R59" s="1">
        <v>5011778</v>
      </c>
      <c r="S59" s="1">
        <v>4907126.4000000004</v>
      </c>
      <c r="T59" s="1">
        <v>5044614.2</v>
      </c>
      <c r="U59" s="1">
        <v>5087766.7</v>
      </c>
      <c r="V59" s="1">
        <v>5172247.3</v>
      </c>
      <c r="W59" s="1">
        <v>5046039</v>
      </c>
      <c r="X59" s="1">
        <v>4603329.0999999996</v>
      </c>
      <c r="Y59" s="1">
        <v>4665093</v>
      </c>
      <c r="Z59" s="1">
        <v>4854458.2</v>
      </c>
      <c r="AA59" s="1">
        <v>5255172.0999999996</v>
      </c>
      <c r="AB59" s="1">
        <v>5447193.4000000004</v>
      </c>
      <c r="AC59" s="1">
        <v>5792014.7999999998</v>
      </c>
      <c r="AD59" s="1">
        <v>3809866.8</v>
      </c>
      <c r="AE59" s="1">
        <v>3751160.1</v>
      </c>
      <c r="AF59" s="1">
        <v>3393844.7</v>
      </c>
      <c r="AG59" s="1">
        <v>3268903.8</v>
      </c>
      <c r="AH59" s="1">
        <v>3296830.6</v>
      </c>
      <c r="AI59" s="1">
        <v>2843025</v>
      </c>
      <c r="AJ59" s="1">
        <v>4127953.1</v>
      </c>
      <c r="AK59" s="1">
        <v>3952913.1</v>
      </c>
      <c r="AL59" s="1">
        <v>3927556.8</v>
      </c>
      <c r="AM59" s="1">
        <v>4164859</v>
      </c>
      <c r="AN59" s="1">
        <v>4157548</v>
      </c>
      <c r="AO59" s="1">
        <v>4114666.1</v>
      </c>
      <c r="AP59" s="1">
        <v>4084984.2</v>
      </c>
      <c r="AQ59" s="1">
        <v>4226461.5</v>
      </c>
      <c r="AR59" s="1">
        <v>4004966.9</v>
      </c>
      <c r="AS59" s="1">
        <v>3889150.8</v>
      </c>
      <c r="AT59" s="1">
        <v>3625531.4</v>
      </c>
      <c r="AU59" s="1">
        <v>3412351.9</v>
      </c>
      <c r="AV59" s="17">
        <f t="shared" si="0"/>
        <v>-213179.5</v>
      </c>
      <c r="AW59" s="17">
        <f t="shared" si="1"/>
        <v>569326.89999999991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spans="1:80" x14ac:dyDescent="0.35">
      <c r="A60" t="s">
        <v>21</v>
      </c>
      <c r="B60" t="s">
        <v>23</v>
      </c>
      <c r="C60" s="1">
        <v>131056.8</v>
      </c>
      <c r="D60" s="1">
        <v>127937.60000000001</v>
      </c>
      <c r="E60" s="1">
        <v>124467.7</v>
      </c>
      <c r="F60" s="1">
        <v>87189</v>
      </c>
      <c r="G60" s="1">
        <v>91023.8</v>
      </c>
      <c r="H60" s="1">
        <v>85457.2</v>
      </c>
      <c r="I60" s="1">
        <v>87072.1</v>
      </c>
      <c r="J60" s="1">
        <v>84818.4</v>
      </c>
      <c r="K60" s="1">
        <v>82330.3</v>
      </c>
      <c r="L60" s="5">
        <v>78258.100000000006</v>
      </c>
      <c r="M60" s="5">
        <v>78957.2</v>
      </c>
      <c r="N60" s="5">
        <v>75594.3</v>
      </c>
      <c r="O60" s="1">
        <v>73296.7</v>
      </c>
      <c r="P60" s="1">
        <v>74410.600000000006</v>
      </c>
      <c r="Q60" s="1">
        <v>75905.3</v>
      </c>
      <c r="R60" s="1">
        <v>55880</v>
      </c>
      <c r="S60" s="1">
        <v>54958</v>
      </c>
      <c r="T60" s="1">
        <v>54910.8</v>
      </c>
      <c r="U60" s="1">
        <v>55082.7</v>
      </c>
      <c r="V60" s="1">
        <v>56355.4</v>
      </c>
      <c r="W60" s="1">
        <v>56200.2</v>
      </c>
      <c r="X60" s="1">
        <v>53684.4</v>
      </c>
      <c r="Y60" s="1">
        <v>54037.9</v>
      </c>
      <c r="Z60" s="1">
        <v>53236.4</v>
      </c>
      <c r="AA60" s="1">
        <v>56682.400000000001</v>
      </c>
      <c r="AB60" s="1">
        <v>56126</v>
      </c>
      <c r="AC60" s="1">
        <v>53758.7</v>
      </c>
      <c r="AD60" s="1">
        <v>37469.300000000003</v>
      </c>
      <c r="AE60" s="1">
        <v>38274.699999999997</v>
      </c>
      <c r="AF60" s="1">
        <v>38699.800000000003</v>
      </c>
      <c r="AG60" s="1">
        <v>39063.699999999997</v>
      </c>
      <c r="AH60" s="1">
        <v>40421.4</v>
      </c>
      <c r="AI60" s="1">
        <v>36162.9</v>
      </c>
      <c r="AJ60" s="1">
        <v>52606.5</v>
      </c>
      <c r="AK60" s="1">
        <v>48303.6</v>
      </c>
      <c r="AL60" s="1">
        <v>48891.8</v>
      </c>
      <c r="AM60" s="1">
        <v>50259.199999999997</v>
      </c>
      <c r="AN60" s="1">
        <v>51644.2</v>
      </c>
      <c r="AO60" s="1">
        <v>52598.1</v>
      </c>
      <c r="AP60" s="1">
        <v>52219.8</v>
      </c>
      <c r="AQ60" s="1">
        <v>55807.6</v>
      </c>
      <c r="AR60" s="1">
        <v>51828.4</v>
      </c>
      <c r="AS60" s="1">
        <v>47839.7</v>
      </c>
      <c r="AT60" s="1">
        <v>48417.5</v>
      </c>
      <c r="AU60" s="1">
        <v>48046.1</v>
      </c>
      <c r="AV60" s="17">
        <f t="shared" si="0"/>
        <v>-371.40000000000146</v>
      </c>
      <c r="AW60" s="17">
        <f t="shared" si="1"/>
        <v>11883.199999999997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spans="1:80" x14ac:dyDescent="0.35">
      <c r="A61" t="s">
        <v>42</v>
      </c>
      <c r="B61" t="s">
        <v>19</v>
      </c>
      <c r="C61" s="2">
        <v>5.6000000000000001E-2</v>
      </c>
      <c r="D61" s="2">
        <v>5.8999999999999997E-2</v>
      </c>
      <c r="E61" s="2">
        <v>5.7000000000000002E-2</v>
      </c>
      <c r="F61" s="2">
        <v>4.5999999999999999E-2</v>
      </c>
      <c r="G61" s="2">
        <v>4.2000000000000003E-2</v>
      </c>
      <c r="H61" s="2">
        <v>4.2999999999999997E-2</v>
      </c>
      <c r="I61" s="2">
        <v>4.4999999999999998E-2</v>
      </c>
      <c r="J61" s="2">
        <v>4.5999999999999999E-2</v>
      </c>
      <c r="K61" s="2">
        <v>4.3999999999999997E-2</v>
      </c>
      <c r="L61" s="8">
        <v>4.4999999999999998E-2</v>
      </c>
      <c r="M61" s="8">
        <v>4.8000000000000001E-2</v>
      </c>
      <c r="N61" s="8">
        <v>4.8000000000000001E-2</v>
      </c>
      <c r="O61" s="2">
        <v>4.8000000000000001E-2</v>
      </c>
      <c r="P61" s="2">
        <v>4.5999999999999999E-2</v>
      </c>
      <c r="Q61" s="2">
        <v>4.4999999999999998E-2</v>
      </c>
      <c r="R61" s="2">
        <v>3.3000000000000002E-2</v>
      </c>
      <c r="S61" s="2">
        <v>2.7E-2</v>
      </c>
      <c r="T61" s="2">
        <v>2.8000000000000001E-2</v>
      </c>
      <c r="U61" s="2">
        <v>2.8000000000000001E-2</v>
      </c>
      <c r="V61" s="2">
        <v>2.9000000000000001E-2</v>
      </c>
      <c r="W61" s="2">
        <v>2.8000000000000001E-2</v>
      </c>
      <c r="X61" s="2">
        <v>2.5999999999999999E-2</v>
      </c>
      <c r="Y61" s="2">
        <v>2.4E-2</v>
      </c>
      <c r="Z61" s="2">
        <v>2.5000000000000001E-2</v>
      </c>
      <c r="AA61" s="2">
        <v>2.5000000000000001E-2</v>
      </c>
      <c r="AB61" s="2">
        <v>2.8000000000000001E-2</v>
      </c>
      <c r="AC61" s="2">
        <v>0.03</v>
      </c>
      <c r="AD61" s="2">
        <v>0.02</v>
      </c>
      <c r="AE61" s="2">
        <v>1.7000000000000001E-2</v>
      </c>
      <c r="AF61" s="2">
        <v>1.6E-2</v>
      </c>
      <c r="AG61" s="2">
        <v>1.4999999999999999E-2</v>
      </c>
      <c r="AH61" s="2">
        <v>1.4999999999999999E-2</v>
      </c>
      <c r="AI61" s="2">
        <v>1.2999999999999999E-2</v>
      </c>
      <c r="AJ61" s="2">
        <v>1.9E-2</v>
      </c>
      <c r="AK61" s="2">
        <v>1.7999999999999999E-2</v>
      </c>
      <c r="AL61" s="2">
        <f>AK61</f>
        <v>1.7999999999999999E-2</v>
      </c>
      <c r="AM61" s="2">
        <v>1.9E-2</v>
      </c>
      <c r="AN61" s="2">
        <v>1.9E-2</v>
      </c>
      <c r="AO61" s="2">
        <v>1.9E-2</v>
      </c>
      <c r="AP61" s="2">
        <f>AO61</f>
        <v>1.9E-2</v>
      </c>
      <c r="AQ61" s="2">
        <v>1.7999999999999999E-2</v>
      </c>
      <c r="AR61" s="2">
        <v>1.7000000000000001E-2</v>
      </c>
      <c r="AS61" s="2">
        <v>1.7000000000000001E-2</v>
      </c>
      <c r="AT61" s="2">
        <v>1.4999999999999999E-2</v>
      </c>
      <c r="AU61" s="2">
        <f>AT61</f>
        <v>1.4999999999999999E-2</v>
      </c>
      <c r="AV61" s="17">
        <f t="shared" si="0"/>
        <v>0</v>
      </c>
      <c r="AW61" s="17">
        <f t="shared" si="1"/>
        <v>2E-3</v>
      </c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</row>
    <row r="62" spans="1:80" x14ac:dyDescent="0.35">
      <c r="A62" t="s">
        <v>44</v>
      </c>
      <c r="B62" t="s">
        <v>45</v>
      </c>
      <c r="C62" s="2">
        <f>C60/C56</f>
        <v>0.6972048351213409</v>
      </c>
      <c r="D62" s="2">
        <f>D60/D56</f>
        <v>0.69214834563487715</v>
      </c>
      <c r="E62" s="2">
        <f>E60/E56</f>
        <v>0.66743580228906774</v>
      </c>
      <c r="F62" s="2">
        <f>F60/F56</f>
        <v>0.58772418237386936</v>
      </c>
      <c r="G62" s="2">
        <f>G60/G56</f>
        <v>0.58612420781234509</v>
      </c>
      <c r="H62" s="2">
        <f t="shared" ref="H62:P62" si="75">H60/H56</f>
        <v>0.58040692300221342</v>
      </c>
      <c r="I62" s="2">
        <f t="shared" si="75"/>
        <v>0.56375189299396378</v>
      </c>
      <c r="J62" s="2">
        <f t="shared" si="75"/>
        <v>0.54736274210545677</v>
      </c>
      <c r="K62" s="2">
        <f t="shared" si="75"/>
        <v>0.53775787202023262</v>
      </c>
      <c r="L62" s="2">
        <f t="shared" si="75"/>
        <v>0.53756743798178575</v>
      </c>
      <c r="M62" s="2">
        <f t="shared" si="75"/>
        <v>0.53955916671507109</v>
      </c>
      <c r="N62" s="2">
        <f t="shared" si="75"/>
        <v>0.52917729826219351</v>
      </c>
      <c r="O62" s="2">
        <f>O60/O56</f>
        <v>0.5231536235194193</v>
      </c>
      <c r="P62" s="2">
        <f t="shared" si="75"/>
        <v>0.512383593941514</v>
      </c>
      <c r="Q62" s="2">
        <f t="shared" ref="Q62:AB62" si="76">Q60/Q56</f>
        <v>0.5022546948271378</v>
      </c>
      <c r="R62" s="2">
        <f t="shared" si="76"/>
        <v>0.41886763318049314</v>
      </c>
      <c r="S62" s="2">
        <f t="shared" si="76"/>
        <v>0.41158994383869518</v>
      </c>
      <c r="T62" s="2">
        <f t="shared" si="76"/>
        <v>0.41151413411673016</v>
      </c>
      <c r="U62" s="2">
        <f t="shared" si="76"/>
        <v>0.40590418684236312</v>
      </c>
      <c r="V62" s="2">
        <f t="shared" si="76"/>
        <v>0.40563968683442053</v>
      </c>
      <c r="W62" s="2">
        <f t="shared" si="76"/>
        <v>0.39720684013188351</v>
      </c>
      <c r="X62" s="2">
        <f t="shared" si="76"/>
        <v>0.36529517554573743</v>
      </c>
      <c r="Y62" s="2">
        <f t="shared" si="76"/>
        <v>0.37997060808910393</v>
      </c>
      <c r="Z62" s="2">
        <f t="shared" si="76"/>
        <v>0.39902590320943759</v>
      </c>
      <c r="AA62" s="2">
        <f t="shared" si="76"/>
        <v>0.41097342489213134</v>
      </c>
      <c r="AB62" s="2">
        <f t="shared" si="76"/>
        <v>0.42803007482099326</v>
      </c>
      <c r="AC62" s="2">
        <f t="shared" ref="AC62:AU62" si="77">AC60/AC56</f>
        <v>0.4422491413528577</v>
      </c>
      <c r="AD62" s="2">
        <f t="shared" si="77"/>
        <v>0.32069666167967054</v>
      </c>
      <c r="AE62" s="2">
        <f t="shared" si="77"/>
        <v>0.31348987610193269</v>
      </c>
      <c r="AF62" s="2">
        <f t="shared" si="77"/>
        <v>0.28566261520677805</v>
      </c>
      <c r="AG62" s="2">
        <f t="shared" si="77"/>
        <v>0.27818709835467842</v>
      </c>
      <c r="AH62" s="2">
        <f t="shared" si="77"/>
        <v>0.27958756383360622</v>
      </c>
      <c r="AI62" s="2">
        <f t="shared" si="77"/>
        <v>0.24306928330558469</v>
      </c>
      <c r="AJ62" s="2">
        <f t="shared" si="77"/>
        <v>0.31533772633625834</v>
      </c>
      <c r="AK62" s="2">
        <f t="shared" si="77"/>
        <v>0.30219969969969968</v>
      </c>
      <c r="AL62" s="2">
        <f t="shared" si="77"/>
        <v>0.2988476238851695</v>
      </c>
      <c r="AM62" s="2">
        <f t="shared" si="77"/>
        <v>0.3164114118935063</v>
      </c>
      <c r="AN62" s="2">
        <f t="shared" si="77"/>
        <v>0.31493092694611363</v>
      </c>
      <c r="AO62" s="2">
        <f t="shared" si="77"/>
        <v>0.31032956892721797</v>
      </c>
      <c r="AP62" s="2">
        <f t="shared" si="77"/>
        <v>0.30450496469781474</v>
      </c>
      <c r="AQ62" s="2">
        <f t="shared" si="77"/>
        <v>0.3098747177220314</v>
      </c>
      <c r="AR62" s="2">
        <f t="shared" si="77"/>
        <v>0.29559659828134616</v>
      </c>
      <c r="AS62" s="2">
        <f t="shared" si="77"/>
        <v>0.28993669716152376</v>
      </c>
      <c r="AT62" s="2">
        <f t="shared" si="77"/>
        <v>0.27438727212552877</v>
      </c>
      <c r="AU62" s="2">
        <f t="shared" si="77"/>
        <v>0.26339460701678791</v>
      </c>
      <c r="AV62" s="17">
        <f t="shared" si="0"/>
        <v>-1.0992665108740862E-2</v>
      </c>
      <c r="AW62" s="17">
        <f t="shared" si="1"/>
        <v>2.0325323711203214E-2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1:80" x14ac:dyDescent="0.35">
      <c r="C63" s="1"/>
      <c r="D63" s="1"/>
      <c r="E63" s="1"/>
      <c r="F63" s="1"/>
      <c r="G63" s="1"/>
      <c r="H63" s="1"/>
      <c r="I63" s="1"/>
      <c r="J63" s="1"/>
      <c r="K63" s="1"/>
      <c r="L63" s="5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spans="1:80" x14ac:dyDescent="0.35">
      <c r="C64" s="1"/>
      <c r="D64" s="1"/>
      <c r="E64" s="1"/>
      <c r="F64" s="1"/>
      <c r="G64" s="1"/>
      <c r="H64" s="1"/>
      <c r="I64" s="1"/>
      <c r="J64" s="1"/>
      <c r="K64" s="1"/>
      <c r="L64" s="5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1:80" x14ac:dyDescent="0.35">
      <c r="A65" t="s">
        <v>117</v>
      </c>
      <c r="C65" s="1"/>
      <c r="D65" s="1"/>
      <c r="E65" s="1"/>
      <c r="F65" s="1"/>
      <c r="G65" s="1"/>
      <c r="H65" s="1"/>
      <c r="I65" s="1"/>
      <c r="J65" s="1"/>
      <c r="K65" s="1"/>
      <c r="L65" s="5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1:80" x14ac:dyDescent="0.35">
      <c r="A66" t="s">
        <v>119</v>
      </c>
      <c r="C66" s="1"/>
      <c r="D66" s="1"/>
      <c r="E66" s="1"/>
      <c r="F66" s="1"/>
      <c r="G66" s="1"/>
      <c r="H66" s="1"/>
      <c r="I66" s="1"/>
      <c r="J66" s="1"/>
      <c r="K66" s="1"/>
      <c r="L66" s="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1:80" x14ac:dyDescent="0.35">
      <c r="A67" t="s">
        <v>218</v>
      </c>
      <c r="C67" s="1"/>
      <c r="D67" s="1"/>
      <c r="E67" s="1"/>
      <c r="F67" s="1"/>
      <c r="G67" s="1"/>
      <c r="H67" s="1"/>
      <c r="I67" s="1"/>
      <c r="J67" s="1"/>
      <c r="K67" s="1"/>
      <c r="L67" s="5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1:80" x14ac:dyDescent="0.35">
      <c r="A68" t="s">
        <v>239</v>
      </c>
      <c r="C68" s="1"/>
      <c r="D68" s="1"/>
      <c r="E68" s="1"/>
      <c r="F68" s="1"/>
      <c r="G68" s="1"/>
      <c r="H68" s="1"/>
      <c r="I68" s="1"/>
      <c r="J68" s="1"/>
      <c r="K68" s="1"/>
      <c r="L68" s="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1:80" x14ac:dyDescent="0.35">
      <c r="C69" s="1"/>
      <c r="D69" s="1"/>
      <c r="E69" s="1"/>
      <c r="F69" s="1"/>
      <c r="G69" s="1"/>
      <c r="H69" s="1"/>
      <c r="I69" s="1"/>
      <c r="J69" s="1"/>
      <c r="K69" s="1"/>
      <c r="L69" s="5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1:80" x14ac:dyDescent="0.35">
      <c r="C70" s="1"/>
      <c r="D70" s="1"/>
      <c r="E70" s="1"/>
      <c r="F70" s="1"/>
      <c r="G70" s="1"/>
      <c r="H70" s="1"/>
      <c r="I70" s="1"/>
      <c r="J70" s="1"/>
      <c r="K70" s="1"/>
      <c r="L70" s="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spans="1:80" x14ac:dyDescent="0.35">
      <c r="C71" s="1"/>
      <c r="D71" s="1"/>
      <c r="E71" s="1"/>
      <c r="F71" s="1"/>
      <c r="G71" s="1"/>
      <c r="H71" s="1"/>
      <c r="I71" s="1"/>
      <c r="J71" s="1"/>
      <c r="K71" s="1"/>
      <c r="L71" s="5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1:80" x14ac:dyDescent="0.35">
      <c r="C72" s="1"/>
      <c r="D72" s="1"/>
      <c r="E72" s="1"/>
      <c r="F72" s="1"/>
      <c r="G72" s="1"/>
      <c r="H72" s="1"/>
      <c r="I72" s="1"/>
      <c r="J72" s="1"/>
      <c r="K72" s="1"/>
      <c r="L72" s="5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1:80" x14ac:dyDescent="0.35">
      <c r="C73" s="1"/>
      <c r="D73" s="1"/>
      <c r="E73" s="1"/>
      <c r="F73" s="1"/>
      <c r="G73" s="1"/>
      <c r="H73" s="1"/>
      <c r="I73" s="1"/>
      <c r="J73" s="1"/>
      <c r="K73" s="1"/>
      <c r="L73" s="5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1:80" x14ac:dyDescent="0.35">
      <c r="C74" s="1"/>
      <c r="D74" s="1"/>
      <c r="E74" s="1"/>
      <c r="F74" s="1"/>
      <c r="G74" s="1"/>
      <c r="H74" s="1"/>
      <c r="I74" s="1"/>
      <c r="J74" s="1"/>
      <c r="K74" s="1"/>
      <c r="L74" s="5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1:80" x14ac:dyDescent="0.35">
      <c r="C75" s="1"/>
      <c r="D75" s="1"/>
      <c r="E75" s="1"/>
      <c r="F75" s="1"/>
      <c r="G75" s="1"/>
      <c r="H75" s="1"/>
      <c r="I75" s="1"/>
      <c r="J75" s="1"/>
      <c r="K75" s="1"/>
      <c r="L75" s="5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spans="1:80" x14ac:dyDescent="0.35">
      <c r="C76" s="1"/>
      <c r="D76" s="1"/>
      <c r="E76" s="1"/>
      <c r="F76" s="1"/>
      <c r="G76" s="1"/>
      <c r="H76" s="1"/>
      <c r="I76" s="1"/>
      <c r="J76" s="1"/>
      <c r="K76" s="1"/>
      <c r="L76" s="5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 spans="1:80" x14ac:dyDescent="0.35">
      <c r="C77" s="1"/>
      <c r="D77" s="1"/>
      <c r="E77" s="1"/>
      <c r="F77" s="1"/>
      <c r="G77" s="1"/>
      <c r="H77" s="1"/>
      <c r="I77" s="1"/>
      <c r="J77" s="1"/>
      <c r="K77" s="1"/>
      <c r="L77" s="5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spans="1:80" x14ac:dyDescent="0.35">
      <c r="C78" s="1"/>
      <c r="D78" s="1"/>
      <c r="E78" s="1"/>
      <c r="F78" s="1"/>
      <c r="G78" s="1"/>
      <c r="H78" s="1"/>
      <c r="I78" s="1"/>
      <c r="J78" s="1"/>
      <c r="K78" s="1"/>
      <c r="L78" s="5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 spans="1:80" x14ac:dyDescent="0.35">
      <c r="C79" s="1"/>
      <c r="D79" s="1"/>
      <c r="E79" s="1"/>
      <c r="F79" s="1"/>
      <c r="G79" s="1"/>
      <c r="H79" s="1"/>
      <c r="I79" s="1"/>
      <c r="J79" s="1"/>
      <c r="K79" s="1"/>
      <c r="L79" s="5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 spans="1:80" x14ac:dyDescent="0.35">
      <c r="C80" s="1"/>
      <c r="D80" s="1"/>
      <c r="E80" s="1"/>
      <c r="F80" s="1"/>
      <c r="G80" s="1"/>
      <c r="H80" s="1"/>
      <c r="I80" s="1"/>
      <c r="J80" s="1"/>
      <c r="K80" s="1"/>
      <c r="L80" s="5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 spans="3:80" x14ac:dyDescent="0.35">
      <c r="C81" s="1"/>
      <c r="D81" s="1"/>
      <c r="E81" s="1"/>
      <c r="F81" s="1"/>
      <c r="G81" s="1"/>
      <c r="H81" s="1"/>
      <c r="I81" s="1"/>
      <c r="J81" s="1"/>
      <c r="K81" s="1"/>
      <c r="L81" s="5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spans="3:80" x14ac:dyDescent="0.35">
      <c r="C82" s="1"/>
      <c r="D82" s="1"/>
      <c r="E82" s="1"/>
      <c r="F82" s="1"/>
      <c r="G82" s="1"/>
      <c r="H82" s="1"/>
      <c r="I82" s="1"/>
      <c r="J82" s="1"/>
      <c r="K82" s="1"/>
      <c r="L82" s="5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 spans="3:80" x14ac:dyDescent="0.35">
      <c r="C83" s="1"/>
      <c r="D83" s="1"/>
      <c r="E83" s="1"/>
      <c r="F83" s="1"/>
      <c r="G83" s="1"/>
      <c r="H83" s="1"/>
      <c r="I83" s="1"/>
      <c r="J83" s="1"/>
      <c r="K83" s="1"/>
      <c r="L83" s="5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spans="3:80" x14ac:dyDescent="0.35">
      <c r="C84" s="1"/>
      <c r="D84" s="1"/>
      <c r="E84" s="1"/>
      <c r="F84" s="1"/>
      <c r="G84" s="1"/>
      <c r="H84" s="1"/>
      <c r="I84" s="1"/>
      <c r="J84" s="1"/>
      <c r="K84" s="1"/>
      <c r="L84" s="5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 spans="3:80" x14ac:dyDescent="0.35">
      <c r="C85" s="1"/>
      <c r="D85" s="1"/>
      <c r="E85" s="1"/>
      <c r="F85" s="1"/>
      <c r="G85" s="1"/>
      <c r="H85" s="1"/>
      <c r="I85" s="1"/>
      <c r="J85" s="1"/>
      <c r="K85" s="1"/>
      <c r="L85" s="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spans="3:80" x14ac:dyDescent="0.35">
      <c r="C86" s="1"/>
      <c r="D86" s="1"/>
      <c r="E86" s="1"/>
      <c r="F86" s="1"/>
      <c r="G86" s="1"/>
      <c r="H86" s="1"/>
      <c r="I86" s="1"/>
      <c r="J86" s="1"/>
      <c r="K86" s="1"/>
      <c r="L86" s="5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spans="3:80" x14ac:dyDescent="0.35">
      <c r="C87" s="1"/>
      <c r="D87" s="1"/>
      <c r="E87" s="1"/>
      <c r="F87" s="1"/>
      <c r="G87" s="1"/>
      <c r="H87" s="1"/>
      <c r="I87" s="1"/>
      <c r="J87" s="1"/>
      <c r="K87" s="1"/>
      <c r="L87" s="5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spans="3:80" x14ac:dyDescent="0.35">
      <c r="C88" s="1"/>
      <c r="D88" s="1"/>
      <c r="E88" s="1"/>
      <c r="F88" s="1"/>
      <c r="G88" s="1"/>
      <c r="H88" s="1"/>
      <c r="I88" s="1"/>
      <c r="J88" s="1"/>
      <c r="K88" s="1"/>
      <c r="L88" s="5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spans="3:80" x14ac:dyDescent="0.35">
      <c r="C89" s="1"/>
      <c r="D89" s="1"/>
      <c r="E89" s="1"/>
      <c r="F89" s="1"/>
      <c r="G89" s="1"/>
      <c r="H89" s="1"/>
      <c r="I89" s="1"/>
      <c r="J89" s="1"/>
      <c r="K89" s="1"/>
      <c r="L89" s="5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</sheetData>
  <pageMargins left="0.7" right="0.7" top="0.75" bottom="0.75" header="0.3" footer="0.3"/>
  <pageSetup paperSize="9" orientation="portrait" r:id="rId1"/>
  <ignoredErrors>
    <ignoredError sqref="P1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"/>
  <sheetViews>
    <sheetView workbookViewId="0">
      <pane xSplit="1" ySplit="1" topLeftCell="AK11" activePane="bottomRight" state="frozen"/>
      <selection pane="topRight" activeCell="B1" sqref="B1"/>
      <selection pane="bottomLeft" activeCell="A2" sqref="A2"/>
      <selection pane="bottomRight" activeCell="AT20" sqref="AT20"/>
    </sheetView>
  </sheetViews>
  <sheetFormatPr defaultRowHeight="14.5" x14ac:dyDescent="0.35"/>
  <cols>
    <col min="1" max="1" width="67.7265625" customWidth="1"/>
    <col min="2" max="15" width="11.36328125" bestFit="1" customWidth="1"/>
    <col min="16" max="16" width="10.26953125" customWidth="1"/>
    <col min="17" max="18" width="10" customWidth="1"/>
    <col min="19" max="20" width="9.90625" bestFit="1" customWidth="1"/>
    <col min="21" max="21" width="10.08984375" customWidth="1"/>
    <col min="22" max="34" width="9.90625" bestFit="1" customWidth="1"/>
    <col min="35" max="35" width="10.1796875" customWidth="1"/>
    <col min="36" max="40" width="9.90625" bestFit="1" customWidth="1"/>
  </cols>
  <sheetData>
    <row r="1" spans="1:46" x14ac:dyDescent="0.35">
      <c r="A1" t="s">
        <v>138</v>
      </c>
      <c r="B1" t="s">
        <v>61</v>
      </c>
      <c r="C1" t="s">
        <v>62</v>
      </c>
      <c r="D1" t="s">
        <v>63</v>
      </c>
      <c r="E1" t="s">
        <v>52</v>
      </c>
      <c r="F1" t="s">
        <v>0</v>
      </c>
      <c r="G1" t="s">
        <v>28</v>
      </c>
      <c r="H1" t="s">
        <v>51</v>
      </c>
      <c r="I1" t="s">
        <v>50</v>
      </c>
      <c r="J1" t="s">
        <v>49</v>
      </c>
      <c r="K1" t="s">
        <v>29</v>
      </c>
      <c r="L1" t="s">
        <v>48</v>
      </c>
      <c r="M1" t="s">
        <v>47</v>
      </c>
      <c r="N1" t="s">
        <v>46</v>
      </c>
      <c r="O1" t="s">
        <v>127</v>
      </c>
      <c r="P1" t="s">
        <v>146</v>
      </c>
      <c r="Q1" t="s">
        <v>183</v>
      </c>
      <c r="R1" t="s">
        <v>185</v>
      </c>
      <c r="S1" t="s">
        <v>186</v>
      </c>
      <c r="T1" t="s">
        <v>187</v>
      </c>
      <c r="U1" t="s">
        <v>188</v>
      </c>
      <c r="V1" t="s">
        <v>203</v>
      </c>
      <c r="W1" t="s">
        <v>204</v>
      </c>
      <c r="X1" t="s">
        <v>207</v>
      </c>
      <c r="Y1" t="s">
        <v>214</v>
      </c>
      <c r="Z1" t="s">
        <v>215</v>
      </c>
      <c r="AA1" t="s">
        <v>216</v>
      </c>
      <c r="AB1" t="s">
        <v>217</v>
      </c>
      <c r="AC1" t="s">
        <v>219</v>
      </c>
      <c r="AD1" t="s">
        <v>227</v>
      </c>
      <c r="AE1" t="s">
        <v>230</v>
      </c>
      <c r="AF1" t="s">
        <v>235</v>
      </c>
      <c r="AG1" t="s">
        <v>236</v>
      </c>
      <c r="AH1" t="s">
        <v>240</v>
      </c>
      <c r="AI1" t="s">
        <v>245</v>
      </c>
      <c r="AJ1" t="s">
        <v>246</v>
      </c>
      <c r="AK1" t="s">
        <v>248</v>
      </c>
      <c r="AL1" t="s">
        <v>425</v>
      </c>
      <c r="AM1" t="s">
        <v>428</v>
      </c>
      <c r="AN1" t="s">
        <v>431</v>
      </c>
      <c r="AO1" t="s">
        <v>436</v>
      </c>
      <c r="AP1" t="s">
        <v>450</v>
      </c>
      <c r="AQ1" t="s">
        <v>451</v>
      </c>
      <c r="AR1" t="s">
        <v>458</v>
      </c>
      <c r="AS1" t="s">
        <v>460</v>
      </c>
      <c r="AT1" t="s">
        <v>461</v>
      </c>
    </row>
    <row r="2" spans="1:46" x14ac:dyDescent="0.35">
      <c r="A2" t="s">
        <v>129</v>
      </c>
      <c r="B2" s="12">
        <f>Main_!C55</f>
        <v>10792185.6</v>
      </c>
      <c r="C2" s="12">
        <f>Main_!D55</f>
        <v>11374082</v>
      </c>
      <c r="D2" s="12">
        <f>Main_!E55</f>
        <v>11389507.9</v>
      </c>
      <c r="E2" s="12">
        <f>Main_!F55</f>
        <v>10434580.800000001</v>
      </c>
      <c r="F2" s="12">
        <f>Main_!G55</f>
        <v>10807595</v>
      </c>
      <c r="G2" s="12">
        <f>Main_!H55</f>
        <v>11106403.6</v>
      </c>
      <c r="H2" s="12">
        <f>Main_!I55</f>
        <v>11906061.4</v>
      </c>
      <c r="I2" s="12">
        <f>Main_!J55</f>
        <v>12475588.300000001</v>
      </c>
      <c r="J2" s="12">
        <f>Main_!K55</f>
        <v>12353145.800000001</v>
      </c>
      <c r="K2" s="12">
        <f>Main_!L55</f>
        <v>12670270.1</v>
      </c>
      <c r="L2" s="12">
        <f>Main_!M55</f>
        <v>13313450.5</v>
      </c>
      <c r="M2" s="12">
        <f>Main_!N55</f>
        <v>13703597.699999999</v>
      </c>
      <c r="N2" s="12">
        <f>Main_!O55</f>
        <v>13648337.699999999</v>
      </c>
      <c r="O2" s="12">
        <f>Main_!P55</f>
        <v>13541231.5</v>
      </c>
      <c r="P2" s="12">
        <f>Main_!Q55</f>
        <v>13432971.800000001</v>
      </c>
      <c r="Q2" s="12">
        <f>Main_!R55</f>
        <v>11965074.699999999</v>
      </c>
      <c r="R2" s="12">
        <f>Main_!S55</f>
        <v>11922371.199999999</v>
      </c>
      <c r="S2" s="12">
        <f>Main_!T55</f>
        <v>12258661.199999999</v>
      </c>
      <c r="T2" s="12">
        <f>Main_!U55</f>
        <v>12534406.300000001</v>
      </c>
      <c r="U2" s="12">
        <f>Main_!V55</f>
        <v>12750839.4</v>
      </c>
      <c r="V2" s="12">
        <f>Main_!W55</f>
        <v>12703814.5</v>
      </c>
      <c r="W2" s="12">
        <f>Main_!X55</f>
        <v>12601672.4</v>
      </c>
      <c r="X2" s="12">
        <f>Main_!Y55</f>
        <v>12277510.9</v>
      </c>
      <c r="Y2" s="12">
        <f>Main_!Z55</f>
        <v>12165767</v>
      </c>
      <c r="Z2" s="12">
        <f>Main_!AA55</f>
        <v>12787132.6</v>
      </c>
      <c r="AA2" s="12">
        <f>Main_!AB55</f>
        <v>12726198.800000001</v>
      </c>
      <c r="AB2" s="12">
        <f>Main_!AC55</f>
        <v>13096719.1</v>
      </c>
      <c r="AC2" s="12">
        <f>Main_!AD55</f>
        <v>11879972.699999999</v>
      </c>
      <c r="AD2" s="12">
        <f>Main_!AE55</f>
        <v>11965801.9</v>
      </c>
      <c r="AE2" s="12">
        <f>Main_!AF55</f>
        <v>11880606.5</v>
      </c>
      <c r="AF2" s="12">
        <f>Main_!AG55</f>
        <v>11750725.5</v>
      </c>
      <c r="AG2" s="12">
        <f>Main_!AH55</f>
        <v>11791774.4</v>
      </c>
      <c r="AH2" s="12">
        <f>Main_!AI55</f>
        <v>11696343.9</v>
      </c>
      <c r="AI2" s="12">
        <f>Main_!AJ55</f>
        <v>13090578.9</v>
      </c>
      <c r="AJ2" s="12">
        <f>Main_!AK55</f>
        <v>13080455.4</v>
      </c>
      <c r="AK2" s="12">
        <f>Main_!AL55</f>
        <v>13142340.5</v>
      </c>
      <c r="AL2" s="12">
        <f>Main_!AM55</f>
        <v>13162797.300000001</v>
      </c>
      <c r="AM2" s="12">
        <f>Main_!AN55</f>
        <v>13201461.1</v>
      </c>
      <c r="AN2" s="12">
        <f>Main_!AO55</f>
        <v>13259020.6</v>
      </c>
      <c r="AO2" s="12">
        <f>Main_!AP55</f>
        <v>13415158.699999999</v>
      </c>
      <c r="AP2" s="12">
        <f>Main_!AQ55</f>
        <v>13639253.699999999</v>
      </c>
      <c r="AQ2" s="12">
        <f>Main_!AR55</f>
        <v>13548756.699999999</v>
      </c>
      <c r="AR2" s="12">
        <f>Main_!AS55</f>
        <v>13413795.4</v>
      </c>
      <c r="AS2" s="12">
        <f>Main_!AT55</f>
        <v>13213192.6</v>
      </c>
      <c r="AT2" s="12">
        <f>Main_!AU55</f>
        <v>12955276.1</v>
      </c>
    </row>
    <row r="3" spans="1:46" x14ac:dyDescent="0.35">
      <c r="A3" t="s">
        <v>130</v>
      </c>
      <c r="B3" s="12">
        <f>Main_!C56</f>
        <v>187974.6</v>
      </c>
      <c r="C3" s="12">
        <f>Main_!D56</f>
        <v>184841.3</v>
      </c>
      <c r="D3" s="12">
        <f>Main_!E56</f>
        <v>186486.39999999999</v>
      </c>
      <c r="E3" s="12">
        <f>Main_!F56</f>
        <v>148350.20000000001</v>
      </c>
      <c r="F3" s="12">
        <f>Main_!G56</f>
        <v>155297.79999999999</v>
      </c>
      <c r="G3" s="12">
        <f>Main_!H56</f>
        <v>147236.70000000001</v>
      </c>
      <c r="H3" s="12">
        <f>Main_!I56</f>
        <v>154451.1</v>
      </c>
      <c r="I3" s="12">
        <f>Main_!J56</f>
        <v>154958.29999999999</v>
      </c>
      <c r="J3" s="12">
        <f>Main_!K56</f>
        <v>153099.20000000001</v>
      </c>
      <c r="K3" s="12">
        <f>Main_!L56</f>
        <v>145578.20000000001</v>
      </c>
      <c r="L3" s="12">
        <f>Main_!M56</f>
        <v>146336.5</v>
      </c>
      <c r="M3" s="12">
        <f>Main_!N56</f>
        <v>142852.5</v>
      </c>
      <c r="N3" s="12">
        <f>Main_!O56</f>
        <v>140105.5</v>
      </c>
      <c r="O3" s="12">
        <f>Main_!P56</f>
        <v>145224.4</v>
      </c>
      <c r="P3" s="12">
        <f>Main_!Q56</f>
        <v>151129.1</v>
      </c>
      <c r="Q3" s="12">
        <f>Main_!R56</f>
        <v>133407.29999999999</v>
      </c>
      <c r="R3" s="12">
        <f>Main_!S56</f>
        <v>133526.1</v>
      </c>
      <c r="S3" s="12">
        <f>Main_!T56</f>
        <v>133436</v>
      </c>
      <c r="T3" s="12">
        <f>Main_!U56</f>
        <v>135703.70000000001</v>
      </c>
      <c r="U3" s="12">
        <f>Main_!V56</f>
        <v>138929.70000000001</v>
      </c>
      <c r="V3" s="12">
        <f>Main_!W56</f>
        <v>141488.5</v>
      </c>
      <c r="W3" s="12">
        <f>Main_!X56</f>
        <v>146961.70000000001</v>
      </c>
      <c r="X3" s="12">
        <f>Main_!Y56</f>
        <v>142216</v>
      </c>
      <c r="Y3" s="12">
        <f>Main_!Z56</f>
        <v>133415.9</v>
      </c>
      <c r="Z3" s="12">
        <f>Main_!AA56</f>
        <v>137922.29999999999</v>
      </c>
      <c r="AA3" s="12">
        <f>Main_!AB56</f>
        <v>131126.29999999999</v>
      </c>
      <c r="AB3" s="12">
        <f>Main_!AC56</f>
        <v>121557.5</v>
      </c>
      <c r="AC3" s="12">
        <f>Main_!AD56</f>
        <v>116837.2</v>
      </c>
      <c r="AD3" s="12">
        <f>Main_!AE56</f>
        <v>122092.3</v>
      </c>
      <c r="AE3" s="12">
        <f>Main_!AF56</f>
        <v>135473.79999999999</v>
      </c>
      <c r="AF3" s="12">
        <f>Main_!AG56</f>
        <v>140422.39999999999</v>
      </c>
      <c r="AG3" s="12">
        <f>Main_!AH56</f>
        <v>144575.1</v>
      </c>
      <c r="AH3" s="12">
        <f>Main_!AI56</f>
        <v>148776.1</v>
      </c>
      <c r="AI3" s="12">
        <f>Main_!AJ56</f>
        <v>166825.9</v>
      </c>
      <c r="AJ3" s="12">
        <f>Main_!AK56</f>
        <v>159840</v>
      </c>
      <c r="AK3" s="12">
        <f>Main_!AL56</f>
        <v>163601.1</v>
      </c>
      <c r="AL3" s="12">
        <f>Main_!AM56</f>
        <v>158841.29999999999</v>
      </c>
      <c r="AM3" s="12">
        <f>Main_!AN56</f>
        <v>163985.79999999999</v>
      </c>
      <c r="AN3" s="12">
        <f>Main_!AO56</f>
        <v>169491.1</v>
      </c>
      <c r="AO3" s="12">
        <f>Main_!AP56</f>
        <v>171490.8</v>
      </c>
      <c r="AP3" s="12">
        <f>Main_!AQ56</f>
        <v>180097.3</v>
      </c>
      <c r="AQ3" s="12">
        <f>Main_!AR56</f>
        <v>175334.9</v>
      </c>
      <c r="AR3" s="12">
        <f>Main_!AS56</f>
        <v>165000.5</v>
      </c>
      <c r="AS3" s="12">
        <f>Main_!AT56</f>
        <v>176456.8</v>
      </c>
      <c r="AT3" s="12">
        <f>Main_!AU56</f>
        <v>182411.1</v>
      </c>
    </row>
    <row r="4" spans="1:46" x14ac:dyDescent="0.35">
      <c r="A4" t="s">
        <v>139</v>
      </c>
      <c r="B4" s="12">
        <f>Main_!C2</f>
        <v>49188.800000000003</v>
      </c>
      <c r="C4" s="12">
        <f>Main_!D2</f>
        <v>45733.5</v>
      </c>
      <c r="D4" s="12">
        <f>Main_!E2</f>
        <v>41891.699999999997</v>
      </c>
      <c r="E4" s="12">
        <f>Main_!F2</f>
        <v>10464.5</v>
      </c>
      <c r="F4" s="12">
        <f>Main_!G2</f>
        <v>10464.5</v>
      </c>
      <c r="G4" s="12">
        <f>Main_!H2</f>
        <v>10464.5</v>
      </c>
      <c r="H4" s="12">
        <f>Main_!I2</f>
        <v>10398.799999999999</v>
      </c>
      <c r="I4" s="12">
        <f>Main_!J2</f>
        <v>9233.6</v>
      </c>
      <c r="J4" s="12">
        <f>Main_!K2</f>
        <v>9054.6</v>
      </c>
      <c r="K4" s="12">
        <f>Main_!L2</f>
        <v>7278.7</v>
      </c>
      <c r="L4" s="12">
        <f>Main_!M2</f>
        <v>7278.7</v>
      </c>
      <c r="M4" s="12">
        <f>Main_!N2</f>
        <v>5224.6000000000004</v>
      </c>
      <c r="N4" s="12">
        <f>Main_!O2</f>
        <v>4070.6</v>
      </c>
      <c r="O4" s="12">
        <f>Main_!P2</f>
        <v>3666.6</v>
      </c>
      <c r="P4" s="12">
        <f>Main_!Q2</f>
        <v>3268.8</v>
      </c>
      <c r="Q4" s="12">
        <f>Main_!R2</f>
        <v>0</v>
      </c>
      <c r="R4" s="12">
        <f>Main_!S2</f>
        <v>0</v>
      </c>
      <c r="S4" s="12">
        <f>Main_!T2</f>
        <v>0</v>
      </c>
      <c r="T4" s="12">
        <f>Main_!U2</f>
        <v>0</v>
      </c>
      <c r="U4" s="12">
        <f>Main_!V2</f>
        <v>0</v>
      </c>
      <c r="V4" s="12">
        <f>Main_!W2</f>
        <v>0</v>
      </c>
      <c r="W4" s="12">
        <f>Main_!X2</f>
        <v>0</v>
      </c>
      <c r="X4" s="12">
        <f>Main_!Y2</f>
        <v>0</v>
      </c>
      <c r="Y4" s="12">
        <f>Main_!Z2</f>
        <v>0</v>
      </c>
      <c r="Z4" s="12">
        <f>Main_!AA2</f>
        <v>0</v>
      </c>
      <c r="AA4" s="12">
        <f>Main_!AB2</f>
        <v>0</v>
      </c>
      <c r="AB4" s="12">
        <f>Main_!AC2</f>
        <v>0</v>
      </c>
      <c r="AC4" s="12">
        <f>Main_!AD2</f>
        <v>0</v>
      </c>
      <c r="AD4" s="12">
        <f>Main_!AE2</f>
        <v>0</v>
      </c>
      <c r="AE4" s="12">
        <f>Main_!AF2</f>
        <v>0</v>
      </c>
      <c r="AF4" s="12">
        <f>Main_!AG2</f>
        <v>0</v>
      </c>
      <c r="AG4" s="12">
        <f>Main_!AH2</f>
        <v>0</v>
      </c>
      <c r="AH4" s="12">
        <f>Main_!AI2</f>
        <v>0</v>
      </c>
      <c r="AI4" s="12">
        <f>Main_!AJ2</f>
        <v>0</v>
      </c>
      <c r="AJ4" s="12">
        <f>Main_!AK2</f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</row>
    <row r="5" spans="1:46" x14ac:dyDescent="0.35">
      <c r="A5" t="s">
        <v>140</v>
      </c>
      <c r="B5" s="12">
        <f>Main_!C5</f>
        <v>309720.09999999998</v>
      </c>
      <c r="C5" s="12">
        <f>Main_!D5</f>
        <v>309720.09999999998</v>
      </c>
      <c r="D5" s="12">
        <f>Main_!E5</f>
        <v>309720.09999999998</v>
      </c>
      <c r="E5" s="12">
        <f>Main_!F5</f>
        <v>309720.09999999998</v>
      </c>
      <c r="F5" s="12">
        <f>Main_!G5</f>
        <v>307445.90000000002</v>
      </c>
      <c r="G5" s="12">
        <f>Main_!H5</f>
        <v>300067.90000000002</v>
      </c>
      <c r="H5" s="12">
        <f>Main_!I5</f>
        <v>292588.79999999999</v>
      </c>
      <c r="I5" s="12">
        <f>Main_!J5</f>
        <v>288330.09999999998</v>
      </c>
      <c r="J5" s="12">
        <f>Main_!K5</f>
        <v>285736.09999999998</v>
      </c>
      <c r="K5" s="12">
        <f>Main_!L5</f>
        <v>282284.2</v>
      </c>
      <c r="L5" s="12">
        <f>Main_!M5</f>
        <v>280158.90000000002</v>
      </c>
      <c r="M5" s="12">
        <f>Main_!N5</f>
        <v>279773.7</v>
      </c>
      <c r="N5" s="12">
        <f>Main_!O5</f>
        <v>279773.7</v>
      </c>
      <c r="O5" s="12">
        <f>Main_!P5</f>
        <v>279773.7</v>
      </c>
      <c r="P5" s="12">
        <f>Main_!Q5</f>
        <v>279773.7</v>
      </c>
      <c r="Q5" s="12">
        <f>Main_!R5</f>
        <v>227330.7</v>
      </c>
      <c r="R5" s="12">
        <f>Main_!S5</f>
        <v>227517.1</v>
      </c>
      <c r="S5" s="12">
        <f>Main_!T5</f>
        <v>227517.1</v>
      </c>
      <c r="T5" s="12">
        <f>Main_!U5</f>
        <v>227615.8</v>
      </c>
      <c r="U5" s="12">
        <f>Main_!V5</f>
        <v>227615.8</v>
      </c>
      <c r="V5" s="12">
        <f>Main_!W5</f>
        <v>227615.8</v>
      </c>
      <c r="W5" s="12">
        <f>Main_!X5</f>
        <v>229532.6</v>
      </c>
      <c r="X5" s="12">
        <f>Main_!Y5</f>
        <v>226532.6</v>
      </c>
      <c r="Y5" s="12">
        <f>Main_!Z5</f>
        <v>223782.6</v>
      </c>
      <c r="Z5" s="12">
        <f>Main_!AA5</f>
        <v>221782.6</v>
      </c>
      <c r="AA5" s="12">
        <f>Main_!AB5</f>
        <v>220532.6</v>
      </c>
      <c r="AB5" s="12">
        <f>Main_!AC5</f>
        <v>219532.6</v>
      </c>
      <c r="AC5" s="12">
        <f>Main_!AD5</f>
        <v>164044.20000000001</v>
      </c>
      <c r="AD5" s="12">
        <f>Main_!AE5</f>
        <v>164255.79999999999</v>
      </c>
      <c r="AE5" s="12">
        <f>Main_!AF5</f>
        <v>164285.9</v>
      </c>
      <c r="AF5" s="12">
        <f>Main_!AG5</f>
        <v>164387.6</v>
      </c>
      <c r="AG5" s="12">
        <f>Main_!AH5</f>
        <v>164597.20000000001</v>
      </c>
      <c r="AH5" s="12">
        <f>Main_!AI5</f>
        <v>153698.1</v>
      </c>
      <c r="AI5" s="12">
        <f>Main_!AJ5</f>
        <v>214820.7</v>
      </c>
      <c r="AJ5" s="12">
        <f>Main_!AK5</f>
        <v>210208.6</v>
      </c>
      <c r="AK5" s="12">
        <f>Main_!AL5</f>
        <v>209152</v>
      </c>
      <c r="AL5" s="12">
        <f>Main_!AM5</f>
        <v>209152</v>
      </c>
      <c r="AM5" s="12">
        <f>Main_!AN5</f>
        <v>209152</v>
      </c>
      <c r="AN5" s="12">
        <f>Main_!AO5</f>
        <v>209152</v>
      </c>
      <c r="AO5" s="12">
        <f>Main_!AP5</f>
        <v>209152</v>
      </c>
      <c r="AP5" s="12">
        <f>Main_!AQ5</f>
        <v>201065.7</v>
      </c>
      <c r="AQ5" s="12">
        <f>Main_!AR5</f>
        <v>188087.1</v>
      </c>
      <c r="AR5" s="12">
        <f>Main_!AS5</f>
        <v>185210.6</v>
      </c>
      <c r="AS5" s="12">
        <f>Main_!AT5</f>
        <v>185210.6</v>
      </c>
      <c r="AT5" s="12">
        <f>Main_!AU5</f>
        <v>185546.9</v>
      </c>
    </row>
    <row r="6" spans="1:46" x14ac:dyDescent="0.35">
      <c r="A6" t="s">
        <v>141</v>
      </c>
      <c r="B6" s="12">
        <f>Main_!C6</f>
        <v>554910.5</v>
      </c>
      <c r="C6" s="12">
        <f>Main_!D6</f>
        <v>554910.5</v>
      </c>
      <c r="D6" s="12">
        <f>Main_!E6</f>
        <v>554910.5</v>
      </c>
      <c r="E6" s="12">
        <f>Main_!F6</f>
        <v>554910.5</v>
      </c>
      <c r="F6" s="12">
        <f>Main_!G6</f>
        <v>551277.5</v>
      </c>
      <c r="G6" s="12">
        <f>Main_!H6</f>
        <v>539245.1</v>
      </c>
      <c r="H6" s="12">
        <f>Main_!I6</f>
        <v>527382.30000000005</v>
      </c>
      <c r="I6" s="12">
        <f>Main_!J6</f>
        <v>520974</v>
      </c>
      <c r="J6" s="12">
        <f>Main_!K6</f>
        <v>517114.1</v>
      </c>
      <c r="K6" s="12">
        <f>Main_!L6</f>
        <v>511986.9</v>
      </c>
      <c r="L6" s="12">
        <f>Main_!M6</f>
        <v>508835.4</v>
      </c>
      <c r="M6" s="12">
        <f>Main_!N6</f>
        <v>508265.3</v>
      </c>
      <c r="N6" s="12">
        <f>Main_!O6</f>
        <v>508265.3</v>
      </c>
      <c r="O6" s="12">
        <f>Main_!P6</f>
        <v>508265.3</v>
      </c>
      <c r="P6" s="12">
        <f>Main_!Q6</f>
        <v>508265.3</v>
      </c>
      <c r="Q6" s="12">
        <f>Main_!R6</f>
        <v>358960.6</v>
      </c>
      <c r="R6" s="12">
        <f>Main_!S6</f>
        <v>358960.6</v>
      </c>
      <c r="S6" s="12">
        <f>Main_!T6</f>
        <v>358014.6</v>
      </c>
      <c r="T6" s="12">
        <f>Main_!U6</f>
        <v>334863.2</v>
      </c>
      <c r="U6" s="12">
        <f>Main_!V6</f>
        <v>334367.3</v>
      </c>
      <c r="V6" s="12">
        <f>Main_!W6</f>
        <v>329705.3</v>
      </c>
      <c r="W6" s="12">
        <f>Main_!X6</f>
        <v>303578.59999999998</v>
      </c>
      <c r="X6" s="12">
        <f>Main_!Y6</f>
        <v>298840.40000000002</v>
      </c>
      <c r="Y6" s="12">
        <f>Main_!Z6</f>
        <v>293188.59999999998</v>
      </c>
      <c r="Z6" s="12">
        <f>Main_!AA6</f>
        <v>292494.09999999998</v>
      </c>
      <c r="AA6" s="12">
        <f>Main_!AB6</f>
        <v>283575.3</v>
      </c>
      <c r="AB6" s="12">
        <f>Main_!AC6</f>
        <v>279562.59999999998</v>
      </c>
      <c r="AC6" s="12">
        <f>Main_!AD6</f>
        <v>187749.1</v>
      </c>
      <c r="AD6" s="12">
        <f>Main_!AE6</f>
        <v>178996</v>
      </c>
      <c r="AE6" s="12">
        <f>Main_!AF6</f>
        <v>174626.7</v>
      </c>
      <c r="AF6" s="12">
        <f>Main_!AG6</f>
        <v>168271.4</v>
      </c>
      <c r="AG6" s="12">
        <f>Main_!AH6</f>
        <v>168061.1</v>
      </c>
      <c r="AH6" s="12">
        <f>Main_!AI6</f>
        <v>139509.1</v>
      </c>
      <c r="AI6" s="12">
        <f>Main_!AJ6</f>
        <v>211953.9</v>
      </c>
      <c r="AJ6" s="12">
        <f>Main_!AK6</f>
        <v>179097.4</v>
      </c>
      <c r="AK6" s="12">
        <f>Main_!AL6</f>
        <v>178260.9</v>
      </c>
      <c r="AL6" s="12">
        <f>Main_!AM6</f>
        <v>173109.6</v>
      </c>
      <c r="AM6" s="12">
        <f>Main_!AN6</f>
        <v>173102.6</v>
      </c>
      <c r="AN6" s="12">
        <f>Main_!AO6</f>
        <v>173039.4</v>
      </c>
      <c r="AO6" s="12">
        <f>Main_!AP6</f>
        <v>160241.20000000001</v>
      </c>
      <c r="AP6" s="12">
        <f>Main_!AQ6</f>
        <v>155093.70000000001</v>
      </c>
      <c r="AQ6" s="12">
        <f>Main_!AR6</f>
        <v>147197.20000000001</v>
      </c>
      <c r="AR6" s="12">
        <f>Main_!AS6</f>
        <v>145348.4</v>
      </c>
      <c r="AS6" s="12">
        <f>Main_!AT6</f>
        <v>145180.1</v>
      </c>
      <c r="AT6" s="12">
        <f>Main_!AU6</f>
        <v>145180.1</v>
      </c>
    </row>
    <row r="7" spans="1:46" x14ac:dyDescent="0.35">
      <c r="A7" t="s">
        <v>142</v>
      </c>
      <c r="B7" s="12">
        <f>Main_!C7</f>
        <v>264.3</v>
      </c>
      <c r="C7" s="12">
        <f>Main_!D7</f>
        <v>526.70000000000005</v>
      </c>
      <c r="D7" s="12">
        <f>Main_!E7</f>
        <v>242.7</v>
      </c>
      <c r="E7" s="12">
        <f>Main_!F7</f>
        <v>274.8</v>
      </c>
      <c r="F7" s="12">
        <f>Main_!G7</f>
        <v>530.1</v>
      </c>
      <c r="G7" s="12">
        <f>Main_!H7</f>
        <v>6124</v>
      </c>
      <c r="H7" s="12">
        <f>Main_!I7</f>
        <v>140.69999999999999</v>
      </c>
      <c r="I7" s="12">
        <f>Main_!J7</f>
        <v>232.8</v>
      </c>
      <c r="J7" s="12">
        <f>Main_!K7</f>
        <v>228</v>
      </c>
      <c r="K7" s="12">
        <f>Main_!L7</f>
        <v>400.4</v>
      </c>
      <c r="L7" s="12">
        <f>Main_!M7</f>
        <v>5490.5</v>
      </c>
      <c r="M7" s="12">
        <f>Main_!N7</f>
        <v>6775.9</v>
      </c>
      <c r="N7" s="12">
        <f>Main_!O7</f>
        <v>395.9</v>
      </c>
      <c r="O7" s="12">
        <f>Main_!P7</f>
        <v>261.8</v>
      </c>
      <c r="P7" s="12">
        <f>Main_!Q7</f>
        <v>1187.5999999999999</v>
      </c>
      <c r="Q7" s="12">
        <f>Main_!R7</f>
        <v>1514</v>
      </c>
      <c r="R7" s="12">
        <f>Main_!S7</f>
        <v>294.8</v>
      </c>
      <c r="S7" s="12">
        <f>Main_!T7</f>
        <v>1241</v>
      </c>
      <c r="T7" s="12">
        <f>Main_!U7</f>
        <v>1650.1</v>
      </c>
      <c r="U7" s="12">
        <f>Main_!V7</f>
        <v>299.7</v>
      </c>
      <c r="V7" s="12">
        <f>Main_!W7</f>
        <v>1252</v>
      </c>
      <c r="W7" s="12">
        <f>Main_!X7</f>
        <v>1676</v>
      </c>
      <c r="X7" s="12">
        <f>Main_!Y7</f>
        <v>368.5</v>
      </c>
      <c r="Y7" s="12">
        <f>Main_!Z7</f>
        <v>1261.9000000000001</v>
      </c>
      <c r="Z7" s="12">
        <f>Main_!AA7</f>
        <v>1612.3</v>
      </c>
      <c r="AA7" s="12">
        <f>Main_!AB7</f>
        <v>410.2</v>
      </c>
      <c r="AB7" s="12">
        <f>Main_!AC7</f>
        <v>1429.9</v>
      </c>
      <c r="AC7" s="12">
        <f>Main_!AD7</f>
        <v>1630.9</v>
      </c>
      <c r="AD7" s="12">
        <f>Main_!AE7</f>
        <v>0</v>
      </c>
      <c r="AE7" s="12">
        <f>Main_!AF7</f>
        <v>1249.5999999999999</v>
      </c>
      <c r="AF7" s="12">
        <f>Main_!AG7</f>
        <v>1671.6</v>
      </c>
      <c r="AG7" s="12">
        <f>Main_!AH7</f>
        <v>397.6</v>
      </c>
      <c r="AH7" s="12">
        <f>Main_!AI7</f>
        <v>1271.3</v>
      </c>
      <c r="AI7" s="12">
        <f>Main_!AJ7</f>
        <v>2525.5</v>
      </c>
      <c r="AJ7" s="12">
        <f>Main_!AK7</f>
        <v>419.6</v>
      </c>
      <c r="AK7" s="12">
        <f>Main_!AL7</f>
        <v>1267.4000000000001</v>
      </c>
      <c r="AL7" s="12">
        <f>Main_!AM7</f>
        <v>473.7</v>
      </c>
      <c r="AM7" s="12">
        <f>Main_!AN7</f>
        <v>0</v>
      </c>
      <c r="AN7" s="12">
        <f>Main_!AO7</f>
        <v>1734.4</v>
      </c>
      <c r="AO7" s="12">
        <f>Main_!AP7</f>
        <v>3123</v>
      </c>
      <c r="AP7" s="12">
        <f>Main_!AQ7</f>
        <v>0</v>
      </c>
      <c r="AQ7" s="12">
        <f>Main_!AR7</f>
        <v>1295.9000000000001</v>
      </c>
      <c r="AR7" s="12">
        <f>Main_!AS7</f>
        <v>2936.3</v>
      </c>
      <c r="AS7" s="12">
        <f>Main_!AT7</f>
        <v>1320.8</v>
      </c>
      <c r="AT7" s="12">
        <f>Main_!AU7</f>
        <v>1534</v>
      </c>
    </row>
    <row r="8" spans="1:46" x14ac:dyDescent="0.35">
      <c r="A8" t="s">
        <v>147</v>
      </c>
      <c r="B8" s="12">
        <v>528449</v>
      </c>
      <c r="C8" s="12">
        <v>528186</v>
      </c>
      <c r="D8" s="12">
        <v>650116</v>
      </c>
      <c r="E8" s="12">
        <v>649841</v>
      </c>
      <c r="F8" s="12">
        <v>649586</v>
      </c>
      <c r="G8" s="12">
        <v>649346</v>
      </c>
      <c r="H8" s="12">
        <v>648927</v>
      </c>
      <c r="I8" s="12">
        <v>648694</v>
      </c>
      <c r="J8" s="12">
        <v>648466</v>
      </c>
      <c r="K8" s="12">
        <f>SUM(Main_!L8:L26)</f>
        <v>653020</v>
      </c>
      <c r="L8" s="12">
        <f>SUM(Main_!M8:M26)</f>
        <v>655170.80000000005</v>
      </c>
      <c r="M8" s="12">
        <f>SUM(Main_!N8:N26)</f>
        <v>656580</v>
      </c>
      <c r="N8" s="12">
        <f>SUM(Main_!O8:O26)</f>
        <v>657029.30000000005</v>
      </c>
      <c r="O8" s="12">
        <f>SUM(Main_!P8:P26)</f>
        <v>657764.80000000005</v>
      </c>
      <c r="P8" s="12">
        <f>SUM(Main_!Q8:Q26)</f>
        <v>658364.9</v>
      </c>
      <c r="Q8" s="12">
        <f>SUM(Main_!R8:R26)</f>
        <v>658828.30000000005</v>
      </c>
      <c r="R8" s="12">
        <f>SUM(Main_!S8:S26)</f>
        <v>658595.69999999995</v>
      </c>
      <c r="S8" s="12">
        <f>SUM(Main_!T8:T26)</f>
        <v>658293.5</v>
      </c>
      <c r="T8" s="12">
        <f>SUM(Main_!U8:U26)</f>
        <v>657832.89999999991</v>
      </c>
      <c r="U8" s="12">
        <f>SUM(Main_!V8:V26)</f>
        <v>659635.9</v>
      </c>
      <c r="V8" s="12">
        <f>SUM(Main_!W8:W26)</f>
        <v>660216.1</v>
      </c>
      <c r="W8" s="12">
        <f>SUM(Main_!X8:X26)</f>
        <v>660688.69999999995</v>
      </c>
      <c r="X8" s="12">
        <f>SUM(Main_!Y8:Y26)</f>
        <v>689427.9</v>
      </c>
      <c r="Y8" s="12">
        <f>SUM(Main_!Z8:Z26)</f>
        <v>690022.5</v>
      </c>
      <c r="Z8" s="12">
        <f>SUM(Main_!AA8:AA26)</f>
        <v>690508.4</v>
      </c>
      <c r="AA8" s="12">
        <f>SUM(Main_!AB8:AB26)</f>
        <v>752240.9</v>
      </c>
      <c r="AB8" s="12">
        <f>SUM(Main_!AC8:AC26)</f>
        <v>751917.8</v>
      </c>
      <c r="AC8" s="12">
        <f>SUM(Main_!AD8:AD26)</f>
        <v>891319.7</v>
      </c>
      <c r="AD8" s="12">
        <f>SUM(Main_!AE8:AE26)</f>
        <v>968847.4</v>
      </c>
      <c r="AE8" s="12">
        <f>SUM(Main_!AF8:AF26)</f>
        <v>1005833.7000000001</v>
      </c>
      <c r="AF8" s="12">
        <f>SUM(Main_!AG8:AG26)</f>
        <v>1054339.1000000001</v>
      </c>
      <c r="AG8" s="12">
        <f>SUM(Main_!AH8:AH26)</f>
        <v>1055987.8999999999</v>
      </c>
      <c r="AH8" s="12">
        <f>SUM(Main_!AI8:AI26)</f>
        <v>1104103.6000000001</v>
      </c>
      <c r="AI8" s="12">
        <f>SUM(Main_!AJ8:AJ26)</f>
        <v>1104617.5</v>
      </c>
      <c r="AJ8" s="12">
        <f>SUM(Main_!AK8:AK26)</f>
        <v>1238713.2999999998</v>
      </c>
      <c r="AK8" s="12">
        <f>SUM(Main_!AL8:AL26)</f>
        <v>1257904.3999999999</v>
      </c>
      <c r="AL8" s="12">
        <f>SUM(Main_!AM8:AM26)</f>
        <v>1283874.5</v>
      </c>
      <c r="AM8" s="12">
        <f>SUM(Main_!AN8:AN26)</f>
        <v>1284971.7</v>
      </c>
      <c r="AN8" s="12">
        <f>SUM(Main_!AO8:AO26)</f>
        <v>1286599.8999999999</v>
      </c>
      <c r="AO8" s="12">
        <f>SUM(Main_!AP8:AP26)</f>
        <v>1318345.5</v>
      </c>
      <c r="AP8" s="12">
        <f>SUM(Main_!AQ8:AQ26)</f>
        <v>1318951.6000000001</v>
      </c>
      <c r="AQ8" s="12">
        <f>SUM(Main_!AR8:AR26)</f>
        <v>1319118.5</v>
      </c>
      <c r="AR8" s="12">
        <f>SUM(Main_!AS8:AS26)</f>
        <v>1319128.1000000001</v>
      </c>
      <c r="AS8" s="12">
        <f>SUM(Main_!AT8:AT26)</f>
        <v>1321001.2</v>
      </c>
      <c r="AT8" s="12">
        <f>SUM(Main_!AU8:AU26)</f>
        <v>1321371.6000000001</v>
      </c>
    </row>
    <row r="9" spans="1:46" x14ac:dyDescent="0.35">
      <c r="A9" t="s">
        <v>131</v>
      </c>
      <c r="B9" s="12">
        <f>Main_!C27</f>
        <v>3000</v>
      </c>
      <c r="C9" s="12">
        <f>Main_!D27</f>
        <v>3000</v>
      </c>
      <c r="D9" s="12">
        <f>Main_!E27</f>
        <v>3000</v>
      </c>
      <c r="E9" s="12">
        <f>Main_!F27</f>
        <v>3000</v>
      </c>
      <c r="F9" s="12">
        <f>Main_!G27</f>
        <v>3000</v>
      </c>
      <c r="G9" s="12">
        <f>Main_!H27</f>
        <v>3000</v>
      </c>
      <c r="H9" s="12">
        <f>Main_!I27</f>
        <v>3000</v>
      </c>
      <c r="I9" s="12">
        <f>Main_!J27</f>
        <v>3000</v>
      </c>
      <c r="J9" s="12">
        <f>Main_!K27</f>
        <v>3000</v>
      </c>
      <c r="K9" s="12">
        <f>Main_!L27</f>
        <v>3000</v>
      </c>
      <c r="L9" s="12">
        <f>Main_!M27</f>
        <v>3000</v>
      </c>
      <c r="M9" s="12">
        <f>Main_!N27</f>
        <v>3000</v>
      </c>
      <c r="N9" s="12">
        <f>Main_!O27</f>
        <v>3000</v>
      </c>
      <c r="O9" s="12">
        <f>Main_!P27</f>
        <v>3000</v>
      </c>
      <c r="P9" s="12">
        <f>Main_!Q27</f>
        <v>3000</v>
      </c>
      <c r="Q9" s="12">
        <f>Main_!R27</f>
        <v>3000</v>
      </c>
      <c r="R9" s="12">
        <f>Main_!S27</f>
        <v>3000</v>
      </c>
      <c r="S9" s="12">
        <f>Main_!T27</f>
        <v>3000</v>
      </c>
      <c r="T9" s="12">
        <f>Main_!U27</f>
        <v>3000</v>
      </c>
      <c r="U9" s="12">
        <f>Main_!V27</f>
        <v>3000</v>
      </c>
      <c r="V9" s="12">
        <f>Main_!W27</f>
        <v>3000</v>
      </c>
      <c r="W9" s="12">
        <f>Main_!X27</f>
        <v>3000</v>
      </c>
      <c r="X9" s="12">
        <f>Main_!Y27</f>
        <v>3000</v>
      </c>
      <c r="Y9" s="12">
        <f>Main_!Z27</f>
        <v>3000</v>
      </c>
      <c r="Z9" s="12">
        <f>Main_!AA27</f>
        <v>3000</v>
      </c>
      <c r="AA9" s="12">
        <f>Main_!AB27</f>
        <v>3000</v>
      </c>
      <c r="AB9" s="12">
        <f>Main_!AC27</f>
        <v>3000</v>
      </c>
      <c r="AC9" s="12">
        <f>Main_!AD27</f>
        <v>3000</v>
      </c>
      <c r="AD9" s="12">
        <f>Main_!AE27</f>
        <v>3000</v>
      </c>
      <c r="AE9" s="12">
        <f>Main_!AF27</f>
        <v>3000</v>
      </c>
      <c r="AF9" s="12">
        <f>Main_!AG27</f>
        <v>3000</v>
      </c>
      <c r="AG9" s="12">
        <f>Main_!AH27</f>
        <v>3000</v>
      </c>
      <c r="AH9" s="12">
        <f>Main_!AI27</f>
        <v>3000</v>
      </c>
      <c r="AI9" s="12">
        <f>Main_!AJ27</f>
        <v>3000</v>
      </c>
      <c r="AJ9" s="12">
        <f>Main_!AK27</f>
        <v>3000</v>
      </c>
      <c r="AK9" s="12">
        <f>Main_!AL27</f>
        <v>3000</v>
      </c>
      <c r="AL9" s="12">
        <f>Main_!AM27</f>
        <v>3000</v>
      </c>
      <c r="AM9" s="12">
        <f>Main_!AN27</f>
        <v>3000</v>
      </c>
      <c r="AN9" s="12">
        <f>Main_!AO27</f>
        <v>3000</v>
      </c>
      <c r="AO9" s="12">
        <f>Main_!AP27</f>
        <v>3000</v>
      </c>
      <c r="AP9" s="12">
        <f>Main_!AQ27</f>
        <v>3000</v>
      </c>
      <c r="AQ9" s="12">
        <f>Main_!AR27</f>
        <v>3000</v>
      </c>
      <c r="AR9" s="12">
        <f>Main_!AS27</f>
        <v>3000</v>
      </c>
      <c r="AS9" s="12">
        <f>Main_!AT27</f>
        <v>3000</v>
      </c>
      <c r="AT9" s="12">
        <f>Main_!AU27</f>
        <v>3000</v>
      </c>
    </row>
    <row r="10" spans="1:46" x14ac:dyDescent="0.35">
      <c r="A10" t="s">
        <v>132</v>
      </c>
      <c r="B10" s="12">
        <f>Main_!C28</f>
        <v>314357.40000000002</v>
      </c>
      <c r="C10" s="12">
        <f>Main_!D28</f>
        <v>319388.7</v>
      </c>
      <c r="D10" s="12">
        <f>Main_!E28</f>
        <v>385146.2</v>
      </c>
      <c r="E10" s="12">
        <f>Main_!F28</f>
        <v>583710</v>
      </c>
      <c r="F10" s="12">
        <f>Main_!G28</f>
        <v>583710</v>
      </c>
      <c r="G10" s="12">
        <f>Main_!H28</f>
        <v>583710</v>
      </c>
      <c r="H10" s="12">
        <f>Main_!I28</f>
        <v>595596</v>
      </c>
      <c r="I10" s="12">
        <f>Main_!J28</f>
        <v>603639.1</v>
      </c>
      <c r="J10" s="12">
        <f>Main_!K28</f>
        <v>619314.4</v>
      </c>
      <c r="K10" s="12">
        <f>Main_!L28</f>
        <v>697875.5</v>
      </c>
      <c r="L10" s="12">
        <f>Main_!M28</f>
        <v>703010.4</v>
      </c>
      <c r="M10" s="12">
        <f>Main_!N28</f>
        <v>862315.2</v>
      </c>
      <c r="N10" s="12">
        <f>Main_!O28</f>
        <v>918404.2</v>
      </c>
      <c r="O10" s="12">
        <f>Main_!P28</f>
        <v>940395.4</v>
      </c>
      <c r="P10" s="12">
        <f>Main_!Q28</f>
        <v>973116.7</v>
      </c>
      <c r="Q10" s="12">
        <f>Main_!R28</f>
        <v>1157407</v>
      </c>
      <c r="R10" s="12">
        <f>Main_!S28</f>
        <v>1157407</v>
      </c>
      <c r="S10" s="12">
        <f>Main_!T28</f>
        <v>1163373</v>
      </c>
      <c r="T10" s="12">
        <f>Main_!U28</f>
        <v>1179302</v>
      </c>
      <c r="U10" s="12">
        <f>Main_!V28</f>
        <v>1182890</v>
      </c>
      <c r="V10" s="12">
        <f>Main_!W28</f>
        <v>1213962.3</v>
      </c>
      <c r="W10" s="12">
        <f>Main_!X28</f>
        <v>1231367.6000000001</v>
      </c>
      <c r="X10" s="12">
        <f>Main_!Y28</f>
        <v>1236574.6000000001</v>
      </c>
      <c r="Y10" s="12">
        <f>Main_!Z28</f>
        <v>1262976</v>
      </c>
      <c r="Z10" s="12">
        <f>Main_!AA28</f>
        <v>1270394.2</v>
      </c>
      <c r="AA10" s="12">
        <f>Main_!AB28</f>
        <v>1283924.3999999999</v>
      </c>
      <c r="AB10" s="12">
        <f>Main_!AC28</f>
        <v>1296899.4000000001</v>
      </c>
      <c r="AC10" s="12">
        <f>Main_!AD28</f>
        <v>1339327.2</v>
      </c>
      <c r="AD10" s="12">
        <f>Main_!AE28</f>
        <v>1339073.0999999999</v>
      </c>
      <c r="AE10" s="12">
        <f>Main_!AF28</f>
        <v>1338488.3</v>
      </c>
      <c r="AF10" s="12">
        <f>Main_!AG28</f>
        <v>1340916</v>
      </c>
      <c r="AG10" s="12">
        <f>Main_!AH28</f>
        <v>1340825.6000000001</v>
      </c>
      <c r="AH10" s="12">
        <f>Main_!AI28</f>
        <v>1347272.4</v>
      </c>
      <c r="AI10" s="12">
        <f>Main_!AJ28</f>
        <v>1350046.2</v>
      </c>
      <c r="AJ10" s="12">
        <f>Main_!AK28</f>
        <v>1349572.0999999999</v>
      </c>
      <c r="AK10" s="12">
        <f>Main_!AL28</f>
        <v>1349460.9000000001</v>
      </c>
      <c r="AL10" s="12">
        <f>Main_!AM28</f>
        <v>1347890.4</v>
      </c>
      <c r="AM10" s="12">
        <f>Main_!AN28</f>
        <v>1348143.9000000001</v>
      </c>
      <c r="AN10" s="12">
        <f>Main_!AO28</f>
        <v>1346460.0000000002</v>
      </c>
      <c r="AO10" s="12">
        <f>Main_!AP28</f>
        <v>1351077.6</v>
      </c>
      <c r="AP10" s="12">
        <f>Main_!AQ28</f>
        <v>1350589.5</v>
      </c>
      <c r="AQ10" s="12">
        <f>Main_!AR28</f>
        <v>1347391.2</v>
      </c>
      <c r="AR10" s="12">
        <f>Main_!AS28</f>
        <v>1344847.3</v>
      </c>
      <c r="AS10" s="12">
        <f>Main_!AT28</f>
        <v>1347322.5</v>
      </c>
      <c r="AT10" s="12">
        <f>Main_!AU28</f>
        <v>1344250.0999999999</v>
      </c>
    </row>
    <row r="11" spans="1:46" x14ac:dyDescent="0.35">
      <c r="A11" t="s">
        <v>133</v>
      </c>
      <c r="B11" s="12">
        <f>Main_!C29</f>
        <v>2221.4</v>
      </c>
      <c r="C11" s="12">
        <f>Main_!D29</f>
        <v>2221.4</v>
      </c>
      <c r="D11" s="12">
        <f>Main_!E29</f>
        <v>2221.4</v>
      </c>
      <c r="E11" s="12">
        <f>Main_!F29</f>
        <v>2153.4</v>
      </c>
      <c r="F11" s="12">
        <f>Main_!G29</f>
        <v>2153.4</v>
      </c>
      <c r="G11" s="12">
        <f>Main_!H29</f>
        <v>2082.4</v>
      </c>
      <c r="H11" s="12">
        <f>Main_!I29</f>
        <v>2082.4</v>
      </c>
      <c r="I11" s="12">
        <f>Main_!J29</f>
        <v>2082.4</v>
      </c>
      <c r="J11" s="12">
        <f>Main_!K29</f>
        <v>2082.4</v>
      </c>
      <c r="K11" s="12">
        <f>Main_!L29</f>
        <v>2014.4</v>
      </c>
      <c r="L11" s="12">
        <f>Main_!M29</f>
        <v>2014.4</v>
      </c>
      <c r="M11" s="12">
        <f>Main_!N29</f>
        <v>1943.5</v>
      </c>
      <c r="N11" s="12">
        <f>Main_!O29</f>
        <v>1943.5</v>
      </c>
      <c r="O11" s="12">
        <f>Main_!P29</f>
        <v>1943.5</v>
      </c>
      <c r="P11" s="12">
        <f>Main_!Q29</f>
        <v>1943.5</v>
      </c>
      <c r="Q11" s="12">
        <f>Main_!R29</f>
        <v>1875.5</v>
      </c>
      <c r="R11" s="12">
        <f>Main_!S29</f>
        <v>1875.5</v>
      </c>
      <c r="S11" s="12">
        <f>Main_!T29</f>
        <v>1875.5</v>
      </c>
      <c r="T11" s="12">
        <f>Main_!U29</f>
        <v>1875.5</v>
      </c>
      <c r="U11" s="12">
        <f>Main_!V29</f>
        <v>1875.5</v>
      </c>
      <c r="V11" s="12">
        <f>Main_!W29</f>
        <v>1875.4</v>
      </c>
      <c r="W11" s="12">
        <f>Main_!X29</f>
        <v>1875.4</v>
      </c>
      <c r="X11" s="12">
        <f>Main_!Y29</f>
        <v>1875.4</v>
      </c>
      <c r="Y11" s="12">
        <f>Main_!Z29</f>
        <v>1875.4</v>
      </c>
      <c r="Z11" s="12">
        <f>Main_!AA29</f>
        <v>1875.4</v>
      </c>
      <c r="AA11" s="12">
        <f>Main_!AB29</f>
        <v>1875.4</v>
      </c>
      <c r="AB11" s="12">
        <f>Main_!AC29</f>
        <v>1875.4</v>
      </c>
      <c r="AC11" s="12">
        <f>Main_!AD29</f>
        <v>1875.4</v>
      </c>
      <c r="AD11" s="12">
        <f>Main_!AE29</f>
        <v>1875.4</v>
      </c>
      <c r="AE11" s="12">
        <f>Main_!AF29</f>
        <v>1875.4</v>
      </c>
      <c r="AF11" s="12">
        <f>Main_!AG29</f>
        <v>1875.4</v>
      </c>
      <c r="AG11" s="12">
        <f>Main_!AH29</f>
        <v>1875.4</v>
      </c>
      <c r="AH11" s="12">
        <f>Main_!AI29</f>
        <v>1875.4</v>
      </c>
      <c r="AI11" s="12">
        <f>Main_!AJ29</f>
        <v>1875.4</v>
      </c>
      <c r="AJ11" s="12">
        <f>Main_!AK29</f>
        <v>1875.4</v>
      </c>
      <c r="AK11" s="12">
        <f>Main_!AL29</f>
        <v>1875.4</v>
      </c>
      <c r="AL11" s="12">
        <f>Main_!AM29</f>
        <v>1875.4</v>
      </c>
      <c r="AM11" s="12">
        <f>Main_!AN29</f>
        <v>1875.4</v>
      </c>
      <c r="AN11" s="12">
        <f>Main_!AO29</f>
        <v>1875.4</v>
      </c>
      <c r="AO11" s="12">
        <f>Main_!AP29</f>
        <v>1875.4</v>
      </c>
      <c r="AP11" s="12">
        <f>Main_!AQ29</f>
        <v>1875.4</v>
      </c>
      <c r="AQ11" s="12">
        <f>Main_!AR29</f>
        <v>1875.4</v>
      </c>
      <c r="AR11" s="12">
        <f>Main_!AS29</f>
        <v>1875.4</v>
      </c>
      <c r="AS11" s="12">
        <f>Main_!AT29</f>
        <v>1875.4</v>
      </c>
      <c r="AT11" s="12">
        <f>Main_!AU29</f>
        <v>1875.4</v>
      </c>
    </row>
    <row r="12" spans="1:46" x14ac:dyDescent="0.35">
      <c r="A12" t="s">
        <v>134</v>
      </c>
      <c r="B12" s="12">
        <f>SUM(Main_!C30:C32)</f>
        <v>328991.90000000002</v>
      </c>
      <c r="C12" s="12">
        <f>SUM(Main_!D30:D32)</f>
        <v>328991.90000000002</v>
      </c>
      <c r="D12" s="12">
        <f>SUM(Main_!E30:E32)</f>
        <v>328991.90000000002</v>
      </c>
      <c r="E12" s="12">
        <f>SUM(Main_!F30:F32)</f>
        <v>328991.90000000002</v>
      </c>
      <c r="F12" s="12">
        <f>SUM(Main_!G30:G32)</f>
        <v>328991.90000000002</v>
      </c>
      <c r="G12" s="12">
        <f>SUM(Main_!H30:H32)</f>
        <v>328991.90000000002</v>
      </c>
      <c r="H12" s="12">
        <f>SUM(Main_!I30:I32)</f>
        <v>328991.90000000002</v>
      </c>
      <c r="I12" s="12">
        <f>SUM(Main_!J30:J32)</f>
        <v>328991.90000000002</v>
      </c>
      <c r="J12" s="12">
        <f>SUM(Main_!K30:K32)</f>
        <v>328991.90000000002</v>
      </c>
      <c r="K12" s="12">
        <f>SUM(Main_!L30:L32)</f>
        <v>328991.90000000002</v>
      </c>
      <c r="L12" s="12">
        <f>SUM(Main_!M30:M32)</f>
        <v>328991.90000000002</v>
      </c>
      <c r="M12" s="12">
        <f>SUM(Main_!N30:N32)</f>
        <v>328991.90000000002</v>
      </c>
      <c r="N12" s="12">
        <f>SUM(Main_!O30:O32)</f>
        <v>328991.90000000002</v>
      </c>
      <c r="O12" s="12">
        <f>SUM(Main_!P30:P32)</f>
        <v>328991.90000000002</v>
      </c>
      <c r="P12" s="12">
        <f>SUM(Main_!Q30:Q32)</f>
        <v>328991.90000000002</v>
      </c>
      <c r="Q12" s="12">
        <f>SUM(Main_!R30:R32)</f>
        <v>328991.90000000002</v>
      </c>
      <c r="R12" s="12">
        <f>SUM(Main_!S30:S32)</f>
        <v>328991.90000000002</v>
      </c>
      <c r="S12" s="12">
        <f>SUM(Main_!T30:T32)</f>
        <v>328991.90000000002</v>
      </c>
      <c r="T12" s="12">
        <f>SUM(Main_!U30:U32)</f>
        <v>328991.90000000002</v>
      </c>
      <c r="U12" s="12">
        <f>SUM(Main_!V30:V32)</f>
        <v>328991.90000000002</v>
      </c>
      <c r="V12" s="12">
        <f>SUM(Main_!W30:W32)</f>
        <v>328991.90000000002</v>
      </c>
      <c r="W12" s="12">
        <f>SUM(Main_!X30:X32)</f>
        <v>403991.9</v>
      </c>
      <c r="X12" s="12">
        <f>SUM(Main_!Y30:Y32)</f>
        <v>403991.9</v>
      </c>
      <c r="Y12" s="12">
        <f>SUM(Main_!Z30:Z32)</f>
        <v>403991.9</v>
      </c>
      <c r="Z12" s="12">
        <f>SUM(Main_!AA30:AA32)</f>
        <v>403991.9</v>
      </c>
      <c r="AA12" s="12">
        <f>SUM(Main_!AB30:AB32)</f>
        <v>403991.9</v>
      </c>
      <c r="AB12" s="12">
        <f>SUM(Main_!AC30:AC32)</f>
        <v>403991.9</v>
      </c>
      <c r="AC12" s="12">
        <f>SUM(Main_!AD30:AD32)</f>
        <v>403991.9</v>
      </c>
      <c r="AD12" s="12">
        <f>SUM(Main_!AE30:AE32)</f>
        <v>403992</v>
      </c>
      <c r="AE12" s="12">
        <f>SUM(Main_!AF30:AF32)</f>
        <v>403992</v>
      </c>
      <c r="AF12" s="12">
        <f>SUM(Main_!AG30:AG32)</f>
        <v>403992</v>
      </c>
      <c r="AG12" s="12">
        <f>SUM(Main_!AH30:AH32)</f>
        <v>403992</v>
      </c>
      <c r="AH12" s="12">
        <f>SUM(Main_!AI30:AI32)</f>
        <v>403992</v>
      </c>
      <c r="AI12" s="12">
        <f>SUM(Main_!AJ30:AJ32)</f>
        <v>403992</v>
      </c>
      <c r="AJ12" s="12">
        <f>SUM(Main_!AK30:AK32)</f>
        <v>403992</v>
      </c>
      <c r="AK12" s="12">
        <f>SUM(Main_!AL30:AL32)</f>
        <v>403992</v>
      </c>
      <c r="AL12" s="12">
        <f>SUM(Main_!AM30:AM32)</f>
        <v>433992</v>
      </c>
      <c r="AM12" s="12">
        <f>SUM(Main_!AN30:AN32)</f>
        <v>433992</v>
      </c>
      <c r="AN12" s="12">
        <f>SUM(Main_!AO30:AO32)</f>
        <v>433992</v>
      </c>
      <c r="AO12" s="12">
        <f>SUM(Main_!AP30:AP32)</f>
        <v>433992</v>
      </c>
      <c r="AP12" s="12">
        <f>SUM(Main_!AQ30:AQ32)</f>
        <v>433992</v>
      </c>
      <c r="AQ12" s="12">
        <f>SUM(Main_!AR30:AR32)</f>
        <v>433992</v>
      </c>
      <c r="AR12" s="12">
        <f>SUM(Main_!AS30:AS32)</f>
        <v>433992</v>
      </c>
      <c r="AS12" s="12">
        <f>SUM(Main_!AT30:AT32)</f>
        <v>219954</v>
      </c>
      <c r="AT12" s="12">
        <f>SUM(Main_!AU30:AU32)</f>
        <v>219954</v>
      </c>
    </row>
    <row r="13" spans="1:46" x14ac:dyDescent="0.35">
      <c r="A13" t="s">
        <v>237</v>
      </c>
      <c r="B13" s="12">
        <f>Main_!C34</f>
        <v>0</v>
      </c>
      <c r="C13" s="12">
        <f>Main_!D34</f>
        <v>0</v>
      </c>
      <c r="D13" s="12">
        <f>Main_!E34</f>
        <v>0</v>
      </c>
      <c r="E13" s="12">
        <f>Main_!F34</f>
        <v>0</v>
      </c>
      <c r="F13" s="12">
        <f>Main_!G34</f>
        <v>0</v>
      </c>
      <c r="G13" s="12">
        <f>Main_!H34</f>
        <v>0</v>
      </c>
      <c r="H13" s="12">
        <f>Main_!I34</f>
        <v>38433.9</v>
      </c>
      <c r="I13" s="12">
        <f>Main_!J34</f>
        <v>38433.9</v>
      </c>
      <c r="J13" s="12">
        <f>Main_!K34</f>
        <v>38433.9</v>
      </c>
      <c r="K13" s="12">
        <f>Main_!L34</f>
        <v>38433.9</v>
      </c>
      <c r="L13" s="12">
        <f>Main_!M34</f>
        <v>38433.9</v>
      </c>
      <c r="M13" s="12">
        <f>Main_!N34</f>
        <v>38433.9</v>
      </c>
      <c r="N13" s="12">
        <f>Main_!O34</f>
        <v>38433.9</v>
      </c>
      <c r="O13" s="12">
        <f>Main_!P34</f>
        <v>38433.9</v>
      </c>
      <c r="P13" s="12">
        <f>Main_!Q34</f>
        <v>38433.9</v>
      </c>
      <c r="Q13" s="12">
        <f>Main_!R34</f>
        <v>38433.9</v>
      </c>
      <c r="R13" s="12">
        <f>Main_!S34</f>
        <v>38433.9</v>
      </c>
      <c r="S13" s="12">
        <f>Main_!T34</f>
        <v>38433.9</v>
      </c>
      <c r="T13" s="12">
        <f>Main_!U34</f>
        <v>38433.9</v>
      </c>
      <c r="U13" s="12">
        <f>Main_!V34</f>
        <v>38433.9</v>
      </c>
      <c r="V13" s="12">
        <f>Main_!W34</f>
        <v>38433.9</v>
      </c>
      <c r="W13" s="12">
        <f>Main_!X34</f>
        <v>38433.9</v>
      </c>
      <c r="X13" s="12">
        <f>Main_!Y34</f>
        <v>38433.9</v>
      </c>
      <c r="Y13" s="12">
        <f>Main_!Z34</f>
        <v>38433.9</v>
      </c>
      <c r="Z13" s="12">
        <f>Main_!AA34</f>
        <v>38433.9</v>
      </c>
      <c r="AA13" s="12">
        <f>Main_!AB34</f>
        <v>38433.9</v>
      </c>
      <c r="AB13" s="12">
        <f>Main_!AC34</f>
        <v>38433.9</v>
      </c>
      <c r="AC13" s="12">
        <f>Main_!AD34</f>
        <v>38433.9</v>
      </c>
      <c r="AD13" s="12">
        <f>Main_!AE34</f>
        <v>38433.9</v>
      </c>
      <c r="AE13" s="12">
        <f>Main_!AF34</f>
        <v>38433.9</v>
      </c>
      <c r="AF13" s="12">
        <f>Main_!AG34</f>
        <v>38433.9</v>
      </c>
      <c r="AG13" s="12">
        <f>Main_!AH34</f>
        <v>38433.9</v>
      </c>
      <c r="AH13" s="12">
        <f>SUM(Main_!AI34:AI39)</f>
        <v>338433.9</v>
      </c>
      <c r="AI13" s="12">
        <f>SUM(Main_!AJ34:AJ39)</f>
        <v>338433.9</v>
      </c>
      <c r="AJ13" s="12">
        <f>SUM(Main_!AK33:AK40)</f>
        <v>538433.9</v>
      </c>
      <c r="AK13" s="12">
        <f>SUM(Main_!AL33:AL40)</f>
        <v>538433.9</v>
      </c>
      <c r="AL13" s="12">
        <f>SUM(Main_!AM33:AM40)</f>
        <v>538433.9</v>
      </c>
      <c r="AM13" s="12">
        <f>SUM(Main_!AN33:AN40)</f>
        <v>538433.9</v>
      </c>
      <c r="AN13" s="12">
        <f>SUM(Main_!AO33:AO40)</f>
        <v>538433.9</v>
      </c>
      <c r="AO13" s="12">
        <f>SUM(Main_!AP33:AP40)</f>
        <v>621033.9</v>
      </c>
      <c r="AP13" s="12">
        <f>SUM(Main_!AQ33:AQ40)</f>
        <v>621093.30000000005</v>
      </c>
      <c r="AQ13" s="12">
        <f>SUM(Main_!AR33:AR40)</f>
        <v>621093.30000000005</v>
      </c>
      <c r="AR13" s="12">
        <f>SUM(Main_!AS33:AS40)</f>
        <v>621249</v>
      </c>
      <c r="AS13" s="12">
        <f>SUM(Main_!AT33:AT40)</f>
        <v>621249</v>
      </c>
      <c r="AT13" s="12">
        <f>SUM(Main_!AU33:AU40)</f>
        <v>621249</v>
      </c>
    </row>
    <row r="14" spans="1:46" x14ac:dyDescent="0.35">
      <c r="A14" t="s">
        <v>135</v>
      </c>
      <c r="B14" s="12">
        <f>SUM(Main_!C41:C45)</f>
        <v>1393665.3</v>
      </c>
      <c r="C14" s="12">
        <f>SUM(Main_!D41:D45)</f>
        <v>1601086.9</v>
      </c>
      <c r="D14" s="12">
        <f>SUM(Main_!E41:E45)</f>
        <v>1702023.3</v>
      </c>
      <c r="E14" s="12">
        <f>SUM(Main_!F41:F45)</f>
        <v>1757319.5</v>
      </c>
      <c r="F14" s="12">
        <f>SUM(Main_!G41:G45)</f>
        <v>1932491.9</v>
      </c>
      <c r="G14" s="12">
        <f>SUM(Main_!H41:H45)</f>
        <v>2095160.2</v>
      </c>
      <c r="H14" s="12">
        <f>SUM(Main_!I41:I45)</f>
        <v>2709111.9</v>
      </c>
      <c r="I14" s="12">
        <f>SUM(Main_!J41:J45)</f>
        <v>3041875.2</v>
      </c>
      <c r="J14" s="12">
        <f>SUM(Main_!K41:K45)</f>
        <v>3088748.3</v>
      </c>
      <c r="K14" s="12">
        <f>SUM(Main_!L41:L45)</f>
        <v>3128294.4</v>
      </c>
      <c r="L14" s="12">
        <f>SUM(Main_!M41:M45)</f>
        <v>3384520.6999999997</v>
      </c>
      <c r="M14" s="12">
        <f>SUM(Main_!N41:N45)</f>
        <v>3465106.2</v>
      </c>
      <c r="N14" s="12">
        <f>SUM(Main_!O41:O45)</f>
        <v>3389191.3</v>
      </c>
      <c r="O14" s="12">
        <f>SUM(Main_!P41:P45)</f>
        <v>3463670.0000000005</v>
      </c>
      <c r="P14" s="12">
        <f>SUM(Main_!Q41:Q45)</f>
        <v>3530974</v>
      </c>
      <c r="Q14" s="12">
        <f>SUM(Main_!R41:R45)</f>
        <v>3479595.8999999994</v>
      </c>
      <c r="R14" s="12">
        <f>SUM(Main_!S41:S45)</f>
        <v>3544601.3999999994</v>
      </c>
      <c r="S14" s="12">
        <f>SUM(Main_!T41:T45)</f>
        <v>3726117.6</v>
      </c>
      <c r="T14" s="12">
        <f>SUM(Main_!U41:U45)</f>
        <v>3807455.2</v>
      </c>
      <c r="U14" s="12">
        <f>SUM(Main_!V41:V45)</f>
        <v>3937682.4</v>
      </c>
      <c r="V14" s="12">
        <f>SUM(Main_!W41:W45)</f>
        <v>3995946.6</v>
      </c>
      <c r="W14" s="12">
        <f>SUM(Main_!X41:X45)</f>
        <v>4167665.7</v>
      </c>
      <c r="X14" s="12">
        <f>SUM(Main_!Y41:Y45)</f>
        <v>3710250.0999999996</v>
      </c>
      <c r="Y14" s="12">
        <f>SUM(Main_!Z41:Z45)</f>
        <v>3313410.9</v>
      </c>
      <c r="Z14" s="12">
        <f>SUM(Main_!AA41:AA45)</f>
        <v>3488466.3</v>
      </c>
      <c r="AA14" s="12">
        <f>SUM(Main_!AB41:AB45)</f>
        <v>3120030.0000000005</v>
      </c>
      <c r="AB14" s="12">
        <f>SUM(Main_!AC41:AC45)</f>
        <v>3035844.9</v>
      </c>
      <c r="AC14" s="12">
        <f>SUM(Main_!AD41:AD45)</f>
        <v>3551920.4</v>
      </c>
      <c r="AD14" s="12">
        <f>SUM(Main_!AE41:AE45)</f>
        <v>3638440</v>
      </c>
      <c r="AE14" s="12">
        <f>SUM(Main_!AF41:AF45)</f>
        <v>3939607.3000000003</v>
      </c>
      <c r="AF14" s="12">
        <f>SUM(Main_!AG41:AG45)</f>
        <v>3910964.5</v>
      </c>
      <c r="AG14" s="12">
        <f>SUM(Main_!AH41:AH45)</f>
        <v>3936226.2</v>
      </c>
      <c r="AH14" s="12">
        <f>SUM(Main_!AI41:AI45)</f>
        <v>3949833.6</v>
      </c>
      <c r="AI14" s="12">
        <f>SUM(Main_!AJ41:AJ45)</f>
        <v>4046915.9</v>
      </c>
      <c r="AJ14" s="12">
        <f>SUM(Main_!AK41:AK45)</f>
        <v>3858354</v>
      </c>
      <c r="AK14" s="12">
        <f>SUM(Main_!AL41:AL45)</f>
        <v>3935833.6</v>
      </c>
      <c r="AL14" s="12">
        <f>SUM(Main_!AM41:AM45)</f>
        <v>3651625.8</v>
      </c>
      <c r="AM14" s="12">
        <f>SUM(Main_!AN41:AN45)</f>
        <v>3711606.0999999996</v>
      </c>
      <c r="AN14" s="12">
        <f>SUM(Main_!AO41:AO45)</f>
        <v>3826957.3</v>
      </c>
      <c r="AO14" s="12">
        <f>SUM(Main_!AP41:AP45)</f>
        <v>3848920.4999999995</v>
      </c>
      <c r="AP14" s="12">
        <f>SUM(Main_!AQ41:AQ45)</f>
        <v>3947287.1999999997</v>
      </c>
      <c r="AQ14" s="12">
        <f>SUM(Main_!AR41:AR45)</f>
        <v>4071118.7</v>
      </c>
      <c r="AR14" s="12">
        <f>SUM(Main_!AS41:AS45)</f>
        <v>4032388.4</v>
      </c>
      <c r="AS14" s="12">
        <f>SUM(Main_!AT41:AT45)</f>
        <v>4345078.3</v>
      </c>
      <c r="AT14" s="12">
        <f>SUM(Main_!AU41:AU45)</f>
        <v>4327543.6000000006</v>
      </c>
    </row>
    <row r="15" spans="1:46" x14ac:dyDescent="0.35">
      <c r="A15" t="s">
        <v>136</v>
      </c>
      <c r="B15" s="12">
        <f>Main_!C46</f>
        <v>250000</v>
      </c>
      <c r="C15" s="12">
        <f>Main_!D46</f>
        <v>250000</v>
      </c>
      <c r="D15" s="12">
        <f>Main_!E46</f>
        <v>250000</v>
      </c>
      <c r="E15" s="12">
        <f>Main_!F46</f>
        <v>467000</v>
      </c>
      <c r="F15" s="12">
        <f>Main_!G46</f>
        <v>467000</v>
      </c>
      <c r="G15" s="12">
        <f>Main_!H46</f>
        <v>467000</v>
      </c>
      <c r="H15" s="12">
        <f>Main_!I46</f>
        <v>467000</v>
      </c>
      <c r="I15" s="12">
        <f>Main_!J46</f>
        <v>467000</v>
      </c>
      <c r="J15" s="12">
        <f>Main_!K46</f>
        <v>467000</v>
      </c>
      <c r="K15" s="12">
        <f>Main_!L46</f>
        <v>467000</v>
      </c>
      <c r="L15" s="12">
        <f>Main_!M46</f>
        <v>467000</v>
      </c>
      <c r="M15" s="12">
        <f>Main_!N46</f>
        <v>467000</v>
      </c>
      <c r="N15" s="12">
        <f>Main_!O46</f>
        <v>467000</v>
      </c>
      <c r="O15" s="12">
        <f>Main_!P46</f>
        <v>467000</v>
      </c>
      <c r="P15" s="12">
        <f>Main_!Q46</f>
        <v>467000</v>
      </c>
      <c r="Q15" s="12">
        <f>Main_!R46</f>
        <v>467000</v>
      </c>
      <c r="R15" s="12">
        <f>Main_!S46</f>
        <v>467000</v>
      </c>
      <c r="S15" s="12">
        <f>Main_!T46</f>
        <v>467000</v>
      </c>
      <c r="T15" s="12">
        <f>Main_!U46</f>
        <v>467000</v>
      </c>
      <c r="U15" s="12">
        <f>Main_!V46</f>
        <v>467000</v>
      </c>
      <c r="V15" s="12">
        <f>Main_!W46</f>
        <v>467000</v>
      </c>
      <c r="W15" s="12">
        <f>Main_!X46</f>
        <v>467000</v>
      </c>
      <c r="X15" s="12">
        <f>Main_!Y46</f>
        <v>467000</v>
      </c>
      <c r="Y15" s="12">
        <f>Main_!Z46</f>
        <v>467000</v>
      </c>
      <c r="Z15" s="12">
        <f>Main_!AA46</f>
        <v>467000</v>
      </c>
      <c r="AA15" s="12">
        <f>Main_!AB46</f>
        <v>467000</v>
      </c>
      <c r="AB15" s="12">
        <f>Main_!AC46</f>
        <v>467000</v>
      </c>
      <c r="AC15" s="12">
        <f>Main_!AD46</f>
        <v>467000</v>
      </c>
      <c r="AD15" s="12">
        <f>Main_!AE46</f>
        <v>467000</v>
      </c>
      <c r="AE15" s="12">
        <f>Main_!AF46</f>
        <v>467000</v>
      </c>
      <c r="AF15" s="12">
        <f>Main_!AG46</f>
        <v>467000</v>
      </c>
      <c r="AG15" s="12">
        <f>Main_!AH46</f>
        <v>467000</v>
      </c>
      <c r="AH15" s="12">
        <f>Main_!AI46</f>
        <v>467000</v>
      </c>
      <c r="AI15" s="12">
        <f>Main_!AJ46</f>
        <v>467000</v>
      </c>
      <c r="AJ15" s="12">
        <f>Main_!AK46</f>
        <v>467000</v>
      </c>
      <c r="AK15" s="12">
        <f>Main_!AL46</f>
        <v>467000</v>
      </c>
      <c r="AL15" s="12">
        <f>Main_!AM46</f>
        <v>467000</v>
      </c>
      <c r="AM15" s="12">
        <f>Main_!AN46</f>
        <v>467000</v>
      </c>
      <c r="AN15" s="12">
        <f>Main_!AO46</f>
        <v>467000</v>
      </c>
      <c r="AO15" s="12">
        <f>Main_!AP46</f>
        <v>467000</v>
      </c>
      <c r="AP15" s="12">
        <f>Main_!AQ46</f>
        <v>467000</v>
      </c>
      <c r="AQ15" s="12">
        <f>Main_!AR46</f>
        <v>467000</v>
      </c>
      <c r="AR15" s="12">
        <f>Main_!AS46</f>
        <v>467000</v>
      </c>
      <c r="AS15" s="12">
        <f>Main_!AT46</f>
        <v>467000</v>
      </c>
      <c r="AT15" s="12">
        <f>Main_!AU46</f>
        <v>467000</v>
      </c>
    </row>
    <row r="16" spans="1:46" x14ac:dyDescent="0.35">
      <c r="A16" t="s">
        <v>137</v>
      </c>
      <c r="B16" s="12">
        <f>SUM(Main_!C47:C50)</f>
        <v>14150.8</v>
      </c>
      <c r="C16" s="12">
        <f>SUM(Main_!D47:D50)</f>
        <v>14150.8</v>
      </c>
      <c r="D16" s="12">
        <f>SUM(Main_!E47:E50)</f>
        <v>14150.8</v>
      </c>
      <c r="E16" s="12">
        <f>SUM(Main_!F47:F50)</f>
        <v>14150.8</v>
      </c>
      <c r="F16" s="12">
        <f>SUM(Main_!G47:G50)</f>
        <v>14150.8</v>
      </c>
      <c r="G16" s="12">
        <f>SUM(Main_!H47:H50)</f>
        <v>14150.8</v>
      </c>
      <c r="H16" s="12">
        <f>SUM(Main_!I47:I50)</f>
        <v>14150.8</v>
      </c>
      <c r="I16" s="12">
        <f>SUM(Main_!J47:J50)</f>
        <v>109098.9</v>
      </c>
      <c r="J16" s="12">
        <f>SUM(Main_!K47:K50)</f>
        <v>109098.9</v>
      </c>
      <c r="K16" s="12">
        <f>SUM(Main_!L47:L50)</f>
        <v>109098.9</v>
      </c>
      <c r="L16" s="12">
        <f>SUM(Main_!M47:M50)</f>
        <v>96722.8</v>
      </c>
      <c r="M16" s="12">
        <f>SUM(Main_!N47:N50)</f>
        <v>159313.4</v>
      </c>
      <c r="N16" s="12">
        <f>SUM(Main_!O47:O50)</f>
        <v>227543.5</v>
      </c>
      <c r="O16" s="12">
        <f>SUM(Main_!P47:P50)</f>
        <v>245719.7</v>
      </c>
      <c r="P16" s="12">
        <f>SUM(Main_!Q47:Q50)</f>
        <v>250195.1</v>
      </c>
      <c r="Q16" s="12">
        <f>SUM(Main_!R47:R53)</f>
        <v>385771.2</v>
      </c>
      <c r="R16" s="12">
        <f>SUM(Main_!S47:S53)</f>
        <v>384966.40000000002</v>
      </c>
      <c r="S16" s="12">
        <f>SUM(Main_!T47:T53)</f>
        <v>383946.4</v>
      </c>
      <c r="T16" s="12">
        <f>SUM(Main_!U47:U53)</f>
        <v>517310.5</v>
      </c>
      <c r="U16" s="12">
        <f>SUM(Main_!V47:V53)</f>
        <v>516505.8</v>
      </c>
      <c r="V16" s="12">
        <f>SUM(Main_!W47:W53)</f>
        <v>515485.7</v>
      </c>
      <c r="W16" s="12">
        <f>SUM(Main_!X47:X53)</f>
        <v>611147.5</v>
      </c>
      <c r="X16" s="12">
        <f>SUM(Main_!Y47:Y51)+Main_!Y53</f>
        <v>610342.80000000005</v>
      </c>
      <c r="Y16" s="12">
        <f>SUM(Main_!Z47:Z51)+Main_!Z53</f>
        <v>621822.69999999995</v>
      </c>
      <c r="Z16" s="12">
        <f>SUM(Main_!AA47:AA51)+Main_!AA53</f>
        <v>618736.5</v>
      </c>
      <c r="AA16" s="12">
        <f>SUM(Main_!AB47:AB51)+Main_!AB53</f>
        <v>617931.80000000005</v>
      </c>
      <c r="AB16" s="12">
        <f>SUM(Main_!AC47:AC51)+Main_!AC53</f>
        <v>638111.69999999995</v>
      </c>
      <c r="AC16" s="12">
        <f>SUM(Main_!AD47:AD51)+Main_!AD53</f>
        <v>746538.5</v>
      </c>
      <c r="AD16" s="12">
        <f>SUM(Main_!AE47:AE51)+Main_!AE53</f>
        <v>745733.8</v>
      </c>
      <c r="AE16" s="12">
        <f>SUM(Main_!AF47:AF51)+Main_!AF53</f>
        <v>744713.7</v>
      </c>
      <c r="AF16" s="12">
        <f>SUM(Main_!AG47:AG51)+Main_!AG53</f>
        <v>742047</v>
      </c>
      <c r="AG16" s="12">
        <f>SUM(Main_!AH47:AH51)+Main_!AH53</f>
        <v>741242.3</v>
      </c>
      <c r="AH16" s="12">
        <f>SUM(Main_!AI47:AI51)+Main_!AI53</f>
        <v>748922.2</v>
      </c>
      <c r="AI16" s="12">
        <f>SUM(Main_!AJ47:AJ51)+Main_!AJ53</f>
        <v>758047.2</v>
      </c>
      <c r="AJ16" s="12">
        <f>SUM(Main_!AK47:AK51)+Main_!AK53</f>
        <v>757242.5</v>
      </c>
      <c r="AK16" s="12">
        <f>SUM(Main_!AL47:AL51)+Main_!AL53</f>
        <v>756222.4</v>
      </c>
      <c r="AL16" s="12">
        <f>SUM(Main_!AM47:AM51)+Main_!AM53</f>
        <v>753555.7</v>
      </c>
      <c r="AM16" s="12">
        <f>SUM(Main_!AN47:AN51)+Main_!AN53</f>
        <v>752751</v>
      </c>
      <c r="AN16" s="12">
        <f>SUM(Main_!AO47:AO51)+Main_!AO53</f>
        <v>751730.9</v>
      </c>
      <c r="AO16" s="12">
        <f>SUM(Main_!AP47:AP51)+Main_!AP53</f>
        <v>796066.5</v>
      </c>
      <c r="AP16" s="12">
        <f>SUM(Main_!AQ47:AQ51)+Main_!AQ53</f>
        <v>795261.8</v>
      </c>
      <c r="AQ16" s="12">
        <f>SUM(Main_!AR47:AR51)+Main_!AR53</f>
        <v>794241.7</v>
      </c>
      <c r="AR16" s="12">
        <f>SUM(Main_!AS47:AS51)+Main_!AS53</f>
        <v>791575</v>
      </c>
      <c r="AS16" s="12">
        <f>SUM(Main_!AT47:AT51)+Main_!AT53</f>
        <v>790770.3</v>
      </c>
      <c r="AT16" s="12">
        <f>SUM(Main_!AU47:AU51)+Main_!AU53</f>
        <v>789750.2</v>
      </c>
    </row>
    <row r="17" spans="1:46" x14ac:dyDescent="0.35">
      <c r="A17" t="s">
        <v>210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f>Main_!Y52</f>
        <v>3000</v>
      </c>
      <c r="Y17" s="12">
        <f>Main_!Z52</f>
        <v>5750</v>
      </c>
      <c r="Z17" s="12">
        <f>Main_!AA52</f>
        <v>7750</v>
      </c>
      <c r="AA17" s="12">
        <f>Main_!AB52</f>
        <v>9000</v>
      </c>
      <c r="AB17" s="12">
        <f>Main_!AC52</f>
        <v>10000</v>
      </c>
      <c r="AC17" s="12">
        <f>Main_!AD52</f>
        <v>10000</v>
      </c>
      <c r="AD17" s="12">
        <f>Main_!AE52</f>
        <v>10000</v>
      </c>
      <c r="AE17" s="12">
        <f>Main_!AF52</f>
        <v>10000</v>
      </c>
      <c r="AF17" s="12">
        <f>Main_!AG52</f>
        <v>10000</v>
      </c>
      <c r="AG17" s="12">
        <f>Main_!AH52</f>
        <v>10000</v>
      </c>
      <c r="AH17" s="12">
        <f>Main_!AI52</f>
        <v>10000</v>
      </c>
      <c r="AI17" s="12">
        <f>Main_!AJ52</f>
        <v>10000</v>
      </c>
      <c r="AJ17" s="12">
        <f>Main_!AK52</f>
        <v>10000</v>
      </c>
      <c r="AK17" s="12">
        <f>Main_!AL52</f>
        <v>10000</v>
      </c>
      <c r="AL17" s="12">
        <f>Main_!AM52</f>
        <v>10000</v>
      </c>
      <c r="AM17" s="12">
        <f>Main_!AN52</f>
        <v>10000</v>
      </c>
      <c r="AN17" s="12">
        <f>Main_!AO52</f>
        <v>10000</v>
      </c>
      <c r="AO17" s="12">
        <f>Main_!AP52</f>
        <v>10000</v>
      </c>
      <c r="AP17" s="12">
        <f>Main_!AQ52</f>
        <v>10000</v>
      </c>
      <c r="AQ17" s="12">
        <f>Main_!AR52</f>
        <v>10000</v>
      </c>
      <c r="AR17" s="12">
        <f>Main_!AS52</f>
        <v>10000</v>
      </c>
      <c r="AS17" s="12">
        <f>Main_!AT52</f>
        <v>10000</v>
      </c>
      <c r="AT17" s="12">
        <f>Main_!AU52</f>
        <v>10000</v>
      </c>
    </row>
    <row r="18" spans="1:46" x14ac:dyDescent="0.35">
      <c r="A18" t="s">
        <v>143</v>
      </c>
      <c r="B18" s="12">
        <f>Main_!C59</f>
        <v>7524361.2999999998</v>
      </c>
      <c r="C18" s="12">
        <f>Main_!D59</f>
        <v>7872548.2999999998</v>
      </c>
      <c r="D18" s="12">
        <f>Main_!E59</f>
        <v>7601763</v>
      </c>
      <c r="E18" s="12">
        <f>Main_!F59</f>
        <v>6132655.2000000002</v>
      </c>
      <c r="F18" s="12">
        <f>Main_!G59</f>
        <v>6334590.5999999996</v>
      </c>
      <c r="G18" s="12">
        <f>Main_!H59</f>
        <v>6446231</v>
      </c>
      <c r="H18" s="12">
        <f>Main_!I59</f>
        <v>6712063.4000000004</v>
      </c>
      <c r="I18" s="12">
        <f>Main_!J59</f>
        <v>6828671.4000000004</v>
      </c>
      <c r="J18" s="12">
        <f>Main_!K59</f>
        <v>6643004.4000000004</v>
      </c>
      <c r="K18" s="12">
        <f>Main_!L59</f>
        <v>6811125</v>
      </c>
      <c r="L18" s="12">
        <f>Main_!M59</f>
        <v>7183391.5</v>
      </c>
      <c r="M18" s="12">
        <f>Main_!N59</f>
        <v>7251634.9000000004</v>
      </c>
      <c r="N18" s="12">
        <f>Main_!O59</f>
        <v>7140176.0999999996</v>
      </c>
      <c r="O18" s="12">
        <f>Main_!P59</f>
        <v>6938308.7999999998</v>
      </c>
      <c r="P18" s="12">
        <f>Main_!Q59</f>
        <v>6746505.0999999996</v>
      </c>
      <c r="Q18" s="12">
        <f>Main_!R59</f>
        <v>5011778</v>
      </c>
      <c r="R18" s="12">
        <f>Main_!S59</f>
        <v>4907126.4000000004</v>
      </c>
      <c r="S18" s="12">
        <f>Main_!T59</f>
        <v>5044614.2</v>
      </c>
      <c r="T18" s="12">
        <f>Main_!U59</f>
        <v>5087766.7</v>
      </c>
      <c r="U18" s="12">
        <f>Main_!V59</f>
        <v>5172247.3</v>
      </c>
      <c r="V18" s="12">
        <f>Main_!W59</f>
        <v>5046039</v>
      </c>
      <c r="W18" s="12">
        <f>Main_!X59</f>
        <v>4603329.0999999996</v>
      </c>
      <c r="X18" s="12">
        <f>Main_!Y59</f>
        <v>4665093</v>
      </c>
      <c r="Y18" s="12">
        <f>Main_!Z59</f>
        <v>4854458.2</v>
      </c>
      <c r="Z18" s="12">
        <f>Main_!AA59</f>
        <v>5255172.0999999996</v>
      </c>
      <c r="AA18" s="12">
        <f>Main_!AB59</f>
        <v>5447193.4000000004</v>
      </c>
      <c r="AB18" s="12">
        <f>Main_!AC59</f>
        <v>5792014.7999999998</v>
      </c>
      <c r="AC18" s="12">
        <f>Main_!AD59</f>
        <v>3809866.8</v>
      </c>
      <c r="AD18" s="12">
        <f>Main_!AE59</f>
        <v>3751160.1</v>
      </c>
      <c r="AE18" s="12">
        <f>Main_!AF59</f>
        <v>3393844.7</v>
      </c>
      <c r="AF18" s="12">
        <f>Main_!AG59</f>
        <v>3268903.8</v>
      </c>
      <c r="AG18" s="12">
        <f>Main_!AH59</f>
        <v>3296830.6</v>
      </c>
      <c r="AH18" s="12">
        <f>Main_!AI59</f>
        <v>2843025</v>
      </c>
      <c r="AI18" s="12">
        <f>Main_!AJ59</f>
        <v>4127953.1</v>
      </c>
      <c r="AJ18" s="12">
        <f>Main_!AK59</f>
        <v>3952913.1</v>
      </c>
      <c r="AK18" s="12">
        <f>Main_!AL59</f>
        <v>3927556.8</v>
      </c>
      <c r="AL18" s="12">
        <f>Main_!AM59</f>
        <v>4164859</v>
      </c>
      <c r="AM18" s="12">
        <f>Main_!AN59</f>
        <v>4157548</v>
      </c>
      <c r="AN18" s="12">
        <f>Main_!AO59</f>
        <v>4114666.1</v>
      </c>
      <c r="AO18" s="12">
        <f>Main_!AP59</f>
        <v>4084984.2</v>
      </c>
      <c r="AP18" s="12">
        <f>Main_!AQ59</f>
        <v>4226461.5</v>
      </c>
      <c r="AQ18" s="12">
        <f>Main_!AR59</f>
        <v>4004966.9</v>
      </c>
      <c r="AR18" s="12">
        <f>Main_!AS59</f>
        <v>3889150.8</v>
      </c>
      <c r="AS18" s="12">
        <f>Main_!AT59</f>
        <v>3625531.4</v>
      </c>
      <c r="AT18" s="12">
        <f>Main_!AU59</f>
        <v>3412351.9</v>
      </c>
    </row>
    <row r="19" spans="1:46" x14ac:dyDescent="0.35">
      <c r="A19" t="s">
        <v>144</v>
      </c>
      <c r="B19" s="12">
        <f>Main_!C60</f>
        <v>131056.8</v>
      </c>
      <c r="C19" s="12">
        <f>Main_!D60</f>
        <v>127937.60000000001</v>
      </c>
      <c r="D19" s="12">
        <f>Main_!E60</f>
        <v>124467.7</v>
      </c>
      <c r="E19" s="12">
        <f>Main_!F60</f>
        <v>87189</v>
      </c>
      <c r="F19" s="12">
        <f>Main_!G60</f>
        <v>91023.8</v>
      </c>
      <c r="G19" s="12">
        <f>Main_!H60</f>
        <v>85457.2</v>
      </c>
      <c r="H19" s="12">
        <f>Main_!I60</f>
        <v>87072.1</v>
      </c>
      <c r="I19" s="12">
        <f>Main_!J60</f>
        <v>84818.4</v>
      </c>
      <c r="J19" s="12">
        <f>Main_!K60</f>
        <v>82330.3</v>
      </c>
      <c r="K19" s="12">
        <f>Main_!L60</f>
        <v>78258.100000000006</v>
      </c>
      <c r="L19" s="12">
        <f>Main_!M60</f>
        <v>78957.2</v>
      </c>
      <c r="M19" s="12">
        <f>Main_!N60</f>
        <v>75594.3</v>
      </c>
      <c r="N19" s="12">
        <f>Main_!O60</f>
        <v>73296.7</v>
      </c>
      <c r="O19" s="12">
        <f>Main_!P60</f>
        <v>74410.600000000006</v>
      </c>
      <c r="P19" s="12">
        <f>Main_!Q60</f>
        <v>75905.3</v>
      </c>
      <c r="Q19" s="12">
        <f>Main_!R60</f>
        <v>55880</v>
      </c>
      <c r="R19" s="12">
        <f>Main_!S60</f>
        <v>54958</v>
      </c>
      <c r="S19" s="12">
        <f>Main_!T60</f>
        <v>54910.8</v>
      </c>
      <c r="T19" s="12">
        <f>Main_!U60</f>
        <v>55082.7</v>
      </c>
      <c r="U19" s="12">
        <f>Main_!V60</f>
        <v>56355.4</v>
      </c>
      <c r="V19" s="12">
        <f>Main_!W60</f>
        <v>56200.2</v>
      </c>
      <c r="W19" s="12">
        <f>Main_!X60</f>
        <v>53684.4</v>
      </c>
      <c r="X19" s="12">
        <f>Main_!Y60</f>
        <v>54037.9</v>
      </c>
      <c r="Y19" s="12">
        <f>Main_!Z60</f>
        <v>53236.4</v>
      </c>
      <c r="Z19" s="12">
        <f>Main_!AA60</f>
        <v>56682.400000000001</v>
      </c>
      <c r="AA19" s="12">
        <f>Main_!AB60</f>
        <v>56126</v>
      </c>
      <c r="AB19" s="12">
        <f>Main_!AC60</f>
        <v>53758.7</v>
      </c>
      <c r="AC19" s="12">
        <f>Main_!AD60</f>
        <v>37469.300000000003</v>
      </c>
      <c r="AD19" s="12">
        <f>Main_!AE60</f>
        <v>38274.699999999997</v>
      </c>
      <c r="AE19" s="12">
        <f>Main_!AF60</f>
        <v>38699.800000000003</v>
      </c>
      <c r="AF19" s="12">
        <f>Main_!AG60</f>
        <v>39063.699999999997</v>
      </c>
      <c r="AG19" s="12">
        <f>Main_!AH60</f>
        <v>40421.4</v>
      </c>
      <c r="AH19" s="12">
        <f>Main_!AI60</f>
        <v>36162.9</v>
      </c>
      <c r="AI19" s="12">
        <f>Main_!AJ60</f>
        <v>52606.5</v>
      </c>
      <c r="AJ19" s="12">
        <f>Main_!AK60</f>
        <v>48303.6</v>
      </c>
      <c r="AK19" s="12">
        <f>Main_!AL60</f>
        <v>48891.8</v>
      </c>
      <c r="AL19" s="12">
        <f>Main_!AM60</f>
        <v>50259.199999999997</v>
      </c>
      <c r="AM19" s="12">
        <f>Main_!AN60</f>
        <v>51644.2</v>
      </c>
      <c r="AN19" s="12">
        <f>Main_!AO60</f>
        <v>52598.1</v>
      </c>
      <c r="AO19" s="12">
        <f>Main_!AP60</f>
        <v>52219.8</v>
      </c>
      <c r="AP19" s="12">
        <f>Main_!AQ60</f>
        <v>55807.6</v>
      </c>
      <c r="AQ19" s="12">
        <f>Main_!AR60</f>
        <v>51828.4</v>
      </c>
      <c r="AR19" s="12">
        <f>Main_!AS60</f>
        <v>47839.7</v>
      </c>
      <c r="AS19" s="12">
        <f>Main_!AT60</f>
        <v>48417.5</v>
      </c>
      <c r="AT19" s="12">
        <f>Main_!AU60</f>
        <v>48046.1</v>
      </c>
    </row>
    <row r="20" spans="1:46" x14ac:dyDescent="0.35">
      <c r="A20" t="s">
        <v>145</v>
      </c>
      <c r="B20" s="2">
        <f>Main_!C62</f>
        <v>0.6972048351213409</v>
      </c>
      <c r="C20" s="2">
        <f>Main_!D62</f>
        <v>0.69214834563487715</v>
      </c>
      <c r="D20" s="2">
        <f>Main_!E62</f>
        <v>0.66743580228906774</v>
      </c>
      <c r="E20" s="2">
        <f>Main_!F62</f>
        <v>0.58772418237386936</v>
      </c>
      <c r="F20" s="2">
        <f>Main_!G62</f>
        <v>0.58612420781234509</v>
      </c>
      <c r="G20" s="2">
        <f>Main_!H62</f>
        <v>0.58040692300221342</v>
      </c>
      <c r="H20" s="2">
        <f>Main_!I62</f>
        <v>0.56375189299396378</v>
      </c>
      <c r="I20" s="2">
        <f>Main_!J62</f>
        <v>0.54736274210545677</v>
      </c>
      <c r="J20" s="2">
        <f>Main_!K62</f>
        <v>0.53775787202023262</v>
      </c>
      <c r="K20" s="2">
        <f>Main_!L62</f>
        <v>0.53756743798178575</v>
      </c>
      <c r="L20" s="2">
        <f>Main_!M62</f>
        <v>0.53955916671507109</v>
      </c>
      <c r="M20" s="2">
        <f>Main_!N62</f>
        <v>0.52917729826219351</v>
      </c>
      <c r="N20" s="2">
        <f>Main_!O62</f>
        <v>0.5231536235194193</v>
      </c>
      <c r="O20" s="2">
        <f>Main_!P62</f>
        <v>0.512383593941514</v>
      </c>
      <c r="P20" s="2">
        <f>Main_!Q62</f>
        <v>0.5022546948271378</v>
      </c>
      <c r="Q20" s="2">
        <f>Main_!R62</f>
        <v>0.41886763318049314</v>
      </c>
      <c r="R20" s="2">
        <f>Main_!S62</f>
        <v>0.41158994383869518</v>
      </c>
      <c r="S20" s="2">
        <f>Main_!T62</f>
        <v>0.41151413411673016</v>
      </c>
      <c r="T20" s="2">
        <f>Main_!U62</f>
        <v>0.40590418684236312</v>
      </c>
      <c r="U20" s="2">
        <f>Main_!V62</f>
        <v>0.40563968683442053</v>
      </c>
      <c r="V20" s="2">
        <f>Main_!W62</f>
        <v>0.39720684013188351</v>
      </c>
      <c r="W20" s="2">
        <f>Main_!X62</f>
        <v>0.36529517554573743</v>
      </c>
      <c r="X20" s="2">
        <f>Main_!Y62</f>
        <v>0.37997060808910393</v>
      </c>
      <c r="Y20" s="2">
        <f>Main_!Z62</f>
        <v>0.39902590320943759</v>
      </c>
      <c r="Z20" s="2">
        <f>Main_!AA62</f>
        <v>0.41097342489213134</v>
      </c>
      <c r="AA20" s="2">
        <f>Main_!AB62</f>
        <v>0.42803007482099326</v>
      </c>
      <c r="AB20" s="2">
        <f>Main_!AC62</f>
        <v>0.4422491413528577</v>
      </c>
      <c r="AC20" s="2">
        <f>Main_!AD62</f>
        <v>0.32069666167967054</v>
      </c>
      <c r="AD20" s="2">
        <f>Main_!AE62</f>
        <v>0.31348987610193269</v>
      </c>
      <c r="AE20" s="2">
        <f>Main_!AF62</f>
        <v>0.28566261520677805</v>
      </c>
      <c r="AF20" s="2">
        <f>Main_!AG62</f>
        <v>0.27818709835467842</v>
      </c>
      <c r="AG20" s="2">
        <f>Main_!AH62</f>
        <v>0.27958756383360622</v>
      </c>
      <c r="AH20" s="2">
        <f>Main_!AI62</f>
        <v>0.24306928330558469</v>
      </c>
      <c r="AI20" s="2">
        <f>Main_!AJ62</f>
        <v>0.31533772633625834</v>
      </c>
      <c r="AJ20" s="2">
        <f>Main_!AK62</f>
        <v>0.30219969969969968</v>
      </c>
      <c r="AK20" s="2">
        <f>Main_!AL62</f>
        <v>0.2988476238851695</v>
      </c>
      <c r="AL20" s="2">
        <f>Main_!AM62</f>
        <v>0.3164114118935063</v>
      </c>
      <c r="AM20" s="2">
        <f>Main_!AN62</f>
        <v>0.31493092694611363</v>
      </c>
      <c r="AN20" s="2">
        <f>Main_!AO62</f>
        <v>0.31032956892721797</v>
      </c>
      <c r="AO20" s="2">
        <f>Main_!AP62</f>
        <v>0.30450496469781474</v>
      </c>
      <c r="AP20" s="2">
        <f>Main_!AQ62</f>
        <v>0.3098747177220314</v>
      </c>
      <c r="AQ20" s="2">
        <f>Main_!AR62</f>
        <v>0.29559659828134616</v>
      </c>
      <c r="AR20" s="2">
        <f>Main_!AS62</f>
        <v>0.28993669716152376</v>
      </c>
      <c r="AS20" s="2">
        <f>Main_!AT62</f>
        <v>0.27438727212552877</v>
      </c>
      <c r="AT20" s="2">
        <f>Main_!AU62</f>
        <v>0.26339460701678791</v>
      </c>
    </row>
  </sheetData>
  <pageMargins left="0.7" right="0.7" top="0.75" bottom="0.75" header="0.3" footer="0.3"/>
  <pageSetup paperSize="9" orientation="portrait" r:id="rId1"/>
  <ignoredErrors>
    <ignoredError sqref="B14:O14 B12:O12 B16:O16 K8 M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"/>
  <sheetViews>
    <sheetView workbookViewId="0">
      <pane xSplit="1" ySplit="1" topLeftCell="AM2" activePane="bottomRight" state="frozen"/>
      <selection pane="topRight" activeCell="B1" sqref="B1"/>
      <selection pane="bottomLeft" activeCell="A2" sqref="A2"/>
      <selection pane="bottomRight" activeCell="AT11" sqref="AT11"/>
    </sheetView>
  </sheetViews>
  <sheetFormatPr defaultRowHeight="14.5" x14ac:dyDescent="0.35"/>
  <cols>
    <col min="1" max="1" width="41" customWidth="1"/>
    <col min="2" max="2" width="12.453125" customWidth="1"/>
    <col min="3" max="4" width="11.1796875" customWidth="1"/>
    <col min="5" max="5" width="10.81640625" customWidth="1"/>
    <col min="6" max="6" width="11.08984375" customWidth="1"/>
    <col min="7" max="7" width="10.7265625" customWidth="1"/>
    <col min="8" max="8" width="10.90625" customWidth="1"/>
    <col min="9" max="9" width="10.1796875" customWidth="1"/>
    <col min="10" max="10" width="10.36328125" customWidth="1"/>
    <col min="11" max="11" width="10.54296875" customWidth="1"/>
    <col min="12" max="12" width="10.6328125" customWidth="1"/>
    <col min="13" max="13" width="9.90625" customWidth="1"/>
    <col min="14" max="14" width="10.6328125" customWidth="1"/>
    <col min="15" max="15" width="10.1796875" customWidth="1"/>
    <col min="16" max="17" width="10" customWidth="1"/>
    <col min="18" max="18" width="10.08984375" customWidth="1"/>
    <col min="19" max="20" width="9.90625" bestFit="1" customWidth="1"/>
    <col min="21" max="21" width="10.453125" customWidth="1"/>
    <col min="22" max="40" width="9.90625" bestFit="1" customWidth="1"/>
  </cols>
  <sheetData>
    <row r="1" spans="1:46" x14ac:dyDescent="0.35">
      <c r="A1" t="str">
        <f>rnwf_structure!A1</f>
        <v>Data</v>
      </c>
      <c r="B1" t="s">
        <v>61</v>
      </c>
      <c r="C1" t="s">
        <v>62</v>
      </c>
      <c r="D1" t="s">
        <v>63</v>
      </c>
      <c r="E1" t="s">
        <v>52</v>
      </c>
      <c r="F1" t="s">
        <v>0</v>
      </c>
      <c r="G1" t="s">
        <v>28</v>
      </c>
      <c r="H1" t="s">
        <v>51</v>
      </c>
      <c r="I1" t="s">
        <v>50</v>
      </c>
      <c r="J1" t="s">
        <v>49</v>
      </c>
      <c r="K1" t="s">
        <v>29</v>
      </c>
      <c r="L1" t="s">
        <v>48</v>
      </c>
      <c r="M1" t="s">
        <v>47</v>
      </c>
      <c r="N1" t="s">
        <v>46</v>
      </c>
      <c r="O1" t="s">
        <v>127</v>
      </c>
      <c r="P1" t="s">
        <v>146</v>
      </c>
      <c r="Q1" t="s">
        <v>183</v>
      </c>
      <c r="R1" t="s">
        <v>185</v>
      </c>
      <c r="S1" t="s">
        <v>186</v>
      </c>
      <c r="T1" t="s">
        <v>187</v>
      </c>
      <c r="U1" t="s">
        <v>188</v>
      </c>
      <c r="V1" t="s">
        <v>203</v>
      </c>
      <c r="W1" t="s">
        <v>204</v>
      </c>
      <c r="X1" t="s">
        <v>207</v>
      </c>
      <c r="Y1" t="s">
        <v>214</v>
      </c>
      <c r="Z1" t="s">
        <v>215</v>
      </c>
      <c r="AA1" t="s">
        <v>216</v>
      </c>
      <c r="AB1" t="s">
        <v>217</v>
      </c>
      <c r="AC1" t="s">
        <v>219</v>
      </c>
      <c r="AD1" t="s">
        <v>227</v>
      </c>
      <c r="AE1" t="s">
        <v>230</v>
      </c>
      <c r="AF1" t="s">
        <v>235</v>
      </c>
      <c r="AG1" t="s">
        <v>236</v>
      </c>
      <c r="AH1" t="s">
        <v>240</v>
      </c>
      <c r="AI1" t="s">
        <v>245</v>
      </c>
      <c r="AJ1" t="s">
        <v>246</v>
      </c>
      <c r="AK1" t="s">
        <v>248</v>
      </c>
      <c r="AL1" t="s">
        <v>425</v>
      </c>
      <c r="AM1" t="s">
        <v>428</v>
      </c>
      <c r="AN1" t="s">
        <v>431</v>
      </c>
      <c r="AO1" t="s">
        <v>436</v>
      </c>
      <c r="AP1" t="s">
        <v>450</v>
      </c>
      <c r="AQ1" t="s">
        <v>451</v>
      </c>
      <c r="AR1" t="s">
        <v>458</v>
      </c>
      <c r="AS1" t="s">
        <v>460</v>
      </c>
      <c r="AT1" t="s">
        <v>461</v>
      </c>
    </row>
    <row r="2" spans="1:46" x14ac:dyDescent="0.35">
      <c r="A2" t="s">
        <v>148</v>
      </c>
      <c r="B2" s="12">
        <v>57</v>
      </c>
      <c r="C2" s="12">
        <v>61</v>
      </c>
      <c r="D2" s="12">
        <v>61</v>
      </c>
      <c r="E2" s="12">
        <v>70</v>
      </c>
      <c r="F2" s="12">
        <v>69</v>
      </c>
      <c r="G2" s="12">
        <v>75</v>
      </c>
      <c r="H2" s="12">
        <v>77</v>
      </c>
      <c r="I2" s="12">
        <v>80</v>
      </c>
      <c r="J2" s="12">
        <v>81</v>
      </c>
      <c r="K2" s="12">
        <v>87</v>
      </c>
      <c r="L2" s="12">
        <v>91</v>
      </c>
      <c r="M2" s="12">
        <v>96</v>
      </c>
      <c r="N2" s="12">
        <v>97</v>
      </c>
      <c r="O2" s="12">
        <v>93</v>
      </c>
      <c r="P2" s="12">
        <v>89</v>
      </c>
      <c r="Q2" s="12">
        <v>90</v>
      </c>
      <c r="R2" s="12">
        <v>89</v>
      </c>
      <c r="S2" s="12">
        <v>92</v>
      </c>
      <c r="T2" s="12">
        <v>92</v>
      </c>
      <c r="U2" s="12">
        <v>92</v>
      </c>
      <c r="V2" s="12">
        <v>90</v>
      </c>
      <c r="W2" s="12">
        <v>86</v>
      </c>
      <c r="X2" s="12">
        <v>86</v>
      </c>
      <c r="Y2" s="12">
        <v>91</v>
      </c>
      <c r="Z2" s="12">
        <v>93</v>
      </c>
      <c r="AA2" s="12">
        <v>97</v>
      </c>
      <c r="AB2" s="12">
        <v>108</v>
      </c>
      <c r="AC2" s="12">
        <v>102</v>
      </c>
      <c r="AD2" s="12">
        <v>98</v>
      </c>
      <c r="AE2" s="12">
        <v>88</v>
      </c>
      <c r="AF2" s="12">
        <v>84</v>
      </c>
      <c r="AG2" s="12">
        <v>82</v>
      </c>
      <c r="AH2" s="12">
        <v>79</v>
      </c>
      <c r="AI2" s="12">
        <v>78</v>
      </c>
      <c r="AJ2" s="12">
        <v>82</v>
      </c>
      <c r="AK2" s="12">
        <v>80</v>
      </c>
      <c r="AL2" s="12">
        <v>83</v>
      </c>
      <c r="AM2" s="12">
        <v>80</v>
      </c>
      <c r="AN2" s="12">
        <v>78</v>
      </c>
      <c r="AO2" s="12">
        <v>78</v>
      </c>
      <c r="AP2" s="12">
        <v>76</v>
      </c>
      <c r="AQ2" s="12">
        <v>77</v>
      </c>
      <c r="AR2" s="12">
        <v>81</v>
      </c>
      <c r="AS2" s="12">
        <v>75</v>
      </c>
      <c r="AT2" s="12">
        <v>71</v>
      </c>
    </row>
    <row r="3" spans="1:46" x14ac:dyDescent="0.35">
      <c r="A3" t="s">
        <v>213</v>
      </c>
      <c r="B3" s="12">
        <v>8</v>
      </c>
      <c r="C3" s="12">
        <v>8</v>
      </c>
      <c r="D3" s="12">
        <v>9</v>
      </c>
      <c r="E3" s="12">
        <v>10</v>
      </c>
      <c r="F3" s="12">
        <v>10</v>
      </c>
      <c r="G3" s="12">
        <v>11</v>
      </c>
      <c r="H3" s="12">
        <v>11</v>
      </c>
      <c r="I3" s="12">
        <v>12</v>
      </c>
      <c r="J3" s="12">
        <v>11</v>
      </c>
      <c r="K3" s="12">
        <v>12</v>
      </c>
      <c r="L3" s="12">
        <v>13</v>
      </c>
      <c r="M3" s="12">
        <v>13</v>
      </c>
      <c r="N3" s="12">
        <v>13</v>
      </c>
      <c r="O3" s="12">
        <v>13</v>
      </c>
      <c r="P3" s="12">
        <v>12</v>
      </c>
      <c r="Q3" s="12">
        <v>13</v>
      </c>
      <c r="R3" s="12">
        <v>12</v>
      </c>
      <c r="S3" s="12">
        <v>13</v>
      </c>
      <c r="T3" s="12">
        <v>13</v>
      </c>
      <c r="U3" s="12">
        <v>12</v>
      </c>
      <c r="V3" s="12">
        <v>12</v>
      </c>
      <c r="W3" s="12">
        <v>12</v>
      </c>
      <c r="X3">
        <v>12</v>
      </c>
      <c r="Y3" s="12">
        <v>12</v>
      </c>
      <c r="Z3" s="12">
        <v>13</v>
      </c>
      <c r="AA3" s="12">
        <v>13</v>
      </c>
      <c r="AB3" s="12">
        <v>15</v>
      </c>
      <c r="AC3" s="12">
        <v>13</v>
      </c>
      <c r="AD3" s="12">
        <v>13</v>
      </c>
      <c r="AE3" s="12">
        <v>12</v>
      </c>
      <c r="AF3" s="12">
        <v>11</v>
      </c>
      <c r="AG3" s="12">
        <v>11</v>
      </c>
      <c r="AH3" s="12">
        <v>11</v>
      </c>
      <c r="AI3" s="12">
        <v>11</v>
      </c>
      <c r="AJ3" s="12">
        <v>11</v>
      </c>
      <c r="AK3" s="12">
        <v>11</v>
      </c>
      <c r="AL3" s="12">
        <v>12</v>
      </c>
      <c r="AM3" s="12">
        <v>11</v>
      </c>
      <c r="AN3" s="12">
        <v>11</v>
      </c>
      <c r="AO3" s="12">
        <v>11</v>
      </c>
      <c r="AP3" s="12">
        <v>11</v>
      </c>
      <c r="AQ3" s="12">
        <v>11</v>
      </c>
      <c r="AR3" s="12">
        <v>12</v>
      </c>
      <c r="AS3" s="12">
        <v>11</v>
      </c>
      <c r="AT3" s="12">
        <v>10</v>
      </c>
    </row>
    <row r="4" spans="1:46" x14ac:dyDescent="0.35">
      <c r="A4" t="s">
        <v>129</v>
      </c>
      <c r="B4" s="12">
        <f>rnwf_structure!B2</f>
        <v>10792185.6</v>
      </c>
      <c r="C4" s="12">
        <f>rnwf_structure!C2</f>
        <v>11374082</v>
      </c>
      <c r="D4" s="12">
        <f>rnwf_structure!D2</f>
        <v>11389507.9</v>
      </c>
      <c r="E4" s="12">
        <f>rnwf_structure!E2</f>
        <v>10434580.800000001</v>
      </c>
      <c r="F4" s="12">
        <f>rnwf_structure!F2</f>
        <v>10807595</v>
      </c>
      <c r="G4" s="12">
        <f>rnwf_structure!G2</f>
        <v>11106403.6</v>
      </c>
      <c r="H4" s="12">
        <f>rnwf_structure!H2</f>
        <v>11906061.4</v>
      </c>
      <c r="I4" s="12">
        <f>rnwf_structure!I2</f>
        <v>12475588.300000001</v>
      </c>
      <c r="J4" s="12">
        <f>rnwf_structure!J2</f>
        <v>12353145.800000001</v>
      </c>
      <c r="K4" s="12">
        <f>rnwf_structure!K2</f>
        <v>12670270.1</v>
      </c>
      <c r="L4" s="12">
        <f>rnwf_structure!L2</f>
        <v>13313450.5</v>
      </c>
      <c r="M4" s="12">
        <f>rnwf_structure!M2</f>
        <v>13703597.699999999</v>
      </c>
      <c r="N4" s="12">
        <f>rnwf_structure!N2</f>
        <v>13648337.699999999</v>
      </c>
      <c r="O4" s="12">
        <f>rnwf_structure!O2</f>
        <v>13541231.5</v>
      </c>
      <c r="P4" s="12">
        <f>rnwf_structure!P2</f>
        <v>13432971.800000001</v>
      </c>
      <c r="Q4" s="12">
        <f>rnwf_structure!Q2</f>
        <v>11965074.699999999</v>
      </c>
      <c r="R4" s="12">
        <f>rnwf_structure!R2</f>
        <v>11922371.199999999</v>
      </c>
      <c r="S4" s="12">
        <f>rnwf_structure!S2</f>
        <v>12258661.199999999</v>
      </c>
      <c r="T4" s="12">
        <f>rnwf_structure!T2</f>
        <v>12534406.300000001</v>
      </c>
      <c r="U4" s="12">
        <f>rnwf_structure!U2</f>
        <v>12750839.4</v>
      </c>
      <c r="V4" s="12">
        <f>rnwf_structure!V2</f>
        <v>12703814.5</v>
      </c>
      <c r="W4" s="12">
        <f>rnwf_structure!W2</f>
        <v>12601672.4</v>
      </c>
      <c r="X4" s="12">
        <f>rnwf_structure!X2</f>
        <v>12277510.9</v>
      </c>
      <c r="Y4" s="12">
        <f>rnwf_structure!Y2</f>
        <v>12165767</v>
      </c>
      <c r="Z4" s="12">
        <f>rnwf_structure!Z2</f>
        <v>12787132.6</v>
      </c>
      <c r="AA4" s="12">
        <f>rnwf_structure!AA2</f>
        <v>12726198.800000001</v>
      </c>
      <c r="AB4" s="12">
        <f>rnwf_structure!AB2</f>
        <v>13096719.1</v>
      </c>
      <c r="AC4" s="12">
        <f>rnwf_structure!AC2</f>
        <v>11879972.699999999</v>
      </c>
      <c r="AD4" s="12">
        <f>rnwf_structure!AD2</f>
        <v>11965801.9</v>
      </c>
      <c r="AE4" s="12">
        <f>rnwf_structure!AE2</f>
        <v>11880606.5</v>
      </c>
      <c r="AF4" s="12">
        <f>rnwf_structure!AF2</f>
        <v>11750725.5</v>
      </c>
      <c r="AG4" s="12">
        <f>rnwf_structure!AG2</f>
        <v>11791774.4</v>
      </c>
      <c r="AH4" s="12">
        <f>rnwf_structure!AH2</f>
        <v>11696343.9</v>
      </c>
      <c r="AI4" s="12">
        <f>rnwf_structure!AI2</f>
        <v>13090578.9</v>
      </c>
      <c r="AJ4" s="12">
        <f>rnwf_structure!AJ2</f>
        <v>13080455.4</v>
      </c>
      <c r="AK4" s="12">
        <f>rnwf_structure!AK2</f>
        <v>13142340.5</v>
      </c>
      <c r="AL4" s="12">
        <f>rnwf_structure!AL2</f>
        <v>13162797.300000001</v>
      </c>
      <c r="AM4" s="12">
        <f>rnwf_structure!AM2</f>
        <v>13201461.1</v>
      </c>
      <c r="AN4" s="12">
        <f>rnwf_structure!AN2</f>
        <v>13259020.6</v>
      </c>
      <c r="AO4" s="12">
        <f>rnwf_structure!AO2</f>
        <v>13415158.699999999</v>
      </c>
      <c r="AP4" s="12">
        <f>rnwf_structure!AP2</f>
        <v>13639253.699999999</v>
      </c>
      <c r="AQ4" s="12">
        <f>rnwf_structure!AQ2</f>
        <v>13548756.699999999</v>
      </c>
      <c r="AR4" s="12">
        <f>rnwf_structure!AR2</f>
        <v>13413795.4</v>
      </c>
      <c r="AS4" s="12">
        <f>rnwf_structure!AS2</f>
        <v>13213192.6</v>
      </c>
      <c r="AT4" s="12">
        <f>rnwf_structure!AT2</f>
        <v>12955276.1</v>
      </c>
    </row>
    <row r="5" spans="1:46" x14ac:dyDescent="0.35">
      <c r="A5" t="s">
        <v>156</v>
      </c>
      <c r="B5" s="12">
        <f>rnwf_structure!B8</f>
        <v>528449</v>
      </c>
      <c r="C5" s="12">
        <f>rnwf_structure!C8</f>
        <v>528186</v>
      </c>
      <c r="D5" s="12">
        <f>rnwf_structure!D8</f>
        <v>650116</v>
      </c>
      <c r="E5" s="12">
        <f>rnwf_structure!E8</f>
        <v>649841</v>
      </c>
      <c r="F5" s="12">
        <f>rnwf_structure!F8</f>
        <v>649586</v>
      </c>
      <c r="G5" s="12">
        <f>rnwf_structure!G8</f>
        <v>649346</v>
      </c>
      <c r="H5" s="12">
        <f>rnwf_structure!H8</f>
        <v>648927</v>
      </c>
      <c r="I5" s="12">
        <f>rnwf_structure!I8</f>
        <v>648694</v>
      </c>
      <c r="J5" s="12">
        <f>rnwf_structure!J8</f>
        <v>648466</v>
      </c>
      <c r="K5" s="12">
        <f>rnwf_structure!K8</f>
        <v>653020</v>
      </c>
      <c r="L5" s="12">
        <f>rnwf_structure!L8</f>
        <v>655170.80000000005</v>
      </c>
      <c r="M5" s="12">
        <f>rnwf_structure!M8</f>
        <v>656580</v>
      </c>
      <c r="N5" s="12">
        <f>rnwf_structure!N8</f>
        <v>657029.30000000005</v>
      </c>
      <c r="O5" s="12">
        <f>rnwf_structure!O8</f>
        <v>657764.80000000005</v>
      </c>
      <c r="P5" s="12">
        <f>rnwf_structure!P8</f>
        <v>658364.9</v>
      </c>
      <c r="Q5" s="12">
        <f>rnwf_structure!Q8</f>
        <v>658828.30000000005</v>
      </c>
      <c r="R5" s="12">
        <f>rnwf_structure!R8</f>
        <v>658595.69999999995</v>
      </c>
      <c r="S5" s="12">
        <f>rnwf_structure!S8</f>
        <v>658293.5</v>
      </c>
      <c r="T5" s="12">
        <f>rnwf_structure!T8</f>
        <v>657832.89999999991</v>
      </c>
      <c r="U5" s="12">
        <f>rnwf_structure!U8</f>
        <v>659635.9</v>
      </c>
      <c r="V5" s="12">
        <f>rnwf_structure!V8</f>
        <v>660216.1</v>
      </c>
      <c r="W5" s="12">
        <f>rnwf_structure!W8</f>
        <v>660688.69999999995</v>
      </c>
      <c r="X5" s="12">
        <f>rnwf_structure!X8</f>
        <v>689427.9</v>
      </c>
      <c r="Y5" s="12">
        <f>rnwf_structure!Y8</f>
        <v>690022.5</v>
      </c>
      <c r="Z5" s="12">
        <f>rnwf_structure!Z8</f>
        <v>690508.4</v>
      </c>
      <c r="AA5" s="12">
        <f>rnwf_structure!AA8</f>
        <v>752240.9</v>
      </c>
      <c r="AB5" s="12">
        <f>rnwf_structure!AB8</f>
        <v>751917.8</v>
      </c>
      <c r="AC5" s="12">
        <f>rnwf_structure!AC8</f>
        <v>891319.7</v>
      </c>
      <c r="AD5" s="12">
        <f>rnwf_structure!AD8</f>
        <v>968847.4</v>
      </c>
      <c r="AE5" s="12">
        <f>rnwf_structure!AE8</f>
        <v>1005833.7000000001</v>
      </c>
      <c r="AF5" s="12">
        <f>rnwf_structure!AF8</f>
        <v>1054339.1000000001</v>
      </c>
      <c r="AG5" s="12">
        <f>rnwf_structure!AG8</f>
        <v>1055987.8999999999</v>
      </c>
      <c r="AH5" s="12">
        <f>rnwf_structure!AH8</f>
        <v>1104103.6000000001</v>
      </c>
      <c r="AI5" s="12">
        <f>rnwf_structure!AI8</f>
        <v>1104617.5</v>
      </c>
      <c r="AJ5" s="12">
        <f>rnwf_structure!AJ8</f>
        <v>1238713.2999999998</v>
      </c>
      <c r="AK5" s="12">
        <f>rnwf_structure!AK8</f>
        <v>1257904.3999999999</v>
      </c>
      <c r="AL5" s="12">
        <f>rnwf_structure!AL8</f>
        <v>1283874.5</v>
      </c>
      <c r="AM5" s="12">
        <f>rnwf_structure!AM8</f>
        <v>1284971.7</v>
      </c>
      <c r="AN5" s="12">
        <f>rnwf_structure!AN8</f>
        <v>1286599.8999999999</v>
      </c>
      <c r="AO5" s="12">
        <f>rnwf_structure!AO8</f>
        <v>1318345.5</v>
      </c>
      <c r="AP5" s="12">
        <f>rnwf_structure!AP8</f>
        <v>1318951.6000000001</v>
      </c>
      <c r="AQ5" s="12">
        <f>rnwf_structure!AQ8</f>
        <v>1319118.5</v>
      </c>
      <c r="AR5" s="12">
        <f>rnwf_structure!AR8</f>
        <v>1319128.1000000001</v>
      </c>
      <c r="AS5" s="12">
        <f>rnwf_structure!AS8</f>
        <v>1321001.2</v>
      </c>
      <c r="AT5" s="12">
        <f>rnwf_structure!AT8</f>
        <v>1321371.6000000001</v>
      </c>
    </row>
    <row r="6" spans="1:46" x14ac:dyDescent="0.35">
      <c r="A6" t="s">
        <v>155</v>
      </c>
      <c r="B6" s="12">
        <f>rnwf_structure!B9*B2</f>
        <v>171000</v>
      </c>
      <c r="C6" s="12">
        <f>rnwf_structure!C9*C2</f>
        <v>183000</v>
      </c>
      <c r="D6" s="12">
        <f>rnwf_structure!D9*D2</f>
        <v>183000</v>
      </c>
      <c r="E6" s="12">
        <f>rnwf_structure!E9*E2</f>
        <v>210000</v>
      </c>
      <c r="F6" s="12">
        <f>rnwf_structure!F9*F2</f>
        <v>207000</v>
      </c>
      <c r="G6" s="12">
        <f>rnwf_structure!G9*G2</f>
        <v>225000</v>
      </c>
      <c r="H6" s="12">
        <f>rnwf_structure!H9*H2</f>
        <v>231000</v>
      </c>
      <c r="I6" s="12">
        <f>rnwf_structure!I9*I2</f>
        <v>240000</v>
      </c>
      <c r="J6" s="12">
        <f>rnwf_structure!J9*J2</f>
        <v>243000</v>
      </c>
      <c r="K6" s="12">
        <f>rnwf_structure!K9*K2</f>
        <v>261000</v>
      </c>
      <c r="L6" s="12">
        <f>rnwf_structure!L9*L2</f>
        <v>273000</v>
      </c>
      <c r="M6" s="12">
        <f>rnwf_structure!M9*M2</f>
        <v>288000</v>
      </c>
      <c r="N6" s="12">
        <f>rnwf_structure!N9*N2</f>
        <v>291000</v>
      </c>
      <c r="O6" s="12">
        <f>rnwf_structure!O9*O2</f>
        <v>279000</v>
      </c>
      <c r="P6" s="12">
        <f>rnwf_structure!P9*P2</f>
        <v>267000</v>
      </c>
      <c r="Q6" s="12">
        <f>rnwf_structure!Q9*Q2</f>
        <v>270000</v>
      </c>
      <c r="R6" s="12">
        <f>rnwf_structure!R9*R2</f>
        <v>267000</v>
      </c>
      <c r="S6" s="12">
        <f>rnwf_structure!S9*S2</f>
        <v>276000</v>
      </c>
      <c r="T6" s="12">
        <f>rnwf_structure!T9*T2</f>
        <v>276000</v>
      </c>
      <c r="U6" s="12">
        <f>rnwf_structure!U9*U2</f>
        <v>276000</v>
      </c>
      <c r="V6" s="12">
        <f>rnwf_structure!V9*V2</f>
        <v>270000</v>
      </c>
      <c r="W6" s="12">
        <f>rnwf_structure!W9*W2</f>
        <v>258000</v>
      </c>
      <c r="X6" s="12">
        <f>rnwf_structure!X9*X2</f>
        <v>258000</v>
      </c>
      <c r="Y6" s="12">
        <f>rnwf_structure!Y9*Y2</f>
        <v>273000</v>
      </c>
      <c r="Z6" s="12">
        <f>rnwf_structure!Z9*Z2</f>
        <v>279000</v>
      </c>
      <c r="AA6" s="12">
        <f>rnwf_structure!AA9*AA2</f>
        <v>291000</v>
      </c>
      <c r="AB6" s="12">
        <f>rnwf_structure!AB9*AB2</f>
        <v>324000</v>
      </c>
      <c r="AC6" s="12">
        <f>rnwf_structure!AC9*AC2</f>
        <v>306000</v>
      </c>
      <c r="AD6" s="12">
        <f>rnwf_structure!AD9*AD2</f>
        <v>294000</v>
      </c>
      <c r="AE6" s="12">
        <f>rnwf_structure!AE9*AE2</f>
        <v>264000</v>
      </c>
      <c r="AF6" s="12">
        <f>rnwf_structure!AF9*AF2</f>
        <v>252000</v>
      </c>
      <c r="AG6" s="12">
        <f>rnwf_structure!AG9*AG2</f>
        <v>246000</v>
      </c>
      <c r="AH6" s="12">
        <f>rnwf_structure!AH9*AH2</f>
        <v>237000</v>
      </c>
      <c r="AI6" s="12">
        <f>rnwf_structure!AI9*AI2</f>
        <v>234000</v>
      </c>
      <c r="AJ6">
        <f>rnwf_structure!AJ9*AJ2</f>
        <v>246000</v>
      </c>
      <c r="AK6">
        <f>rnwf_structure!AK9*AK2</f>
        <v>240000</v>
      </c>
      <c r="AL6">
        <f>rnwf_structure!AL9*AL2</f>
        <v>249000</v>
      </c>
      <c r="AM6">
        <f>rnwf_structure!AM9*AM2</f>
        <v>240000</v>
      </c>
      <c r="AN6">
        <f>rnwf_structure!AN9*AN2</f>
        <v>234000</v>
      </c>
      <c r="AO6">
        <f>rnwf_structure!AO9*AO2</f>
        <v>234000</v>
      </c>
      <c r="AP6">
        <f>rnwf_structure!AP9*AP2</f>
        <v>228000</v>
      </c>
      <c r="AQ6">
        <f>rnwf_structure!AQ9*AQ2</f>
        <v>231000</v>
      </c>
      <c r="AR6">
        <f>rnwf_structure!AR9*AR2</f>
        <v>243000</v>
      </c>
      <c r="AS6">
        <f>rnwf_structure!AS9*AS2</f>
        <v>225000</v>
      </c>
      <c r="AT6">
        <f>rnwf_structure!AT9*AT2</f>
        <v>213000</v>
      </c>
    </row>
    <row r="7" spans="1:46" x14ac:dyDescent="0.35">
      <c r="A7" t="s">
        <v>154</v>
      </c>
      <c r="B7" s="13">
        <f>(rnwf_structure!B10+(rnwf_structure!B11*B2))</f>
        <v>440977.2</v>
      </c>
      <c r="C7" s="13">
        <f>(rnwf_structure!C10+(rnwf_structure!C11*C2))</f>
        <v>454894.1</v>
      </c>
      <c r="D7" s="13">
        <f>(rnwf_structure!D10+(rnwf_structure!D11*D2))</f>
        <v>520651.6</v>
      </c>
      <c r="E7" s="13">
        <f>(rnwf_structure!E10+(rnwf_structure!E11*E2))</f>
        <v>734448</v>
      </c>
      <c r="F7" s="13">
        <f>(rnwf_structure!F10+(rnwf_structure!F11*F2))</f>
        <v>732294.6</v>
      </c>
      <c r="G7" s="13">
        <f>(rnwf_structure!G10+(rnwf_structure!G11*G2))</f>
        <v>739890</v>
      </c>
      <c r="H7" s="13">
        <f>(rnwf_structure!H10+(rnwf_structure!H11*H2))</f>
        <v>755940.8</v>
      </c>
      <c r="I7" s="13">
        <f>(rnwf_structure!I10+(rnwf_structure!I11*I2))</f>
        <v>770231.1</v>
      </c>
      <c r="J7" s="13">
        <f>(rnwf_structure!J10+(rnwf_structure!J11*J2))</f>
        <v>787988.8</v>
      </c>
      <c r="K7" s="13">
        <f>(rnwf_structure!K10+(rnwf_structure!K11*K2))</f>
        <v>873128.3</v>
      </c>
      <c r="L7" s="13">
        <f>(rnwf_structure!L10+(rnwf_structure!L11*L2))</f>
        <v>886320.8</v>
      </c>
      <c r="M7" s="13">
        <f>(rnwf_structure!M10+(rnwf_structure!M11*M2))</f>
        <v>1048891.2</v>
      </c>
      <c r="N7" s="13">
        <f>(rnwf_structure!N10+(rnwf_structure!N11*N2))</f>
        <v>1106923.7</v>
      </c>
      <c r="O7" s="13">
        <f>(rnwf_structure!O10+(rnwf_structure!O11*O2))</f>
        <v>1121140.8999999999</v>
      </c>
      <c r="P7" s="13">
        <f>(rnwf_structure!P10+(rnwf_structure!P11*P2))</f>
        <v>1146088.2</v>
      </c>
      <c r="Q7" s="13">
        <f>(rnwf_structure!Q10+(rnwf_structure!Q11*Q2))</f>
        <v>1326202</v>
      </c>
      <c r="R7" s="13">
        <f>(rnwf_structure!R10+(rnwf_structure!R11*R2))</f>
        <v>1324326.5</v>
      </c>
      <c r="S7" s="13">
        <f>(rnwf_structure!S10+(rnwf_structure!S11*S2))</f>
        <v>1335919</v>
      </c>
      <c r="T7" s="13">
        <f>(rnwf_structure!T10+(rnwf_structure!T11*T2))</f>
        <v>1351848</v>
      </c>
      <c r="U7" s="13">
        <f>(rnwf_structure!U10+(rnwf_structure!U11*U2))</f>
        <v>1355436</v>
      </c>
      <c r="V7" s="13">
        <f>(rnwf_structure!V10+(rnwf_structure!V11*V2))</f>
        <v>1382748.3</v>
      </c>
      <c r="W7" s="13">
        <f>(rnwf_structure!W10+(rnwf_structure!W11*W2))</f>
        <v>1392652</v>
      </c>
      <c r="X7" s="13">
        <f>(rnwf_structure!X10+(rnwf_structure!X11*X2))</f>
        <v>1397859</v>
      </c>
      <c r="Y7" s="13">
        <f>(rnwf_structure!Y10+(rnwf_structure!Y11*Y2))</f>
        <v>1433637.4</v>
      </c>
      <c r="Z7" s="13">
        <f>(rnwf_structure!Z10+(rnwf_structure!Z11*Z2))</f>
        <v>1444806.4</v>
      </c>
      <c r="AA7" s="13">
        <f>(rnwf_structure!AA10+(rnwf_structure!AA11*AA2))</f>
        <v>1465838.2</v>
      </c>
      <c r="AB7" s="13">
        <f>(rnwf_structure!AB10+(rnwf_structure!AB11*AB2))</f>
        <v>1499442.6</v>
      </c>
      <c r="AC7" s="13">
        <f>(rnwf_structure!AC10+(rnwf_structure!AC11*AC2))</f>
        <v>1530618</v>
      </c>
      <c r="AD7" s="13">
        <f>(rnwf_structure!AD10+(rnwf_structure!AD11*AD2))</f>
        <v>1522862.2999999998</v>
      </c>
      <c r="AE7" s="13">
        <f>(rnwf_structure!AE10+(rnwf_structure!AE11*AE2))</f>
        <v>1503523.5</v>
      </c>
      <c r="AF7" s="13">
        <f>(rnwf_structure!AF10+(rnwf_structure!AF11*AF2))</f>
        <v>1498449.6</v>
      </c>
      <c r="AG7" s="13">
        <f>(rnwf_structure!AG10+(rnwf_structure!AG11*AG2))</f>
        <v>1494608.4000000001</v>
      </c>
      <c r="AH7" s="13">
        <f>(rnwf_structure!AH10+(rnwf_structure!AH11*AH2))</f>
        <v>1495429</v>
      </c>
      <c r="AI7" s="13">
        <f>(rnwf_structure!AI10+(rnwf_structure!AI11*AI2))</f>
        <v>1496327.4</v>
      </c>
      <c r="AJ7" s="13">
        <f>(rnwf_structure!AJ10+(rnwf_structure!AJ11*AJ2))</f>
        <v>1503354.9</v>
      </c>
      <c r="AK7" s="13">
        <f>(rnwf_structure!AK10+(rnwf_structure!AK11*AK2))</f>
        <v>1499492.9000000001</v>
      </c>
      <c r="AL7" s="13">
        <f>(rnwf_structure!AL10+(rnwf_structure!AL11*AL2))</f>
        <v>1503548.5999999999</v>
      </c>
      <c r="AM7" s="13">
        <f>(rnwf_structure!AM10+(rnwf_structure!AM11*AM2))</f>
        <v>1498175.9000000001</v>
      </c>
      <c r="AN7" s="13">
        <f>(rnwf_structure!AN10+(rnwf_structure!AN11*AN2))</f>
        <v>1492741.2000000002</v>
      </c>
      <c r="AO7" s="13">
        <f>(rnwf_structure!AO10+(rnwf_structure!AO11*AO2))</f>
        <v>1497358.8</v>
      </c>
      <c r="AP7" s="13">
        <f>(rnwf_structure!AP10+(rnwf_structure!AP11*AP2))</f>
        <v>1493119.9</v>
      </c>
      <c r="AQ7" s="13">
        <f>(rnwf_structure!AQ10+(rnwf_structure!AQ11*AQ2))</f>
        <v>1491797</v>
      </c>
      <c r="AR7" s="13">
        <f>(rnwf_structure!AR10+(rnwf_structure!AR11*AR2))</f>
        <v>1496754.7</v>
      </c>
      <c r="AS7" s="13">
        <f>(rnwf_structure!AS10+(rnwf_structure!AS11*AS2))</f>
        <v>1487977.5</v>
      </c>
      <c r="AT7" s="13">
        <f>(rnwf_structure!AT10+(rnwf_structure!AT11*AT2))</f>
        <v>1477403.4999999998</v>
      </c>
    </row>
    <row r="8" spans="1:46" s="6" customFormat="1" x14ac:dyDescent="0.35">
      <c r="A8" s="6" t="s">
        <v>149</v>
      </c>
      <c r="B8" s="13">
        <f>(rnwf_structure!B12+rnwf_structure!B13)</f>
        <v>328991.90000000002</v>
      </c>
      <c r="C8" s="13">
        <f>(rnwf_structure!C12+rnwf_structure!C13)</f>
        <v>328991.90000000002</v>
      </c>
      <c r="D8" s="13">
        <f>(rnwf_structure!D12+rnwf_structure!D13)</f>
        <v>328991.90000000002</v>
      </c>
      <c r="E8" s="13">
        <f>(rnwf_structure!E12+rnwf_structure!E13)</f>
        <v>328991.90000000002</v>
      </c>
      <c r="F8" s="13">
        <f>(rnwf_structure!F12+rnwf_structure!F13)</f>
        <v>328991.90000000002</v>
      </c>
      <c r="G8" s="13">
        <f>(rnwf_structure!G12+rnwf_structure!G13)</f>
        <v>328991.90000000002</v>
      </c>
      <c r="H8" s="13">
        <f>(rnwf_structure!H12+rnwf_structure!H13)</f>
        <v>367425.80000000005</v>
      </c>
      <c r="I8" s="13">
        <f>(rnwf_structure!I12+rnwf_structure!I13)</f>
        <v>367425.80000000005</v>
      </c>
      <c r="J8" s="13">
        <f>(rnwf_structure!J12+rnwf_structure!J13)</f>
        <v>367425.80000000005</v>
      </c>
      <c r="K8" s="13">
        <f>(rnwf_structure!K12+rnwf_structure!K13)</f>
        <v>367425.80000000005</v>
      </c>
      <c r="L8" s="13">
        <f>(rnwf_structure!L12+rnwf_structure!L13)</f>
        <v>367425.80000000005</v>
      </c>
      <c r="M8" s="13">
        <f>(rnwf_structure!M12+rnwf_structure!M13)</f>
        <v>367425.80000000005</v>
      </c>
      <c r="N8" s="13">
        <f>(rnwf_structure!N12+rnwf_structure!N13)</f>
        <v>367425.80000000005</v>
      </c>
      <c r="O8" s="13">
        <f>(rnwf_structure!O12+rnwf_structure!O13)</f>
        <v>367425.80000000005</v>
      </c>
      <c r="P8" s="13">
        <f>(rnwf_structure!P12+rnwf_structure!P13)</f>
        <v>367425.80000000005</v>
      </c>
      <c r="Q8" s="13">
        <f>(rnwf_structure!Q12+rnwf_structure!Q13)</f>
        <v>367425.80000000005</v>
      </c>
      <c r="R8" s="13">
        <f>(rnwf_structure!R12+rnwf_structure!R13)</f>
        <v>367425.80000000005</v>
      </c>
      <c r="S8" s="13">
        <f>(rnwf_structure!S12+rnwf_structure!S13)</f>
        <v>367425.80000000005</v>
      </c>
      <c r="T8" s="13">
        <f>(rnwf_structure!T12+rnwf_structure!T13)</f>
        <v>367425.80000000005</v>
      </c>
      <c r="U8" s="13">
        <f>(rnwf_structure!U12+rnwf_structure!U13)</f>
        <v>367425.80000000005</v>
      </c>
      <c r="V8" s="13">
        <f>(rnwf_structure!V12+rnwf_structure!V13)</f>
        <v>367425.80000000005</v>
      </c>
      <c r="W8" s="13">
        <f>(rnwf_structure!W12+rnwf_structure!W13)</f>
        <v>442425.80000000005</v>
      </c>
      <c r="X8" s="13">
        <f>(rnwf_structure!X12+rnwf_structure!X13)</f>
        <v>442425.80000000005</v>
      </c>
      <c r="Y8" s="13">
        <f>(rnwf_structure!Y12+rnwf_structure!Y13)</f>
        <v>442425.80000000005</v>
      </c>
      <c r="Z8" s="13">
        <f>(rnwf_structure!Z12+rnwf_structure!Z13)</f>
        <v>442425.80000000005</v>
      </c>
      <c r="AA8" s="13">
        <f>(rnwf_structure!AA12+rnwf_structure!AA13)</f>
        <v>442425.80000000005</v>
      </c>
      <c r="AB8" s="13">
        <f>(rnwf_structure!AB12+rnwf_structure!AB13)</f>
        <v>442425.80000000005</v>
      </c>
      <c r="AC8" s="13">
        <f>(rnwf_structure!AC12+rnwf_structure!AC13)</f>
        <v>442425.80000000005</v>
      </c>
      <c r="AD8" s="13">
        <f>(rnwf_structure!AD12+rnwf_structure!AD13)</f>
        <v>442425.9</v>
      </c>
      <c r="AE8" s="13">
        <f>(rnwf_structure!AE12+rnwf_structure!AE13)</f>
        <v>442425.9</v>
      </c>
      <c r="AF8" s="13">
        <f>(rnwf_structure!AF12+rnwf_structure!AF13)</f>
        <v>442425.9</v>
      </c>
      <c r="AG8" s="13">
        <f>(rnwf_structure!AG12+rnwf_structure!AG13)</f>
        <v>442425.9</v>
      </c>
      <c r="AH8" s="13">
        <f>(rnwf_structure!AH12+rnwf_structure!AH13)</f>
        <v>742425.9</v>
      </c>
      <c r="AI8" s="13">
        <f>(rnwf_structure!AI12+rnwf_structure!AI13)</f>
        <v>742425.9</v>
      </c>
      <c r="AJ8" s="13">
        <f>(rnwf_structure!AJ12+rnwf_structure!AJ13)</f>
        <v>942425.9</v>
      </c>
      <c r="AK8" s="13">
        <f>(rnwf_structure!AK12+rnwf_structure!AK13)</f>
        <v>942425.9</v>
      </c>
      <c r="AL8" s="13">
        <f>(rnwf_structure!AL12+rnwf_structure!AL13)</f>
        <v>972425.9</v>
      </c>
      <c r="AM8" s="13">
        <f>(rnwf_structure!AM12+rnwf_structure!AM13)</f>
        <v>972425.9</v>
      </c>
      <c r="AN8" s="13">
        <f>(rnwf_structure!AN12+rnwf_structure!AN13)</f>
        <v>972425.9</v>
      </c>
      <c r="AO8" s="13">
        <f>(rnwf_structure!AO12+rnwf_structure!AO13)</f>
        <v>1055025.8999999999</v>
      </c>
      <c r="AP8" s="13">
        <f>(rnwf_structure!AP12+rnwf_structure!AP13)</f>
        <v>1055085.3</v>
      </c>
      <c r="AQ8" s="13">
        <f>(rnwf_structure!AQ12+rnwf_structure!AQ13)</f>
        <v>1055085.3</v>
      </c>
      <c r="AR8" s="13">
        <f>(rnwf_structure!AR12+rnwf_structure!AR13)</f>
        <v>1055241</v>
      </c>
      <c r="AS8" s="13">
        <f>(rnwf_structure!AS12+rnwf_structure!AS13)</f>
        <v>841203</v>
      </c>
      <c r="AT8" s="13">
        <f>(rnwf_structure!AT12+rnwf_structure!AT13)</f>
        <v>841203</v>
      </c>
    </row>
    <row r="9" spans="1:46" x14ac:dyDescent="0.35">
      <c r="A9" t="s">
        <v>153</v>
      </c>
      <c r="B9" s="12">
        <f>rnwf_structure!B14</f>
        <v>1393665.3</v>
      </c>
      <c r="C9" s="12">
        <f>rnwf_structure!C14</f>
        <v>1601086.9</v>
      </c>
      <c r="D9" s="12">
        <f>rnwf_structure!D14</f>
        <v>1702023.3</v>
      </c>
      <c r="E9" s="12">
        <f>rnwf_structure!E14</f>
        <v>1757319.5</v>
      </c>
      <c r="F9" s="12">
        <f>rnwf_structure!F14</f>
        <v>1932491.9</v>
      </c>
      <c r="G9" s="12">
        <f>rnwf_structure!G14</f>
        <v>2095160.2</v>
      </c>
      <c r="H9" s="12">
        <f>rnwf_structure!H14</f>
        <v>2709111.9</v>
      </c>
      <c r="I9" s="12">
        <f>rnwf_structure!I14</f>
        <v>3041875.2</v>
      </c>
      <c r="J9" s="12">
        <f>rnwf_structure!J14</f>
        <v>3088748.3</v>
      </c>
      <c r="K9" s="12">
        <f>rnwf_structure!K14</f>
        <v>3128294.4</v>
      </c>
      <c r="L9" s="12">
        <f>rnwf_structure!L14</f>
        <v>3384520.6999999997</v>
      </c>
      <c r="M9" s="12">
        <f>rnwf_structure!M14</f>
        <v>3465106.2</v>
      </c>
      <c r="N9" s="12">
        <f>rnwf_structure!N14</f>
        <v>3389191.3</v>
      </c>
      <c r="O9" s="12">
        <f>rnwf_structure!O14</f>
        <v>3463670.0000000005</v>
      </c>
      <c r="P9" s="12">
        <f>rnwf_structure!P14</f>
        <v>3530974</v>
      </c>
      <c r="Q9" s="12">
        <f>rnwf_structure!Q14</f>
        <v>3479595.8999999994</v>
      </c>
      <c r="R9" s="12">
        <f>rnwf_structure!R14</f>
        <v>3544601.3999999994</v>
      </c>
      <c r="S9" s="12">
        <f>rnwf_structure!S14</f>
        <v>3726117.6</v>
      </c>
      <c r="T9" s="12">
        <f>rnwf_structure!T14</f>
        <v>3807455.2</v>
      </c>
      <c r="U9" s="12">
        <f>rnwf_structure!U14</f>
        <v>3937682.4</v>
      </c>
      <c r="V9" s="12">
        <f>rnwf_structure!V14</f>
        <v>3995946.6</v>
      </c>
      <c r="W9" s="12">
        <f>rnwf_structure!W14</f>
        <v>4167665.7</v>
      </c>
      <c r="X9" s="12">
        <f>rnwf_structure!X14</f>
        <v>3710250.0999999996</v>
      </c>
      <c r="Y9" s="12">
        <f>rnwf_structure!Y14</f>
        <v>3313410.9</v>
      </c>
      <c r="Z9" s="12">
        <f>rnwf_structure!Z14</f>
        <v>3488466.3</v>
      </c>
      <c r="AA9" s="12">
        <f>rnwf_structure!AA14</f>
        <v>3120030.0000000005</v>
      </c>
      <c r="AB9" s="12">
        <f>rnwf_structure!AB14</f>
        <v>3035844.9</v>
      </c>
      <c r="AC9" s="12">
        <f>rnwf_structure!AC14</f>
        <v>3551920.4</v>
      </c>
      <c r="AD9" s="12">
        <f>rnwf_structure!AD14</f>
        <v>3638440</v>
      </c>
      <c r="AE9" s="12">
        <f>rnwf_structure!AE14</f>
        <v>3939607.3000000003</v>
      </c>
      <c r="AF9" s="12">
        <f>rnwf_structure!AF14</f>
        <v>3910964.5</v>
      </c>
      <c r="AG9" s="12">
        <f>rnwf_structure!AG14</f>
        <v>3936226.2</v>
      </c>
      <c r="AH9" s="12">
        <f>rnwf_structure!AH14</f>
        <v>3949833.6</v>
      </c>
      <c r="AI9" s="12">
        <f>rnwf_structure!AI14</f>
        <v>4046915.9</v>
      </c>
      <c r="AJ9" s="12">
        <f>rnwf_structure!AJ14</f>
        <v>3858354</v>
      </c>
      <c r="AK9" s="12">
        <f>rnwf_structure!AK14</f>
        <v>3935833.6</v>
      </c>
      <c r="AL9" s="12">
        <f>rnwf_structure!AL14</f>
        <v>3651625.8</v>
      </c>
      <c r="AM9" s="12">
        <f>rnwf_structure!AM14</f>
        <v>3711606.0999999996</v>
      </c>
      <c r="AN9" s="12">
        <f>rnwf_structure!AN14</f>
        <v>3826957.3</v>
      </c>
      <c r="AO9" s="12">
        <f>rnwf_structure!AO14</f>
        <v>3848920.4999999995</v>
      </c>
      <c r="AP9" s="12">
        <f>rnwf_structure!AP14</f>
        <v>3947287.1999999997</v>
      </c>
      <c r="AQ9" s="12">
        <f>rnwf_structure!AQ14</f>
        <v>4071118.7</v>
      </c>
      <c r="AR9" s="12">
        <f>rnwf_structure!AR14</f>
        <v>4032388.4</v>
      </c>
      <c r="AS9" s="12">
        <f>rnwf_structure!AS14</f>
        <v>4345078.3</v>
      </c>
      <c r="AT9" s="12">
        <f>rnwf_structure!AT14</f>
        <v>4327543.6000000006</v>
      </c>
    </row>
    <row r="10" spans="1:46" x14ac:dyDescent="0.35">
      <c r="A10" t="s">
        <v>152</v>
      </c>
      <c r="B10" s="12">
        <f>rnwf_structure!B15</f>
        <v>250000</v>
      </c>
      <c r="C10" s="12">
        <f>rnwf_structure!C15</f>
        <v>250000</v>
      </c>
      <c r="D10" s="12">
        <f>rnwf_structure!D15</f>
        <v>250000</v>
      </c>
      <c r="E10" s="12">
        <f>rnwf_structure!E15</f>
        <v>467000</v>
      </c>
      <c r="F10" s="12">
        <f>rnwf_structure!F15</f>
        <v>467000</v>
      </c>
      <c r="G10" s="12">
        <f>rnwf_structure!G15</f>
        <v>467000</v>
      </c>
      <c r="H10" s="12">
        <f>rnwf_structure!H15</f>
        <v>467000</v>
      </c>
      <c r="I10" s="12">
        <f>rnwf_structure!I15</f>
        <v>467000</v>
      </c>
      <c r="J10" s="12">
        <f>rnwf_structure!J15</f>
        <v>467000</v>
      </c>
      <c r="K10" s="12">
        <f>rnwf_structure!K15</f>
        <v>467000</v>
      </c>
      <c r="L10" s="12">
        <f>rnwf_structure!L15</f>
        <v>467000</v>
      </c>
      <c r="M10" s="12">
        <f>rnwf_structure!M15</f>
        <v>467000</v>
      </c>
      <c r="N10" s="12">
        <f>rnwf_structure!N15</f>
        <v>467000</v>
      </c>
      <c r="O10" s="12">
        <f>rnwf_structure!O15</f>
        <v>467000</v>
      </c>
      <c r="P10" s="12">
        <f>rnwf_structure!P15</f>
        <v>467000</v>
      </c>
      <c r="Q10" s="12">
        <f>rnwf_structure!Q15</f>
        <v>467000</v>
      </c>
      <c r="R10" s="12">
        <f>rnwf_structure!R15</f>
        <v>467000</v>
      </c>
      <c r="S10" s="12">
        <f>rnwf_structure!S15</f>
        <v>467000</v>
      </c>
      <c r="T10" s="12">
        <f>rnwf_structure!T15</f>
        <v>467000</v>
      </c>
      <c r="U10" s="12">
        <f>rnwf_structure!U15</f>
        <v>467000</v>
      </c>
      <c r="V10" s="12">
        <f>rnwf_structure!V15</f>
        <v>467000</v>
      </c>
      <c r="W10" s="12">
        <f>rnwf_structure!W15</f>
        <v>467000</v>
      </c>
      <c r="X10" s="12">
        <f>rnwf_structure!X15</f>
        <v>467000</v>
      </c>
      <c r="Y10" s="12">
        <f>rnwf_structure!Y15</f>
        <v>467000</v>
      </c>
      <c r="Z10" s="12">
        <f>rnwf_structure!Z15</f>
        <v>467000</v>
      </c>
      <c r="AA10" s="12">
        <f>rnwf_structure!AA15</f>
        <v>467000</v>
      </c>
      <c r="AB10" s="12">
        <f>rnwf_structure!AB15</f>
        <v>467000</v>
      </c>
      <c r="AC10" s="12">
        <f>rnwf_structure!AC15</f>
        <v>467000</v>
      </c>
      <c r="AD10" s="12">
        <f>rnwf_structure!AD15</f>
        <v>467000</v>
      </c>
      <c r="AE10" s="12">
        <f>rnwf_structure!AE15</f>
        <v>467000</v>
      </c>
      <c r="AF10" s="12">
        <f>rnwf_structure!AF15</f>
        <v>467000</v>
      </c>
      <c r="AG10" s="12">
        <f>rnwf_structure!AG15</f>
        <v>467000</v>
      </c>
      <c r="AH10" s="12">
        <f>rnwf_structure!AH15</f>
        <v>467000</v>
      </c>
      <c r="AI10" s="12">
        <f>rnwf_structure!AI15</f>
        <v>467000</v>
      </c>
      <c r="AJ10" s="12">
        <f>rnwf_structure!AJ15</f>
        <v>467000</v>
      </c>
      <c r="AK10" s="12">
        <f>rnwf_structure!AK15</f>
        <v>467000</v>
      </c>
      <c r="AL10" s="12">
        <f>rnwf_structure!AL15</f>
        <v>467000</v>
      </c>
      <c r="AM10" s="12">
        <f>rnwf_structure!AM15</f>
        <v>467000</v>
      </c>
      <c r="AN10" s="12">
        <f>rnwf_structure!AN15</f>
        <v>467000</v>
      </c>
      <c r="AO10" s="12">
        <f>rnwf_structure!AO15</f>
        <v>467000</v>
      </c>
      <c r="AP10" s="12">
        <f>rnwf_structure!AP15</f>
        <v>467000</v>
      </c>
      <c r="AQ10" s="12">
        <f>rnwf_structure!AQ15</f>
        <v>467000</v>
      </c>
      <c r="AR10" s="12">
        <f>rnwf_structure!AR15</f>
        <v>467000</v>
      </c>
      <c r="AS10" s="12">
        <f>rnwf_structure!AS15</f>
        <v>467000</v>
      </c>
      <c r="AT10" s="12">
        <f>rnwf_structure!AT15</f>
        <v>467000</v>
      </c>
    </row>
    <row r="11" spans="1:46" x14ac:dyDescent="0.35">
      <c r="A11" t="s">
        <v>151</v>
      </c>
      <c r="B11" s="12">
        <f>rnwf_structure!B16</f>
        <v>14150.8</v>
      </c>
      <c r="C11" s="12">
        <f>rnwf_structure!C16</f>
        <v>14150.8</v>
      </c>
      <c r="D11" s="12">
        <f>rnwf_structure!D16</f>
        <v>14150.8</v>
      </c>
      <c r="E11" s="12">
        <f>rnwf_structure!E16</f>
        <v>14150.8</v>
      </c>
      <c r="F11" s="12">
        <f>rnwf_structure!F16</f>
        <v>14150.8</v>
      </c>
      <c r="G11" s="12">
        <f>rnwf_structure!G16</f>
        <v>14150.8</v>
      </c>
      <c r="H11" s="12">
        <f>rnwf_structure!H16</f>
        <v>14150.8</v>
      </c>
      <c r="I11" s="12">
        <f>rnwf_structure!I16</f>
        <v>109098.9</v>
      </c>
      <c r="J11" s="12">
        <f>rnwf_structure!J16</f>
        <v>109098.9</v>
      </c>
      <c r="K11" s="12">
        <f>rnwf_structure!K16</f>
        <v>109098.9</v>
      </c>
      <c r="L11" s="12">
        <f>rnwf_structure!L16</f>
        <v>96722.8</v>
      </c>
      <c r="M11" s="12">
        <f>rnwf_structure!M16</f>
        <v>159313.4</v>
      </c>
      <c r="N11" s="12">
        <f>rnwf_structure!N16</f>
        <v>227543.5</v>
      </c>
      <c r="O11" s="12">
        <f>rnwf_structure!O16</f>
        <v>245719.7</v>
      </c>
      <c r="P11" s="12">
        <f>rnwf_structure!P16</f>
        <v>250195.1</v>
      </c>
      <c r="Q11" s="12">
        <f>rnwf_structure!Q16</f>
        <v>385771.2</v>
      </c>
      <c r="R11" s="12">
        <f>rnwf_structure!R16</f>
        <v>384966.40000000002</v>
      </c>
      <c r="S11" s="12">
        <f>rnwf_structure!S16</f>
        <v>383946.4</v>
      </c>
      <c r="T11" s="12">
        <f>rnwf_structure!T16</f>
        <v>517310.5</v>
      </c>
      <c r="U11" s="12">
        <f>rnwf_structure!U16</f>
        <v>516505.8</v>
      </c>
      <c r="V11" s="12">
        <f>rnwf_structure!V16</f>
        <v>515485.7</v>
      </c>
      <c r="W11" s="12">
        <f>rnwf_structure!W16</f>
        <v>611147.5</v>
      </c>
      <c r="X11" s="12">
        <f>rnwf_structure!X16+rnwf_structure!X17*X3</f>
        <v>646342.80000000005</v>
      </c>
      <c r="Y11" s="12">
        <f>rnwf_structure!Y16+rnwf_structure!Y17*Y3</f>
        <v>690822.7</v>
      </c>
      <c r="Z11" s="12">
        <f>rnwf_structure!Z16+rnwf_structure!Z17*Z3</f>
        <v>719486.5</v>
      </c>
      <c r="AA11" s="12">
        <f>rnwf_structure!AA16+rnwf_structure!AA17*AA3</f>
        <v>734931.8</v>
      </c>
      <c r="AB11" s="12">
        <f>rnwf_structure!AB16+rnwf_structure!AB17*AB3</f>
        <v>788111.7</v>
      </c>
      <c r="AC11" s="12">
        <f>rnwf_structure!AC16+rnwf_structure!AC17*AC3</f>
        <v>876538.5</v>
      </c>
      <c r="AD11" s="12">
        <f>rnwf_structure!AD16+rnwf_structure!AD17*AD3</f>
        <v>875733.8</v>
      </c>
      <c r="AE11" s="12">
        <f>rnwf_structure!AE16+rnwf_structure!AE17*AE3</f>
        <v>864713.7</v>
      </c>
      <c r="AF11" s="12">
        <f>rnwf_structure!AF16+rnwf_structure!AF17*AF3</f>
        <v>852047</v>
      </c>
      <c r="AG11" s="12">
        <f>rnwf_structure!AG16+rnwf_structure!AG17*AG3</f>
        <v>851242.3</v>
      </c>
      <c r="AH11" s="12">
        <f>rnwf_structure!AH16+rnwf_structure!AH17*AH3</f>
        <v>858922.2</v>
      </c>
      <c r="AI11" s="12">
        <f>rnwf_structure!AI16+rnwf_structure!AI17*AI3</f>
        <v>868047.2</v>
      </c>
      <c r="AJ11" s="12">
        <f>rnwf_structure!AJ16+rnwf_structure!AJ17*AJ3</f>
        <v>867242.5</v>
      </c>
      <c r="AK11" s="12">
        <f>rnwf_structure!AK16+rnwf_structure!AK17*AK3</f>
        <v>866222.4</v>
      </c>
      <c r="AL11" s="12">
        <f>rnwf_structure!AL16+rnwf_structure!AL17*AL3</f>
        <v>873555.7</v>
      </c>
      <c r="AM11" s="12">
        <f>rnwf_structure!AM16+rnwf_structure!AM17*AM3</f>
        <v>862751</v>
      </c>
      <c r="AN11" s="12">
        <f>rnwf_structure!AN16+rnwf_structure!AN17*AN3</f>
        <v>861730.9</v>
      </c>
      <c r="AO11" s="12">
        <f>rnwf_structure!AO16+rnwf_structure!AO17*AO3</f>
        <v>906066.5</v>
      </c>
      <c r="AP11" s="12">
        <f>rnwf_structure!AP16+rnwf_structure!AP17*AP3</f>
        <v>905261.8</v>
      </c>
      <c r="AQ11" s="12">
        <f>rnwf_structure!AQ16+rnwf_structure!AQ17*AQ3</f>
        <v>904241.7</v>
      </c>
      <c r="AR11" s="12">
        <f>rnwf_structure!AR16+rnwf_structure!AR17*AR3</f>
        <v>911575</v>
      </c>
      <c r="AS11" s="12">
        <f>rnwf_structure!AS16+rnwf_structure!AS17*AS3</f>
        <v>900770.3</v>
      </c>
      <c r="AT11" s="12">
        <f>rnwf_structure!AT16+rnwf_structure!AT17*AT3</f>
        <v>889750.2</v>
      </c>
    </row>
    <row r="12" spans="1:46" x14ac:dyDescent="0.35">
      <c r="A12" t="s">
        <v>150</v>
      </c>
      <c r="B12" s="12">
        <f>rnwf_structure!B18</f>
        <v>7524361.2999999998</v>
      </c>
      <c r="C12" s="12">
        <f>rnwf_structure!C18</f>
        <v>7872548.2999999998</v>
      </c>
      <c r="D12" s="12">
        <f>rnwf_structure!D18</f>
        <v>7601763</v>
      </c>
      <c r="E12" s="12">
        <f>rnwf_structure!E18</f>
        <v>6132655.2000000002</v>
      </c>
      <c r="F12" s="12">
        <f>rnwf_structure!F18</f>
        <v>6334590.5999999996</v>
      </c>
      <c r="G12" s="12">
        <f>rnwf_structure!G18</f>
        <v>6446231</v>
      </c>
      <c r="H12" s="12">
        <f>rnwf_structure!H18</f>
        <v>6712063.4000000004</v>
      </c>
      <c r="I12" s="12">
        <f>rnwf_structure!I18</f>
        <v>6828671.4000000004</v>
      </c>
      <c r="J12" s="12">
        <f>rnwf_structure!J18</f>
        <v>6643004.4000000004</v>
      </c>
      <c r="K12" s="12">
        <f>rnwf_structure!K18</f>
        <v>6811125</v>
      </c>
      <c r="L12" s="12">
        <f>rnwf_structure!L18</f>
        <v>7183391.5</v>
      </c>
      <c r="M12" s="12">
        <f>rnwf_structure!M18</f>
        <v>7251634.9000000004</v>
      </c>
      <c r="N12" s="12">
        <f>rnwf_structure!N18</f>
        <v>7140176.0999999996</v>
      </c>
      <c r="O12" s="12">
        <f>rnwf_structure!O18</f>
        <v>6938308.7999999998</v>
      </c>
      <c r="P12" s="12">
        <f>rnwf_structure!P18</f>
        <v>6746505.0999999996</v>
      </c>
      <c r="Q12" s="12">
        <f>rnwf_structure!Q18</f>
        <v>5011778</v>
      </c>
      <c r="R12" s="12">
        <f>rnwf_structure!R18</f>
        <v>4907126.4000000004</v>
      </c>
      <c r="S12" s="12">
        <f>rnwf_structure!S18</f>
        <v>5044614.2</v>
      </c>
      <c r="T12" s="12">
        <f>rnwf_structure!T18</f>
        <v>5087766.7</v>
      </c>
      <c r="U12" s="12">
        <f>rnwf_structure!U18</f>
        <v>5172247.3</v>
      </c>
      <c r="V12" s="12">
        <f>rnwf_structure!V18</f>
        <v>5046039</v>
      </c>
      <c r="W12" s="12">
        <f>rnwf_structure!W18</f>
        <v>4603329.0999999996</v>
      </c>
      <c r="X12" s="12">
        <f>rnwf_structure!X18</f>
        <v>4665093</v>
      </c>
      <c r="Y12" s="12">
        <f>rnwf_structure!Y18</f>
        <v>4854458.2</v>
      </c>
      <c r="Z12" s="12">
        <f>rnwf_structure!Z18</f>
        <v>5255172.0999999996</v>
      </c>
      <c r="AA12" s="12">
        <f>rnwf_structure!AA18</f>
        <v>5447193.4000000004</v>
      </c>
      <c r="AB12" s="12">
        <f>rnwf_structure!AB18</f>
        <v>5792014.7999999998</v>
      </c>
      <c r="AC12" s="12">
        <f>rnwf_structure!AC18</f>
        <v>3809866.8</v>
      </c>
      <c r="AD12" s="12">
        <f>rnwf_structure!AD18</f>
        <v>3751160.1</v>
      </c>
      <c r="AE12" s="12">
        <f>rnwf_structure!AE18</f>
        <v>3393844.7</v>
      </c>
      <c r="AF12" s="12">
        <f>rnwf_structure!AF18</f>
        <v>3268903.8</v>
      </c>
      <c r="AG12" s="12">
        <f>rnwf_structure!AG18</f>
        <v>3296830.6</v>
      </c>
      <c r="AH12" s="12">
        <f>rnwf_structure!AH18</f>
        <v>2843025</v>
      </c>
      <c r="AI12" s="12">
        <f>rnwf_structure!AI18</f>
        <v>4127953.1</v>
      </c>
      <c r="AJ12" s="12">
        <f>rnwf_structure!AJ18</f>
        <v>3952913.1</v>
      </c>
      <c r="AK12" s="12">
        <f>rnwf_structure!AK18</f>
        <v>3927556.8</v>
      </c>
      <c r="AL12" s="12">
        <f>rnwf_structure!AL18</f>
        <v>4164859</v>
      </c>
      <c r="AM12" s="12">
        <f>rnwf_structure!AM18</f>
        <v>4157548</v>
      </c>
      <c r="AN12" s="12">
        <f>rnwf_structure!AN18</f>
        <v>4114666.1</v>
      </c>
      <c r="AO12" s="12">
        <f>rnwf_structure!AO18</f>
        <v>4084984.2</v>
      </c>
      <c r="AP12" s="12">
        <f>rnwf_structure!AP18</f>
        <v>4226461.5</v>
      </c>
      <c r="AQ12" s="12">
        <f>rnwf_structure!AQ18</f>
        <v>4004966.9</v>
      </c>
      <c r="AR12" s="12">
        <f>rnwf_structure!AR18</f>
        <v>3889150.8</v>
      </c>
      <c r="AS12" s="12">
        <f>rnwf_structure!AS18</f>
        <v>3625531.4</v>
      </c>
      <c r="AT12" s="12">
        <f>rnwf_structure!AT18</f>
        <v>3412351.9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C4" sqref="C4"/>
    </sheetView>
  </sheetViews>
  <sheetFormatPr defaultRowHeight="14.5" x14ac:dyDescent="0.35"/>
  <cols>
    <col min="1" max="1" width="21.54296875" customWidth="1"/>
    <col min="2" max="2" width="10.7265625" customWidth="1"/>
  </cols>
  <sheetData>
    <row r="1" spans="1:2" x14ac:dyDescent="0.35">
      <c r="A1" t="s">
        <v>157</v>
      </c>
      <c r="B1" t="s">
        <v>158</v>
      </c>
    </row>
    <row r="2" spans="1:2" x14ac:dyDescent="0.35">
      <c r="A2" t="s">
        <v>159</v>
      </c>
      <c r="B2" s="13">
        <f>Main_!AU41+Main_!AU35</f>
        <v>3717101</v>
      </c>
    </row>
    <row r="3" spans="1:2" x14ac:dyDescent="0.35">
      <c r="A3" t="s">
        <v>161</v>
      </c>
      <c r="B3" s="13">
        <f>SUM(Main_!AU8:AU26)</f>
        <v>1321371.6000000001</v>
      </c>
    </row>
    <row r="4" spans="1:2" x14ac:dyDescent="0.35">
      <c r="A4" t="s">
        <v>160</v>
      </c>
      <c r="B4" s="13">
        <f>Main_!AU46+GETPIVOTDATA("Сумма, млн. руб",infra_invest!$N$2,"Получатель","ОАО «РЖД»")</f>
        <v>722141.3</v>
      </c>
    </row>
    <row r="5" spans="1:2" x14ac:dyDescent="0.35">
      <c r="A5" t="s">
        <v>168</v>
      </c>
      <c r="B5" s="13">
        <f>Main_!AU30+Main_!AU36+Main_!AU40+Main_!AU45</f>
        <v>589660.1</v>
      </c>
    </row>
    <row r="6" spans="1:2" x14ac:dyDescent="0.35">
      <c r="A6" t="s">
        <v>167</v>
      </c>
      <c r="B6" s="13">
        <f>GETPIVOTDATA("Сумма, млн. руб",infra_invest!$N$2,"Получатель","ГК «Российские автомобильные дороги»")</f>
        <v>520430.3</v>
      </c>
    </row>
    <row r="7" spans="1:2" x14ac:dyDescent="0.35">
      <c r="A7" t="s">
        <v>184</v>
      </c>
      <c r="B7" s="13">
        <f>Main_!AU53</f>
        <v>411912.2</v>
      </c>
    </row>
    <row r="8" spans="1:2" x14ac:dyDescent="0.35">
      <c r="A8" t="s">
        <v>182</v>
      </c>
      <c r="B8" s="13">
        <f>Main_!AU32+Main_!AU34+Main_!AU37+Main_!AU38</f>
        <v>399102.5</v>
      </c>
    </row>
    <row r="9" spans="1:2" x14ac:dyDescent="0.35">
      <c r="A9" t="s">
        <v>170</v>
      </c>
      <c r="B9" s="13">
        <f>Main_!AU49</f>
        <v>254138</v>
      </c>
    </row>
    <row r="10" spans="1:2" x14ac:dyDescent="0.35">
      <c r="A10" t="s">
        <v>173</v>
      </c>
      <c r="B10" s="13">
        <f>GETPIVOTDATA("Сумма, млн. руб",infra_invest!$N$2,"Получатель","АО «ГТЛК»")+Main_!AU44</f>
        <v>239826.90000000002</v>
      </c>
    </row>
    <row r="11" spans="1:2" x14ac:dyDescent="0.35">
      <c r="A11" t="s">
        <v>175</v>
      </c>
      <c r="B11" s="13">
        <f>Main_!AU43</f>
        <v>235659.6</v>
      </c>
    </row>
    <row r="12" spans="1:2" x14ac:dyDescent="0.35">
      <c r="A12" t="s">
        <v>169</v>
      </c>
      <c r="B12" s="13">
        <f>structure!AT6</f>
        <v>213000</v>
      </c>
    </row>
    <row r="13" spans="1:2" x14ac:dyDescent="0.35">
      <c r="A13" t="s">
        <v>174</v>
      </c>
      <c r="B13" s="13">
        <f>GETPIVOTDATA("Сумма, млн. руб",infra_invest!$N$2,"Получатель","ООО «Авиакапитал-Сервис»")</f>
        <v>175784.69999999998</v>
      </c>
    </row>
    <row r="14" spans="1:2" x14ac:dyDescent="0.35">
      <c r="A14" t="s">
        <v>176</v>
      </c>
      <c r="B14" s="13">
        <f>GETPIVOTDATA("Сумма, млн. руб",infra_invest!$N$2,"Получатель","ППК «Фонд развития территорий»")+GETPIVOTDATA("Сумма, млн. руб",infra_invest!$N$2,"Получатель","ГК Фонд содействия реформированию жилищно-коммунального хозяйства")</f>
        <v>149850.9</v>
      </c>
    </row>
    <row r="15" spans="1:2" x14ac:dyDescent="0.35">
      <c r="A15" t="s">
        <v>172</v>
      </c>
      <c r="B15" s="13">
        <f>Main_!AU29*structure!AT2</f>
        <v>133153.4</v>
      </c>
    </row>
    <row r="16" spans="1:2" x14ac:dyDescent="0.35">
      <c r="A16" t="s">
        <v>177</v>
      </c>
      <c r="B16" s="13">
        <f>Main_!AU42</f>
        <v>114303.2</v>
      </c>
    </row>
    <row r="17" spans="1:2" x14ac:dyDescent="0.35">
      <c r="A17" t="s">
        <v>189</v>
      </c>
      <c r="B17" s="13">
        <f>rnwf_structure!AT17*structure!AT3</f>
        <v>100000</v>
      </c>
    </row>
    <row r="18" spans="1:2" x14ac:dyDescent="0.35">
      <c r="A18" t="s">
        <v>223</v>
      </c>
      <c r="B18" s="12">
        <f>Main_!AU51</f>
        <v>63700</v>
      </c>
    </row>
    <row r="19" spans="1:2" x14ac:dyDescent="0.35">
      <c r="A19" t="s">
        <v>178</v>
      </c>
      <c r="B19" s="13">
        <f>Main_!AU50</f>
        <v>60000</v>
      </c>
    </row>
    <row r="20" spans="1:2" x14ac:dyDescent="0.35">
      <c r="A20" t="s">
        <v>179</v>
      </c>
      <c r="B20" s="13">
        <f>GETPIVOTDATA("Сумма, млн. руб",infra_invest!$N$2,"Получатель","АО «Атомэнергопром»")</f>
        <v>57500</v>
      </c>
    </row>
    <row r="21" spans="1:2" x14ac:dyDescent="0.35">
      <c r="A21" t="s">
        <v>244</v>
      </c>
      <c r="B21" s="12">
        <f>Main_!AU39</f>
        <v>29586.2</v>
      </c>
    </row>
    <row r="22" spans="1:2" x14ac:dyDescent="0.35">
      <c r="A22" t="s">
        <v>180</v>
      </c>
      <c r="B22" s="13">
        <f>Main_!AU31</f>
        <v>25000</v>
      </c>
    </row>
    <row r="23" spans="1:2" x14ac:dyDescent="0.35">
      <c r="A23" t="s">
        <v>181</v>
      </c>
      <c r="B23" s="13">
        <f>GETPIVOTDATA("Сумма, млн. руб",infra_invest!$N$2,"Получатель","ООО «Инфраструктурные инвестиции - 4»")</f>
        <v>4050</v>
      </c>
    </row>
  </sheetData>
  <autoFilter ref="A1:B23">
    <sortState ref="A2:B23">
      <sortCondition descending="1" ref="B1:B23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57"/>
  <sheetViews>
    <sheetView workbookViewId="0">
      <pane xSplit="2" ySplit="1" topLeftCell="GG11" activePane="bottomRight" state="frozen"/>
      <selection pane="topRight" activeCell="C1" sqref="C1"/>
      <selection pane="bottomLeft" activeCell="A2" sqref="A2"/>
      <selection pane="bottomRight" activeCell="GR21" sqref="GR21"/>
    </sheetView>
  </sheetViews>
  <sheetFormatPr defaultRowHeight="14.5" x14ac:dyDescent="0.35"/>
  <cols>
    <col min="128" max="128" width="9.81640625" bestFit="1" customWidth="1"/>
    <col min="137" max="137" width="9.90625" bestFit="1" customWidth="1"/>
    <col min="149" max="152" width="9.90625" bestFit="1" customWidth="1"/>
    <col min="168" max="168" width="10.81640625" bestFit="1" customWidth="1"/>
    <col min="170" max="170" width="10.81640625" bestFit="1" customWidth="1"/>
    <col min="176" max="176" width="9.81640625" bestFit="1" customWidth="1"/>
    <col min="185" max="185" width="10.81640625" bestFit="1" customWidth="1"/>
    <col min="188" max="188" width="10.81640625" bestFit="1" customWidth="1"/>
    <col min="190" max="190" width="11.81640625" bestFit="1" customWidth="1"/>
    <col min="191" max="191" width="10.81640625" bestFit="1" customWidth="1"/>
    <col min="194" max="194" width="10.81640625" bestFit="1" customWidth="1"/>
    <col min="198" max="198" width="9.26953125" bestFit="1" customWidth="1"/>
  </cols>
  <sheetData>
    <row r="1" spans="1:203" x14ac:dyDescent="0.35">
      <c r="A1" t="s">
        <v>251</v>
      </c>
      <c r="B1" s="33" t="s">
        <v>250</v>
      </c>
      <c r="C1" s="33"/>
      <c r="D1" s="33"/>
      <c r="E1" s="33"/>
      <c r="F1" t="s">
        <v>420</v>
      </c>
      <c r="G1" t="s">
        <v>419</v>
      </c>
      <c r="H1" t="s">
        <v>418</v>
      </c>
      <c r="I1" t="s">
        <v>417</v>
      </c>
      <c r="J1" t="s">
        <v>416</v>
      </c>
      <c r="K1" t="s">
        <v>415</v>
      </c>
      <c r="L1" t="s">
        <v>414</v>
      </c>
      <c r="M1" t="s">
        <v>413</v>
      </c>
      <c r="N1" t="s">
        <v>412</v>
      </c>
      <c r="O1" t="s">
        <v>411</v>
      </c>
      <c r="P1" t="s">
        <v>410</v>
      </c>
      <c r="Q1" t="s">
        <v>409</v>
      </c>
      <c r="R1" t="s">
        <v>408</v>
      </c>
      <c r="S1" t="s">
        <v>407</v>
      </c>
      <c r="T1" t="s">
        <v>406</v>
      </c>
      <c r="U1" t="s">
        <v>405</v>
      </c>
      <c r="V1" t="s">
        <v>404</v>
      </c>
      <c r="W1" t="s">
        <v>403</v>
      </c>
      <c r="X1" t="s">
        <v>402</v>
      </c>
      <c r="Y1" t="s">
        <v>401</v>
      </c>
      <c r="Z1" t="s">
        <v>400</v>
      </c>
      <c r="AA1" t="s">
        <v>399</v>
      </c>
      <c r="AB1" t="s">
        <v>398</v>
      </c>
      <c r="AC1" t="s">
        <v>397</v>
      </c>
      <c r="AD1" t="s">
        <v>396</v>
      </c>
      <c r="AE1" t="s">
        <v>395</v>
      </c>
      <c r="AF1" t="s">
        <v>394</v>
      </c>
      <c r="AG1" t="s">
        <v>393</v>
      </c>
      <c r="AH1" t="s">
        <v>392</v>
      </c>
      <c r="AI1" t="s">
        <v>391</v>
      </c>
      <c r="AJ1" t="s">
        <v>390</v>
      </c>
      <c r="AK1" t="s">
        <v>389</v>
      </c>
      <c r="AL1" t="s">
        <v>388</v>
      </c>
      <c r="AM1" t="s">
        <v>387</v>
      </c>
      <c r="AN1" t="s">
        <v>386</v>
      </c>
      <c r="AO1" t="s">
        <v>385</v>
      </c>
      <c r="AP1" t="s">
        <v>384</v>
      </c>
      <c r="AQ1" t="s">
        <v>383</v>
      </c>
      <c r="AR1" t="s">
        <v>382</v>
      </c>
      <c r="AS1" t="s">
        <v>381</v>
      </c>
      <c r="AT1" t="s">
        <v>380</v>
      </c>
      <c r="AU1" t="s">
        <v>379</v>
      </c>
      <c r="AV1" t="s">
        <v>378</v>
      </c>
      <c r="AW1" t="s">
        <v>377</v>
      </c>
      <c r="AX1" t="s">
        <v>376</v>
      </c>
      <c r="AY1" t="s">
        <v>375</v>
      </c>
      <c r="AZ1" t="s">
        <v>374</v>
      </c>
      <c r="BA1" t="s">
        <v>373</v>
      </c>
      <c r="BB1" t="s">
        <v>372</v>
      </c>
      <c r="BC1" t="s">
        <v>371</v>
      </c>
      <c r="BD1" t="s">
        <v>370</v>
      </c>
      <c r="BE1" t="s">
        <v>369</v>
      </c>
      <c r="BF1" t="s">
        <v>368</v>
      </c>
      <c r="BG1" t="s">
        <v>367</v>
      </c>
      <c r="BH1" t="s">
        <v>366</v>
      </c>
      <c r="BI1" t="s">
        <v>365</v>
      </c>
      <c r="BJ1" t="s">
        <v>364</v>
      </c>
      <c r="BK1" t="s">
        <v>363</v>
      </c>
      <c r="BL1" t="s">
        <v>362</v>
      </c>
      <c r="BM1" t="s">
        <v>361</v>
      </c>
      <c r="BN1" t="s">
        <v>360</v>
      </c>
      <c r="BO1" t="s">
        <v>359</v>
      </c>
      <c r="BP1" t="s">
        <v>358</v>
      </c>
      <c r="BQ1" t="s">
        <v>357</v>
      </c>
      <c r="BR1" t="s">
        <v>356</v>
      </c>
      <c r="BS1" t="s">
        <v>355</v>
      </c>
      <c r="BT1" t="s">
        <v>354</v>
      </c>
      <c r="BU1" t="s">
        <v>353</v>
      </c>
      <c r="BV1" t="s">
        <v>352</v>
      </c>
      <c r="BW1" t="s">
        <v>351</v>
      </c>
      <c r="BX1" t="s">
        <v>350</v>
      </c>
      <c r="BY1" t="s">
        <v>349</v>
      </c>
      <c r="BZ1" t="s">
        <v>348</v>
      </c>
      <c r="CA1" t="s">
        <v>340</v>
      </c>
      <c r="CB1" t="s">
        <v>347</v>
      </c>
      <c r="CC1" t="s">
        <v>346</v>
      </c>
      <c r="CD1" t="s">
        <v>345</v>
      </c>
      <c r="CE1" t="s">
        <v>344</v>
      </c>
      <c r="CF1" t="s">
        <v>343</v>
      </c>
      <c r="CG1" t="s">
        <v>342</v>
      </c>
      <c r="CH1" t="s">
        <v>341</v>
      </c>
      <c r="CI1" t="s">
        <v>339</v>
      </c>
      <c r="CJ1" t="s">
        <v>338</v>
      </c>
      <c r="CK1" t="s">
        <v>337</v>
      </c>
      <c r="CL1" t="s">
        <v>336</v>
      </c>
      <c r="CM1" t="s">
        <v>335</v>
      </c>
      <c r="CN1" t="s">
        <v>334</v>
      </c>
      <c r="CO1" t="s">
        <v>333</v>
      </c>
      <c r="CP1" t="s">
        <v>332</v>
      </c>
      <c r="CQ1" t="s">
        <v>331</v>
      </c>
      <c r="CR1" t="s">
        <v>330</v>
      </c>
      <c r="CS1" t="s">
        <v>329</v>
      </c>
      <c r="CT1" t="s">
        <v>328</v>
      </c>
      <c r="CU1" t="s">
        <v>327</v>
      </c>
      <c r="CV1" t="s">
        <v>326</v>
      </c>
      <c r="CW1" t="s">
        <v>325</v>
      </c>
      <c r="CX1" t="s">
        <v>324</v>
      </c>
      <c r="CY1" t="s">
        <v>323</v>
      </c>
      <c r="CZ1" t="s">
        <v>322</v>
      </c>
      <c r="DA1" t="s">
        <v>321</v>
      </c>
      <c r="DB1" t="s">
        <v>320</v>
      </c>
      <c r="DC1" t="s">
        <v>319</v>
      </c>
      <c r="DD1" t="s">
        <v>318</v>
      </c>
      <c r="DE1" t="s">
        <v>317</v>
      </c>
      <c r="DF1" t="s">
        <v>316</v>
      </c>
      <c r="DG1" t="s">
        <v>315</v>
      </c>
      <c r="DH1" t="s">
        <v>314</v>
      </c>
      <c r="DI1" t="s">
        <v>313</v>
      </c>
      <c r="DJ1" t="s">
        <v>312</v>
      </c>
      <c r="DK1" t="s">
        <v>311</v>
      </c>
      <c r="DL1" t="s">
        <v>310</v>
      </c>
      <c r="DM1" t="s">
        <v>309</v>
      </c>
      <c r="DN1" t="s">
        <v>308</v>
      </c>
      <c r="DO1" t="s">
        <v>307</v>
      </c>
      <c r="DP1" t="s">
        <v>306</v>
      </c>
      <c r="DQ1" t="s">
        <v>305</v>
      </c>
      <c r="DR1" t="s">
        <v>304</v>
      </c>
      <c r="DS1" t="s">
        <v>303</v>
      </c>
      <c r="DT1" t="s">
        <v>302</v>
      </c>
      <c r="DU1" t="s">
        <v>301</v>
      </c>
      <c r="DV1" t="s">
        <v>300</v>
      </c>
      <c r="DW1" t="s">
        <v>299</v>
      </c>
      <c r="DX1" t="s">
        <v>298</v>
      </c>
      <c r="DY1" t="s">
        <v>297</v>
      </c>
      <c r="DZ1" t="s">
        <v>296</v>
      </c>
      <c r="EA1" t="s">
        <v>295</v>
      </c>
      <c r="EB1" t="s">
        <v>294</v>
      </c>
      <c r="EC1" t="s">
        <v>293</v>
      </c>
      <c r="ED1" t="s">
        <v>292</v>
      </c>
      <c r="EE1" t="s">
        <v>291</v>
      </c>
      <c r="EF1" t="s">
        <v>290</v>
      </c>
      <c r="EG1" t="s">
        <v>289</v>
      </c>
      <c r="EH1" t="s">
        <v>288</v>
      </c>
      <c r="EI1" t="s">
        <v>287</v>
      </c>
      <c r="EJ1" t="s">
        <v>286</v>
      </c>
      <c r="EK1" t="s">
        <v>285</v>
      </c>
      <c r="EL1" t="s">
        <v>284</v>
      </c>
      <c r="EM1" t="s">
        <v>283</v>
      </c>
      <c r="EN1" t="s">
        <v>282</v>
      </c>
      <c r="EO1" t="s">
        <v>281</v>
      </c>
      <c r="EP1" t="s">
        <v>280</v>
      </c>
      <c r="EQ1" t="s">
        <v>279</v>
      </c>
      <c r="ER1" t="s">
        <v>278</v>
      </c>
      <c r="ES1" t="s">
        <v>277</v>
      </c>
      <c r="ET1" t="s">
        <v>276</v>
      </c>
      <c r="EU1" t="s">
        <v>275</v>
      </c>
      <c r="EV1" t="s">
        <v>274</v>
      </c>
      <c r="EW1" t="s">
        <v>273</v>
      </c>
      <c r="EX1" t="s">
        <v>272</v>
      </c>
      <c r="EY1" t="s">
        <v>271</v>
      </c>
      <c r="EZ1" t="s">
        <v>270</v>
      </c>
      <c r="FA1" t="s">
        <v>269</v>
      </c>
      <c r="FB1" t="s">
        <v>268</v>
      </c>
      <c r="FC1" t="s">
        <v>61</v>
      </c>
      <c r="FD1" t="s">
        <v>62</v>
      </c>
      <c r="FE1" t="s">
        <v>63</v>
      </c>
      <c r="FF1" t="s">
        <v>52</v>
      </c>
      <c r="FG1" t="s">
        <v>0</v>
      </c>
      <c r="FH1" t="s">
        <v>28</v>
      </c>
      <c r="FI1" t="s">
        <v>51</v>
      </c>
      <c r="FJ1" t="s">
        <v>50</v>
      </c>
      <c r="FK1" t="s">
        <v>49</v>
      </c>
      <c r="FL1" t="s">
        <v>29</v>
      </c>
      <c r="FM1" t="s">
        <v>48</v>
      </c>
      <c r="FN1" t="s">
        <v>47</v>
      </c>
      <c r="FO1" t="s">
        <v>46</v>
      </c>
      <c r="FP1" t="s">
        <v>127</v>
      </c>
      <c r="FQ1" t="s">
        <v>146</v>
      </c>
      <c r="FR1" t="s">
        <v>183</v>
      </c>
      <c r="FS1" t="s">
        <v>185</v>
      </c>
      <c r="FT1" t="s">
        <v>186</v>
      </c>
      <c r="FU1" t="s">
        <v>187</v>
      </c>
      <c r="FV1" t="s">
        <v>188</v>
      </c>
      <c r="FW1" t="s">
        <v>203</v>
      </c>
      <c r="FX1" t="s">
        <v>204</v>
      </c>
      <c r="FY1" t="s">
        <v>207</v>
      </c>
      <c r="FZ1" t="s">
        <v>214</v>
      </c>
      <c r="GA1" t="s">
        <v>215</v>
      </c>
      <c r="GB1" t="s">
        <v>216</v>
      </c>
      <c r="GC1" t="s">
        <v>217</v>
      </c>
      <c r="GD1" t="s">
        <v>219</v>
      </c>
      <c r="GE1" t="s">
        <v>227</v>
      </c>
      <c r="GF1" t="s">
        <v>230</v>
      </c>
      <c r="GG1" t="s">
        <v>235</v>
      </c>
      <c r="GH1" t="s">
        <v>236</v>
      </c>
      <c r="GI1" t="s">
        <v>240</v>
      </c>
      <c r="GJ1" t="s">
        <v>245</v>
      </c>
      <c r="GK1" t="s">
        <v>246</v>
      </c>
      <c r="GL1" t="s">
        <v>248</v>
      </c>
      <c r="GM1" t="s">
        <v>425</v>
      </c>
      <c r="GN1" t="s">
        <v>428</v>
      </c>
      <c r="GO1" t="s">
        <v>431</v>
      </c>
      <c r="GP1" t="s">
        <v>436</v>
      </c>
      <c r="GQ1" t="s">
        <v>450</v>
      </c>
      <c r="GR1" t="s">
        <v>451</v>
      </c>
      <c r="GS1" t="s">
        <v>458</v>
      </c>
      <c r="GT1" t="s">
        <v>460</v>
      </c>
      <c r="GU1" t="s">
        <v>461</v>
      </c>
    </row>
    <row r="2" spans="1:203" x14ac:dyDescent="0.35">
      <c r="A2" t="s">
        <v>153</v>
      </c>
      <c r="B2" t="s">
        <v>159</v>
      </c>
      <c r="EF2">
        <v>211188</v>
      </c>
      <c r="EM2">
        <v>211188</v>
      </c>
      <c r="FL2">
        <v>282336.90000000002</v>
      </c>
      <c r="FZ2">
        <v>376072.7</v>
      </c>
      <c r="GL2">
        <v>393464.6</v>
      </c>
    </row>
    <row r="3" spans="1:203" x14ac:dyDescent="0.35">
      <c r="A3" t="s">
        <v>255</v>
      </c>
      <c r="B3" t="s">
        <v>259</v>
      </c>
      <c r="BU3">
        <v>2850</v>
      </c>
      <c r="CG3">
        <v>2490</v>
      </c>
      <c r="CS3">
        <v>2400</v>
      </c>
      <c r="CT3">
        <v>18.899999999999999</v>
      </c>
      <c r="DD3">
        <v>11804.2</v>
      </c>
      <c r="DF3">
        <v>57.4</v>
      </c>
      <c r="DQ3">
        <v>5228.7</v>
      </c>
      <c r="DU3">
        <v>3781.5</v>
      </c>
      <c r="EF3">
        <v>8520.7000000000007</v>
      </c>
      <c r="EG3">
        <v>6.2</v>
      </c>
      <c r="EO3">
        <v>5989</v>
      </c>
      <c r="EP3">
        <v>61.7</v>
      </c>
      <c r="FN3">
        <v>120.2</v>
      </c>
      <c r="FZ3">
        <v>218.4</v>
      </c>
    </row>
    <row r="4" spans="1:203" x14ac:dyDescent="0.35">
      <c r="A4" t="s">
        <v>255</v>
      </c>
      <c r="B4" t="s">
        <v>168</v>
      </c>
      <c r="CQ4">
        <v>11130</v>
      </c>
      <c r="GL4">
        <v>56805.7</v>
      </c>
    </row>
    <row r="5" spans="1:203" x14ac:dyDescent="0.35">
      <c r="A5" t="s">
        <v>153</v>
      </c>
      <c r="B5" t="s">
        <v>168</v>
      </c>
      <c r="GL5">
        <v>29944.400000000001</v>
      </c>
    </row>
    <row r="6" spans="1:203" x14ac:dyDescent="0.35">
      <c r="A6" t="s">
        <v>255</v>
      </c>
      <c r="B6" t="s">
        <v>182</v>
      </c>
      <c r="GK6">
        <v>623</v>
      </c>
      <c r="GL6">
        <v>0</v>
      </c>
    </row>
    <row r="7" spans="1:203" x14ac:dyDescent="0.35">
      <c r="A7" t="s">
        <v>153</v>
      </c>
      <c r="B7" t="s">
        <v>175</v>
      </c>
      <c r="FE7">
        <v>6202.5</v>
      </c>
      <c r="FN7">
        <v>9108.7000000000007</v>
      </c>
      <c r="FZ7">
        <v>9073.2999999999993</v>
      </c>
      <c r="GL7">
        <v>14336.1</v>
      </c>
    </row>
    <row r="8" spans="1:203" x14ac:dyDescent="0.35">
      <c r="A8" t="s">
        <v>255</v>
      </c>
      <c r="B8" t="s">
        <v>160</v>
      </c>
      <c r="FN8">
        <v>6535</v>
      </c>
      <c r="FZ8">
        <v>6535</v>
      </c>
      <c r="GL8">
        <v>6535</v>
      </c>
    </row>
    <row r="9" spans="1:203" x14ac:dyDescent="0.35">
      <c r="A9" t="s">
        <v>252</v>
      </c>
      <c r="B9" t="s">
        <v>154</v>
      </c>
      <c r="BT9">
        <v>190</v>
      </c>
      <c r="BV9">
        <v>860</v>
      </c>
      <c r="BW9">
        <v>1540</v>
      </c>
      <c r="BZ9">
        <v>320</v>
      </c>
      <c r="CC9">
        <v>1560</v>
      </c>
      <c r="CF9">
        <v>2970</v>
      </c>
      <c r="CG9">
        <v>5</v>
      </c>
      <c r="CH9">
        <v>180</v>
      </c>
      <c r="CI9">
        <v>1520</v>
      </c>
      <c r="CJ9">
        <v>220</v>
      </c>
      <c r="CL9">
        <v>2910</v>
      </c>
      <c r="CM9">
        <v>240</v>
      </c>
      <c r="CO9">
        <v>1490</v>
      </c>
      <c r="CR9">
        <v>2760</v>
      </c>
      <c r="CS9">
        <v>150</v>
      </c>
      <c r="CT9">
        <v>5</v>
      </c>
      <c r="CU9">
        <v>1670</v>
      </c>
      <c r="CX9">
        <v>3260</v>
      </c>
      <c r="CY9">
        <v>320</v>
      </c>
      <c r="DA9">
        <v>1530.7</v>
      </c>
      <c r="DD9">
        <v>3549.9</v>
      </c>
      <c r="DE9">
        <v>398.8</v>
      </c>
      <c r="DG9">
        <v>2038.5</v>
      </c>
      <c r="DH9">
        <v>88.2</v>
      </c>
      <c r="DI9">
        <v>1807.5</v>
      </c>
      <c r="DJ9">
        <v>2018.8</v>
      </c>
      <c r="DK9">
        <v>382</v>
      </c>
      <c r="DM9">
        <v>1979.9</v>
      </c>
      <c r="DO9">
        <v>1764.7</v>
      </c>
      <c r="DP9">
        <v>1964.5</v>
      </c>
      <c r="DQ9">
        <v>461.4</v>
      </c>
      <c r="DR9">
        <v>7</v>
      </c>
      <c r="DT9">
        <v>146.9</v>
      </c>
      <c r="DU9">
        <v>1626.6</v>
      </c>
      <c r="DV9">
        <v>1972.6</v>
      </c>
      <c r="DW9">
        <v>277.39999999999998</v>
      </c>
      <c r="DY9">
        <v>1995.9</v>
      </c>
      <c r="EA9" s="46">
        <v>1804.2</v>
      </c>
      <c r="EB9">
        <v>2069.8000000000002</v>
      </c>
      <c r="EC9" s="46">
        <v>144.80000000000001</v>
      </c>
      <c r="ED9">
        <v>752.3</v>
      </c>
      <c r="EE9" s="38">
        <v>2013.3</v>
      </c>
      <c r="EF9">
        <v>2667.1</v>
      </c>
      <c r="EG9" s="46">
        <v>2178.6999999999998</v>
      </c>
      <c r="EH9">
        <v>1590.4</v>
      </c>
      <c r="EI9">
        <v>504.5</v>
      </c>
      <c r="EK9" s="38">
        <v>1473.8</v>
      </c>
      <c r="EM9" s="46">
        <v>2121.1</v>
      </c>
      <c r="EN9">
        <v>1496.2</v>
      </c>
      <c r="EP9">
        <v>5425.4</v>
      </c>
      <c r="EQ9">
        <v>353.2</v>
      </c>
      <c r="ES9" s="46">
        <v>1566.6</v>
      </c>
      <c r="ET9">
        <v>2339</v>
      </c>
      <c r="EV9">
        <v>2277.1999999999998</v>
      </c>
      <c r="EW9">
        <v>1778.6</v>
      </c>
      <c r="EZ9">
        <v>1319.3</v>
      </c>
      <c r="FA9">
        <v>819.5</v>
      </c>
      <c r="FB9">
        <v>5940.3</v>
      </c>
      <c r="FD9">
        <v>529.9</v>
      </c>
      <c r="FF9">
        <v>2593</v>
      </c>
      <c r="FG9">
        <v>266.60000000000002</v>
      </c>
      <c r="FH9" s="38">
        <v>1722.6</v>
      </c>
      <c r="FJ9">
        <v>246</v>
      </c>
      <c r="FL9">
        <v>2077.1999999999998</v>
      </c>
      <c r="FM9">
        <v>1000.6</v>
      </c>
      <c r="FN9">
        <v>6506.9</v>
      </c>
      <c r="FO9">
        <v>1123.4000000000001</v>
      </c>
      <c r="FP9">
        <v>509.3</v>
      </c>
      <c r="FR9">
        <v>3018.7</v>
      </c>
      <c r="FS9">
        <v>1741.5</v>
      </c>
      <c r="FT9">
        <v>13810.5</v>
      </c>
      <c r="FU9">
        <v>590</v>
      </c>
      <c r="FV9">
        <v>765.1</v>
      </c>
      <c r="FW9">
        <v>42.7</v>
      </c>
      <c r="FX9">
        <v>406.8</v>
      </c>
      <c r="FY9">
        <v>2424.6</v>
      </c>
      <c r="FZ9">
        <v>4743.8</v>
      </c>
      <c r="GA9">
        <v>729.9</v>
      </c>
      <c r="GB9">
        <v>916.6</v>
      </c>
      <c r="GC9">
        <v>162.69999999999999</v>
      </c>
      <c r="GD9">
        <v>829</v>
      </c>
      <c r="GE9">
        <v>1836.8</v>
      </c>
      <c r="GF9">
        <v>488.4</v>
      </c>
      <c r="GG9">
        <v>1148.7</v>
      </c>
      <c r="GH9">
        <v>1020.6</v>
      </c>
      <c r="GI9">
        <v>659.9</v>
      </c>
      <c r="GJ9">
        <v>2330.5</v>
      </c>
      <c r="GK9">
        <v>2098.4</v>
      </c>
      <c r="GL9">
        <v>5692.2</v>
      </c>
      <c r="GM9">
        <v>2575</v>
      </c>
      <c r="GN9">
        <v>1228.5999999999999</v>
      </c>
      <c r="GO9">
        <v>7152.3</v>
      </c>
      <c r="GP9">
        <v>7578.9</v>
      </c>
      <c r="GQ9">
        <v>2170.6</v>
      </c>
      <c r="GR9">
        <v>2025</v>
      </c>
      <c r="GS9">
        <v>8341.1</v>
      </c>
      <c r="GT9">
        <v>1085.3</v>
      </c>
      <c r="GU9">
        <v>1839.1</v>
      </c>
    </row>
    <row r="10" spans="1:203" x14ac:dyDescent="0.35">
      <c r="A10" t="s">
        <v>153</v>
      </c>
      <c r="B10" t="s">
        <v>173</v>
      </c>
      <c r="FY10">
        <v>40.6</v>
      </c>
      <c r="GK10">
        <v>700.8</v>
      </c>
      <c r="GL10">
        <v>0</v>
      </c>
    </row>
    <row r="11" spans="1:203" x14ac:dyDescent="0.35">
      <c r="A11" t="s">
        <v>153</v>
      </c>
      <c r="B11" t="s">
        <v>177</v>
      </c>
      <c r="GM11">
        <v>12461.3</v>
      </c>
    </row>
    <row r="12" spans="1:203" x14ac:dyDescent="0.35">
      <c r="A12" t="s">
        <v>254</v>
      </c>
      <c r="B12" t="s">
        <v>182</v>
      </c>
      <c r="CD12">
        <v>1810</v>
      </c>
      <c r="CP12">
        <v>1610</v>
      </c>
      <c r="CT12">
        <v>422.2</v>
      </c>
      <c r="EX12">
        <v>1281.9000000000001</v>
      </c>
      <c r="FB12">
        <v>985.7</v>
      </c>
      <c r="FJ12">
        <v>2040.2</v>
      </c>
      <c r="FN12">
        <v>1568.7</v>
      </c>
      <c r="FV12">
        <v>2811.5</v>
      </c>
      <c r="FZ12">
        <v>2161.8000000000002</v>
      </c>
      <c r="GH12">
        <v>1829.4</v>
      </c>
      <c r="GJ12">
        <v>1463.1</v>
      </c>
      <c r="GL12">
        <v>1406.7</v>
      </c>
      <c r="GM12">
        <v>3679.5</v>
      </c>
      <c r="GN12">
        <v>112.3</v>
      </c>
      <c r="GO12">
        <v>5</v>
      </c>
      <c r="GP12">
        <v>3063.5</v>
      </c>
      <c r="GS12">
        <v>2484.6999999999998</v>
      </c>
      <c r="GT12">
        <v>2295.8000000000002</v>
      </c>
      <c r="GU12">
        <v>504.6</v>
      </c>
    </row>
    <row r="13" spans="1:203" x14ac:dyDescent="0.35">
      <c r="A13" t="s">
        <v>254</v>
      </c>
      <c r="B13" t="s">
        <v>159</v>
      </c>
      <c r="GJ13">
        <v>1659.5</v>
      </c>
      <c r="GM13">
        <v>4173.2</v>
      </c>
      <c r="GN13">
        <v>127.4</v>
      </c>
      <c r="GO13">
        <v>5.7</v>
      </c>
      <c r="GP13">
        <v>3140.9</v>
      </c>
      <c r="GS13">
        <v>2818.1</v>
      </c>
      <c r="GT13">
        <v>11.4</v>
      </c>
      <c r="GU13">
        <v>572.29999999999995</v>
      </c>
    </row>
    <row r="14" spans="1:203" x14ac:dyDescent="0.35">
      <c r="A14" t="s">
        <v>254</v>
      </c>
      <c r="B14" t="s">
        <v>168</v>
      </c>
      <c r="BQ14">
        <v>3580</v>
      </c>
      <c r="BX14">
        <v>5970</v>
      </c>
      <c r="CC14">
        <v>5710</v>
      </c>
      <c r="CJ14">
        <v>6190</v>
      </c>
      <c r="CO14">
        <v>5960</v>
      </c>
      <c r="DB14">
        <v>3304.1</v>
      </c>
      <c r="DH14">
        <v>2339.6</v>
      </c>
      <c r="DN14">
        <v>2377.5</v>
      </c>
      <c r="DT14">
        <v>2932.6</v>
      </c>
      <c r="DY14">
        <v>2666.4</v>
      </c>
      <c r="EF14">
        <v>2006.7</v>
      </c>
      <c r="EK14">
        <v>1671.8</v>
      </c>
      <c r="ER14">
        <v>2343</v>
      </c>
      <c r="EW14">
        <v>2744.4</v>
      </c>
      <c r="FD14">
        <v>3930</v>
      </c>
      <c r="FI14">
        <v>6087.9</v>
      </c>
      <c r="GJ14">
        <v>1641.5</v>
      </c>
      <c r="GM14">
        <v>4128</v>
      </c>
      <c r="GN14">
        <v>126</v>
      </c>
      <c r="GO14">
        <v>5.6</v>
      </c>
      <c r="GP14">
        <v>3106.9</v>
      </c>
      <c r="GS14">
        <v>2787.6</v>
      </c>
      <c r="GT14">
        <v>11.3</v>
      </c>
      <c r="GU14">
        <v>566.1</v>
      </c>
    </row>
    <row r="15" spans="1:203" x14ac:dyDescent="0.35">
      <c r="A15" t="s">
        <v>254</v>
      </c>
      <c r="B15" t="s">
        <v>244</v>
      </c>
      <c r="GJ15">
        <v>520.79999999999995</v>
      </c>
      <c r="GM15">
        <v>1309.8</v>
      </c>
      <c r="GN15">
        <v>40</v>
      </c>
      <c r="GO15">
        <v>1.8</v>
      </c>
      <c r="GP15">
        <v>985.8</v>
      </c>
      <c r="GR15">
        <v>85.5</v>
      </c>
      <c r="GS15">
        <v>799</v>
      </c>
      <c r="GT15">
        <v>142.19999999999999</v>
      </c>
      <c r="GU15">
        <v>41</v>
      </c>
    </row>
    <row r="16" spans="1:203" x14ac:dyDescent="0.35">
      <c r="A16" t="s">
        <v>253</v>
      </c>
      <c r="B16" t="s">
        <v>168</v>
      </c>
      <c r="BU16">
        <v>670</v>
      </c>
      <c r="BZ16">
        <v>1050</v>
      </c>
      <c r="CG16">
        <v>1030</v>
      </c>
      <c r="CM16">
        <v>1050</v>
      </c>
      <c r="CS16">
        <v>1030</v>
      </c>
      <c r="CV16">
        <v>3610</v>
      </c>
      <c r="CY16">
        <v>1050</v>
      </c>
      <c r="DE16">
        <v>1031.5</v>
      </c>
      <c r="DK16">
        <v>1099.8</v>
      </c>
    </row>
    <row r="17" spans="1:203" x14ac:dyDescent="0.35">
      <c r="A17" t="s">
        <v>253</v>
      </c>
      <c r="B17" t="s">
        <v>161</v>
      </c>
      <c r="F17">
        <v>13270</v>
      </c>
      <c r="P17">
        <v>7780</v>
      </c>
      <c r="Q17">
        <v>380</v>
      </c>
      <c r="R17">
        <v>1070</v>
      </c>
      <c r="S17">
        <v>7140</v>
      </c>
      <c r="V17">
        <v>7030</v>
      </c>
      <c r="W17">
        <v>330</v>
      </c>
      <c r="Y17">
        <v>8000</v>
      </c>
      <c r="AB17">
        <v>7190</v>
      </c>
      <c r="AE17">
        <v>7440</v>
      </c>
      <c r="AH17">
        <v>7660</v>
      </c>
      <c r="AI17">
        <v>370</v>
      </c>
      <c r="AJ17">
        <v>1200</v>
      </c>
      <c r="AK17">
        <v>7420</v>
      </c>
      <c r="AN17">
        <v>7280</v>
      </c>
      <c r="AP17">
        <v>9290</v>
      </c>
      <c r="AQ17">
        <v>6870</v>
      </c>
      <c r="AT17">
        <v>6740</v>
      </c>
      <c r="AV17">
        <v>1560</v>
      </c>
      <c r="AW17">
        <v>6820</v>
      </c>
      <c r="AZ17">
        <v>6890</v>
      </c>
      <c r="BB17">
        <v>1570</v>
      </c>
      <c r="BC17">
        <v>6890</v>
      </c>
      <c r="BF17">
        <v>6740</v>
      </c>
      <c r="BI17">
        <v>6820</v>
      </c>
      <c r="BK17">
        <v>18790</v>
      </c>
      <c r="BL17">
        <v>3590</v>
      </c>
      <c r="BN17">
        <v>2280</v>
      </c>
      <c r="BO17">
        <v>2400</v>
      </c>
      <c r="BR17">
        <v>2340</v>
      </c>
      <c r="BT17">
        <v>1560</v>
      </c>
      <c r="BU17">
        <v>2370</v>
      </c>
      <c r="BW17">
        <v>210</v>
      </c>
      <c r="BX17">
        <v>2400</v>
      </c>
      <c r="BZ17">
        <v>1570</v>
      </c>
      <c r="CA17">
        <v>240</v>
      </c>
      <c r="CD17">
        <v>2360</v>
      </c>
      <c r="CF17">
        <v>1560</v>
      </c>
      <c r="CG17">
        <v>2360</v>
      </c>
      <c r="CJ17">
        <v>2390</v>
      </c>
      <c r="CL17">
        <v>1840</v>
      </c>
      <c r="CM17">
        <v>2110</v>
      </c>
      <c r="CP17">
        <v>2340</v>
      </c>
      <c r="CR17">
        <v>1560</v>
      </c>
      <c r="CS17">
        <v>2370</v>
      </c>
      <c r="CV17">
        <v>2400</v>
      </c>
      <c r="CW17">
        <v>76.400000000000006</v>
      </c>
      <c r="CX17">
        <v>2540</v>
      </c>
      <c r="CY17">
        <v>2290</v>
      </c>
      <c r="CZ17">
        <v>46.5</v>
      </c>
      <c r="DA17">
        <v>30.9</v>
      </c>
      <c r="DB17">
        <v>2254.3000000000002</v>
      </c>
      <c r="DC17">
        <v>54.5</v>
      </c>
      <c r="DD17">
        <v>1593</v>
      </c>
      <c r="DE17">
        <v>2265.4</v>
      </c>
      <c r="DF17">
        <v>32.9</v>
      </c>
      <c r="DG17">
        <v>12822</v>
      </c>
      <c r="DH17">
        <v>2302.1</v>
      </c>
      <c r="DI17">
        <v>47</v>
      </c>
      <c r="DJ17">
        <v>3113.2</v>
      </c>
      <c r="DK17">
        <v>2296.1</v>
      </c>
      <c r="DL17">
        <v>47.7</v>
      </c>
      <c r="DM17">
        <v>65.7</v>
      </c>
      <c r="DN17">
        <v>2288.6999999999998</v>
      </c>
      <c r="DO17">
        <v>81.8</v>
      </c>
      <c r="DP17">
        <v>1668.8</v>
      </c>
      <c r="DQ17">
        <v>2278.9</v>
      </c>
      <c r="DR17">
        <v>99.3</v>
      </c>
      <c r="DS17">
        <v>10186.5</v>
      </c>
      <c r="DT17">
        <v>2325.4</v>
      </c>
      <c r="DU17">
        <v>112</v>
      </c>
      <c r="DV17">
        <v>3536.5</v>
      </c>
      <c r="DW17">
        <v>2036.5</v>
      </c>
      <c r="DX17">
        <v>114.7</v>
      </c>
      <c r="DY17">
        <v>82.2</v>
      </c>
      <c r="DZ17">
        <v>2001.5</v>
      </c>
      <c r="EA17">
        <v>511.3</v>
      </c>
      <c r="EB17">
        <v>1686.8</v>
      </c>
      <c r="EC17">
        <v>1548.2</v>
      </c>
      <c r="ED17">
        <v>126</v>
      </c>
      <c r="EE17">
        <v>10219.1</v>
      </c>
      <c r="EF17">
        <v>2042.8</v>
      </c>
      <c r="EG17">
        <v>126.1</v>
      </c>
      <c r="EH17">
        <v>3668.5</v>
      </c>
      <c r="EI17">
        <v>1219.5</v>
      </c>
      <c r="EJ17">
        <v>118.5</v>
      </c>
      <c r="EK17">
        <v>162</v>
      </c>
      <c r="EL17">
        <v>1155.8</v>
      </c>
      <c r="EM17">
        <v>170.5</v>
      </c>
      <c r="EN17">
        <v>1360.7</v>
      </c>
      <c r="EO17">
        <v>1226.2</v>
      </c>
      <c r="EP17">
        <v>175.5</v>
      </c>
      <c r="EQ17">
        <v>10257.4</v>
      </c>
      <c r="ER17">
        <v>1237.5</v>
      </c>
      <c r="ES17">
        <v>175.1</v>
      </c>
      <c r="ET17">
        <v>2863.8</v>
      </c>
      <c r="EU17">
        <v>1235.3</v>
      </c>
      <c r="EV17">
        <v>167.9</v>
      </c>
      <c r="EW17">
        <v>241.7</v>
      </c>
      <c r="EX17">
        <v>1535.1</v>
      </c>
      <c r="EY17">
        <v>256.5</v>
      </c>
      <c r="EZ17">
        <v>1450.9</v>
      </c>
      <c r="FA17">
        <v>1659.8</v>
      </c>
      <c r="FB17">
        <v>263.7</v>
      </c>
      <c r="FC17">
        <v>10349.5</v>
      </c>
      <c r="FD17">
        <v>1674.5</v>
      </c>
      <c r="FE17">
        <v>262.8</v>
      </c>
      <c r="FF17">
        <v>2843.9</v>
      </c>
      <c r="FG17">
        <v>2538.6</v>
      </c>
      <c r="FH17">
        <v>263.5</v>
      </c>
      <c r="FI17">
        <v>326.2</v>
      </c>
      <c r="FJ17">
        <v>3905.3</v>
      </c>
      <c r="FK17">
        <v>345.6</v>
      </c>
      <c r="FL17">
        <v>1545.2</v>
      </c>
      <c r="FM17">
        <v>2769.5</v>
      </c>
      <c r="FN17">
        <v>377.4</v>
      </c>
      <c r="FO17">
        <v>10478.799999999999</v>
      </c>
      <c r="FP17">
        <v>3920.6</v>
      </c>
      <c r="FQ17">
        <v>395.8</v>
      </c>
      <c r="FR17">
        <v>2851.9</v>
      </c>
      <c r="FS17">
        <v>5226.5</v>
      </c>
      <c r="FT17">
        <v>395.8</v>
      </c>
      <c r="FU17">
        <v>263.89999999999998</v>
      </c>
      <c r="FV17">
        <v>5359.9</v>
      </c>
      <c r="FW17">
        <v>271</v>
      </c>
      <c r="FX17">
        <v>1478.1</v>
      </c>
      <c r="FY17">
        <v>5220</v>
      </c>
      <c r="FZ17">
        <v>293.10000000000002</v>
      </c>
      <c r="GA17">
        <v>10396.1</v>
      </c>
      <c r="GB17">
        <v>5480.2</v>
      </c>
      <c r="GC17">
        <v>303.7</v>
      </c>
      <c r="GD17">
        <v>1712.4</v>
      </c>
      <c r="GE17">
        <v>6245.3</v>
      </c>
      <c r="GF17">
        <v>306.2</v>
      </c>
      <c r="GG17">
        <v>324.7</v>
      </c>
      <c r="GH17">
        <v>3788.4</v>
      </c>
      <c r="GI17">
        <v>345.1</v>
      </c>
      <c r="GJ17">
        <v>1551.6</v>
      </c>
      <c r="GK17">
        <v>3582.8</v>
      </c>
      <c r="GL17">
        <v>370.7</v>
      </c>
      <c r="GM17">
        <v>10460.1</v>
      </c>
      <c r="GN17">
        <v>3630.2</v>
      </c>
      <c r="GO17">
        <v>381.5</v>
      </c>
      <c r="GP17">
        <v>13388.7</v>
      </c>
      <c r="GQ17">
        <v>3663.6</v>
      </c>
      <c r="GR17">
        <v>398.2</v>
      </c>
      <c r="GS17">
        <v>286.7</v>
      </c>
      <c r="GT17">
        <v>3542.5</v>
      </c>
      <c r="GU17">
        <v>302.10000000000002</v>
      </c>
    </row>
    <row r="18" spans="1:203" x14ac:dyDescent="0.35">
      <c r="A18" t="s">
        <v>151</v>
      </c>
      <c r="B18" t="s">
        <v>170</v>
      </c>
      <c r="DS18">
        <v>2004.8</v>
      </c>
      <c r="FM18">
        <v>130.69999999999999</v>
      </c>
      <c r="FP18">
        <v>128.6</v>
      </c>
      <c r="FQ18">
        <v>234.1</v>
      </c>
      <c r="FR18">
        <v>263.8</v>
      </c>
      <c r="FS18">
        <v>196.8</v>
      </c>
      <c r="FT18">
        <v>250.6</v>
      </c>
      <c r="FU18">
        <v>662.3</v>
      </c>
      <c r="FV18">
        <v>193.6</v>
      </c>
      <c r="FW18">
        <v>247.1</v>
      </c>
      <c r="FX18">
        <v>652.29999999999995</v>
      </c>
      <c r="FY18">
        <v>190.9</v>
      </c>
      <c r="FZ18">
        <v>243.1</v>
      </c>
      <c r="GA18">
        <v>642.70000000000005</v>
      </c>
      <c r="GB18">
        <v>187.7</v>
      </c>
      <c r="GC18">
        <v>239.6</v>
      </c>
      <c r="GD18">
        <v>631.20000000000005</v>
      </c>
      <c r="GE18">
        <v>184.6</v>
      </c>
      <c r="GF18">
        <v>235.6</v>
      </c>
      <c r="GG18">
        <v>621.5</v>
      </c>
      <c r="GH18">
        <v>181.8</v>
      </c>
      <c r="GI18">
        <v>231.5</v>
      </c>
      <c r="GJ18">
        <v>610.79999999999995</v>
      </c>
      <c r="GK18">
        <v>178.6</v>
      </c>
      <c r="GL18">
        <v>228.1</v>
      </c>
      <c r="GM18">
        <v>601</v>
      </c>
      <c r="GN18">
        <v>175.5</v>
      </c>
      <c r="GO18">
        <v>224.1</v>
      </c>
      <c r="GP18">
        <v>591.20000000000005</v>
      </c>
      <c r="GQ18">
        <v>172.6</v>
      </c>
      <c r="GR18">
        <v>220</v>
      </c>
      <c r="GS18">
        <v>580.70000000000005</v>
      </c>
      <c r="GT18">
        <v>169.4</v>
      </c>
      <c r="GU18">
        <v>216.5</v>
      </c>
    </row>
    <row r="19" spans="1:203" x14ac:dyDescent="0.35">
      <c r="A19" t="s">
        <v>151</v>
      </c>
      <c r="B19" t="s">
        <v>184</v>
      </c>
      <c r="FX19">
        <v>134.30000000000001</v>
      </c>
      <c r="GD19">
        <v>558.20000000000005</v>
      </c>
      <c r="GJ19">
        <v>558.20000000000005</v>
      </c>
      <c r="GP19">
        <v>646.4</v>
      </c>
    </row>
    <row r="20" spans="1:203" x14ac:dyDescent="0.35">
      <c r="A20" t="s">
        <v>151</v>
      </c>
      <c r="B20" t="s">
        <v>256</v>
      </c>
      <c r="FP20">
        <v>897.6</v>
      </c>
      <c r="FV20">
        <v>897.6</v>
      </c>
      <c r="GB20">
        <v>897.6</v>
      </c>
      <c r="GH20">
        <v>897.6</v>
      </c>
      <c r="GN20">
        <v>897.6</v>
      </c>
      <c r="GT20">
        <v>897.6</v>
      </c>
    </row>
    <row r="21" spans="1:203" x14ac:dyDescent="0.35">
      <c r="A21" t="s">
        <v>151</v>
      </c>
      <c r="B21" t="s">
        <v>267</v>
      </c>
      <c r="FM21">
        <v>1.2</v>
      </c>
    </row>
    <row r="22" spans="1:203" x14ac:dyDescent="0.35">
      <c r="A22" t="s">
        <v>151</v>
      </c>
      <c r="B22" t="s">
        <v>266</v>
      </c>
      <c r="FH22">
        <v>0.1</v>
      </c>
      <c r="FN22">
        <v>0.1</v>
      </c>
      <c r="FO22">
        <v>19.600000000000001</v>
      </c>
    </row>
    <row r="23" spans="1:203" x14ac:dyDescent="0.35">
      <c r="A23" t="s">
        <v>155</v>
      </c>
      <c r="B23" t="s">
        <v>169</v>
      </c>
      <c r="BN23">
        <v>4550</v>
      </c>
      <c r="BT23">
        <v>4040</v>
      </c>
    </row>
    <row r="24" spans="1:203" x14ac:dyDescent="0.35">
      <c r="A24" t="s">
        <v>252</v>
      </c>
      <c r="B24" t="s">
        <v>189</v>
      </c>
      <c r="FW24">
        <v>2103.9</v>
      </c>
      <c r="FX24" s="38">
        <v>82.3</v>
      </c>
      <c r="GC24">
        <v>4066.6</v>
      </c>
      <c r="GD24" s="38">
        <v>119.7</v>
      </c>
      <c r="GE24">
        <v>1024.2</v>
      </c>
      <c r="GF24">
        <v>939.3</v>
      </c>
      <c r="GG24">
        <v>570.1</v>
      </c>
      <c r="GH24">
        <v>348.8</v>
      </c>
      <c r="GI24">
        <v>3653.1</v>
      </c>
      <c r="GJ24" s="38">
        <v>119.7</v>
      </c>
      <c r="GK24">
        <v>809.2</v>
      </c>
      <c r="GL24">
        <v>854.1</v>
      </c>
      <c r="GM24">
        <v>581.5</v>
      </c>
      <c r="GN24">
        <v>344.8</v>
      </c>
      <c r="GO24">
        <v>3797.6</v>
      </c>
      <c r="GP24" s="38">
        <v>119.7</v>
      </c>
      <c r="GQ24">
        <v>834.7</v>
      </c>
      <c r="GR24">
        <v>858.5</v>
      </c>
      <c r="GS24">
        <v>604.1</v>
      </c>
      <c r="GT24">
        <v>348.1</v>
      </c>
      <c r="GU24">
        <v>3348.1</v>
      </c>
    </row>
    <row r="25" spans="1:203" x14ac:dyDescent="0.35">
      <c r="FW25" t="s">
        <v>257</v>
      </c>
      <c r="GC25" t="s">
        <v>257</v>
      </c>
      <c r="GE25" t="s">
        <v>257</v>
      </c>
      <c r="GF25" t="s">
        <v>257</v>
      </c>
      <c r="GG25" t="s">
        <v>257</v>
      </c>
      <c r="GH25" t="s">
        <v>257</v>
      </c>
      <c r="GI25" t="s">
        <v>257</v>
      </c>
      <c r="GK25" t="s">
        <v>258</v>
      </c>
      <c r="GL25" t="s">
        <v>257</v>
      </c>
      <c r="GM25" t="s">
        <v>258</v>
      </c>
      <c r="GN25" t="s">
        <v>258</v>
      </c>
      <c r="GO25" t="s">
        <v>257</v>
      </c>
      <c r="GP25" t="s">
        <v>258</v>
      </c>
      <c r="GQ25" t="s">
        <v>258</v>
      </c>
      <c r="GS25" t="s">
        <v>258</v>
      </c>
      <c r="GT25" t="s">
        <v>258</v>
      </c>
      <c r="GU25" t="s">
        <v>257</v>
      </c>
    </row>
    <row r="26" spans="1:203" x14ac:dyDescent="0.35">
      <c r="GN26" t="s">
        <v>430</v>
      </c>
    </row>
    <row r="27" spans="1:203" x14ac:dyDescent="0.35">
      <c r="DX27" t="s">
        <v>432</v>
      </c>
      <c r="EB27">
        <f>EB9-EB28</f>
        <v>135.97609264000016</v>
      </c>
      <c r="FW27" s="41"/>
      <c r="GB27" t="s">
        <v>459</v>
      </c>
      <c r="GE27">
        <f>3000*10.79*0.05/2</f>
        <v>809.25</v>
      </c>
      <c r="GF27">
        <f>2750*10.79*0.05/2</f>
        <v>741.8125</v>
      </c>
      <c r="GK27">
        <f>3000*11*0.05/2</f>
        <v>825</v>
      </c>
      <c r="GL27">
        <f>2750*10.79*0.05/2</f>
        <v>741.8125</v>
      </c>
    </row>
    <row r="28" spans="1:203" x14ac:dyDescent="0.35">
      <c r="DU28" s="41" t="s">
        <v>433</v>
      </c>
      <c r="DV28" s="41" t="s">
        <v>423</v>
      </c>
      <c r="DW28" s="41" t="s">
        <v>421</v>
      </c>
      <c r="DX28" s="41">
        <f>1156206</f>
        <v>1156206</v>
      </c>
      <c r="DY28" s="41"/>
      <c r="DZ28" s="41"/>
      <c r="EA28" s="41"/>
      <c r="EB28" s="41">
        <f>1672.56/1000000*DX28</f>
        <v>1933.82390736</v>
      </c>
      <c r="EC28" s="41"/>
      <c r="ED28" s="41"/>
      <c r="EE28" s="41"/>
      <c r="EF28" s="41"/>
      <c r="EG28" s="41"/>
      <c r="EH28" s="41">
        <f>1286.8/1000000*DX28</f>
        <v>1487.8058808000001</v>
      </c>
      <c r="EI28" s="41"/>
      <c r="EJ28" s="41"/>
      <c r="EK28" s="41"/>
      <c r="EL28" s="41"/>
      <c r="EM28" s="41"/>
      <c r="EN28" s="41">
        <f>1205.33/1000000*DX28</f>
        <v>1393.60977798</v>
      </c>
      <c r="EO28" s="41"/>
      <c r="EP28" s="41"/>
      <c r="EQ28" s="41"/>
      <c r="ER28" s="41"/>
      <c r="ES28" s="41"/>
      <c r="ET28" s="41">
        <f>1164.4/1000000*DX28</f>
        <v>1346.2862664000002</v>
      </c>
      <c r="EU28" s="41"/>
      <c r="EV28" s="41"/>
      <c r="EW28" s="41"/>
      <c r="EX28" s="41"/>
      <c r="EY28" s="41"/>
      <c r="EZ28" s="41">
        <f>1010.04/1000000*DX28</f>
        <v>1167.8143082399999</v>
      </c>
      <c r="FA28" s="41"/>
      <c r="FB28" s="41"/>
      <c r="FC28" s="41"/>
      <c r="FD28" s="41"/>
      <c r="FE28" s="41"/>
      <c r="FF28" s="41">
        <f>(1324.45)/1000000*DX28</f>
        <v>1531.3370367</v>
      </c>
      <c r="FG28" s="41"/>
      <c r="FH28" s="41"/>
      <c r="FI28" s="41"/>
      <c r="FJ28" s="41"/>
      <c r="FK28" s="41"/>
      <c r="FL28" s="41">
        <f>1632.07*DX28/1000000</f>
        <v>1887.0091264199998</v>
      </c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2"/>
      <c r="GD28" s="42"/>
      <c r="GE28" s="42"/>
      <c r="GF28" s="42"/>
      <c r="GG28" s="42"/>
      <c r="GH28" s="42"/>
      <c r="GI28" s="42"/>
      <c r="GJ28" s="41"/>
      <c r="GK28" s="41"/>
      <c r="GL28" s="42"/>
      <c r="GM28" s="42"/>
      <c r="GN28" s="42"/>
      <c r="GO28" s="42"/>
      <c r="GP28" s="41"/>
    </row>
    <row r="29" spans="1:203" x14ac:dyDescent="0.35">
      <c r="DU29" s="41" t="s">
        <v>433</v>
      </c>
      <c r="DV29" s="41" t="s">
        <v>424</v>
      </c>
      <c r="DW29" s="41" t="s">
        <v>422</v>
      </c>
      <c r="DX29" s="41">
        <v>1207024</v>
      </c>
      <c r="DY29" s="41"/>
      <c r="DZ29" s="41"/>
      <c r="EA29" s="41"/>
      <c r="EB29" s="41"/>
      <c r="EC29" s="41"/>
      <c r="ED29" s="41"/>
      <c r="EE29" s="43">
        <f>1667.97/1000000*DX29</f>
        <v>2013.2798212799999</v>
      </c>
      <c r="EF29" s="41"/>
      <c r="EG29" s="41"/>
      <c r="EH29" s="41"/>
      <c r="EI29" s="41"/>
      <c r="EJ29" s="41"/>
      <c r="EK29" s="43">
        <f>1221/1000000*DX29</f>
        <v>1473.7763040000002</v>
      </c>
      <c r="EL29" s="41"/>
      <c r="EM29" s="41"/>
      <c r="EN29" s="41"/>
      <c r="EO29" s="41"/>
      <c r="EP29" s="41">
        <f>1174.25/1000000*DX29</f>
        <v>1417.3479319999999</v>
      </c>
      <c r="EQ29" s="41"/>
      <c r="ER29" s="41"/>
      <c r="ES29" s="41"/>
      <c r="ET29" s="41"/>
      <c r="EU29" s="41"/>
      <c r="EV29" s="41">
        <f>1473.55/1000000*DX29</f>
        <v>1778.6102151999999</v>
      </c>
      <c r="EW29" s="41"/>
      <c r="EX29" s="41"/>
      <c r="EY29" s="41"/>
      <c r="EZ29" s="41"/>
      <c r="FA29" s="41"/>
      <c r="FB29" s="41">
        <f>(1218.14)/1000000*DX29</f>
        <v>1470.3242153600002</v>
      </c>
      <c r="FC29" s="41"/>
      <c r="FD29" s="41"/>
      <c r="FE29" s="41"/>
      <c r="FF29" s="41"/>
      <c r="FG29" s="41"/>
      <c r="FH29" s="43">
        <f>1427.18/1000000*DX29</f>
        <v>1722.6405123200002</v>
      </c>
      <c r="FI29" s="41"/>
      <c r="FJ29" s="41"/>
      <c r="FK29" s="41"/>
      <c r="FL29" s="41"/>
      <c r="FM29" s="41"/>
      <c r="FN29" s="41">
        <f>DX29*1686.03/1000000</f>
        <v>2035.07867472</v>
      </c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2"/>
      <c r="GD29" s="41"/>
      <c r="GE29" s="41"/>
      <c r="GF29" s="42"/>
      <c r="GG29" s="41"/>
      <c r="GH29" s="41"/>
      <c r="GI29" s="42"/>
      <c r="GJ29" s="41"/>
      <c r="GK29" s="41"/>
      <c r="GL29" s="42"/>
      <c r="GM29" s="42"/>
      <c r="GN29" s="42"/>
      <c r="GO29" s="42"/>
      <c r="GP29" s="41"/>
      <c r="GR29" s="42"/>
    </row>
    <row r="30" spans="1:203" x14ac:dyDescent="0.35">
      <c r="DU30" s="41" t="s">
        <v>433</v>
      </c>
      <c r="DV30" s="41" t="s">
        <v>435</v>
      </c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2"/>
      <c r="GD30" s="41"/>
      <c r="GE30" s="41"/>
      <c r="GF30" s="42"/>
      <c r="GG30" s="41"/>
      <c r="GH30" s="41"/>
      <c r="GI30" s="42"/>
      <c r="GJ30" s="41"/>
      <c r="GK30" s="41"/>
      <c r="GL30" s="42"/>
      <c r="GM30" s="42"/>
      <c r="GN30" s="42"/>
      <c r="GO30" s="42"/>
      <c r="GP30" s="41"/>
    </row>
    <row r="31" spans="1:203" x14ac:dyDescent="0.35">
      <c r="DU31" s="41" t="s">
        <v>434</v>
      </c>
      <c r="DV31" s="41" t="s">
        <v>445</v>
      </c>
      <c r="DW31" s="41"/>
      <c r="DX31" s="41">
        <v>17248770</v>
      </c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2"/>
      <c r="GI31" s="41"/>
      <c r="GJ31" s="42"/>
      <c r="GK31" s="42"/>
      <c r="GL31" s="42"/>
      <c r="GM31" s="42">
        <f>34.16/1000000*DX31</f>
        <v>589.21798319999994</v>
      </c>
      <c r="GN31" s="42"/>
      <c r="GO31" s="42"/>
      <c r="GP31" s="42">
        <f>3.69/1000000*DX31</f>
        <v>63.647961299999999</v>
      </c>
      <c r="GS31">
        <v>26.2</v>
      </c>
    </row>
    <row r="32" spans="1:203" x14ac:dyDescent="0.35">
      <c r="DU32" s="41" t="s">
        <v>434</v>
      </c>
      <c r="DV32" s="41" t="s">
        <v>446</v>
      </c>
      <c r="DW32" s="41"/>
      <c r="DX32" s="41">
        <v>67392919</v>
      </c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9"/>
      <c r="GI32" s="48"/>
      <c r="GJ32" s="49"/>
      <c r="GK32" s="49"/>
      <c r="GL32" s="49"/>
      <c r="GM32" s="49"/>
      <c r="GN32" s="49"/>
      <c r="GO32" s="49">
        <f>34.16/1000000*DX32</f>
        <v>2302.1421130399999</v>
      </c>
      <c r="GP32" s="49"/>
    </row>
    <row r="33" spans="125:198" x14ac:dyDescent="0.35">
      <c r="DU33" s="41" t="s">
        <v>434</v>
      </c>
      <c r="DV33" s="41" t="s">
        <v>447</v>
      </c>
      <c r="DW33" s="41"/>
      <c r="DX33" s="41">
        <v>34497540</v>
      </c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9"/>
      <c r="GI33" s="48"/>
      <c r="GJ33" s="49"/>
      <c r="GK33" s="49"/>
      <c r="GL33" s="49"/>
      <c r="GM33" s="49"/>
      <c r="GN33" s="49"/>
      <c r="GO33" s="49"/>
      <c r="GP33" s="49"/>
    </row>
    <row r="34" spans="125:198" x14ac:dyDescent="0.35">
      <c r="DU34" s="41" t="s">
        <v>434</v>
      </c>
      <c r="DV34" s="41" t="s">
        <v>448</v>
      </c>
      <c r="DW34" s="41"/>
      <c r="DX34" s="41">
        <v>26680770</v>
      </c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9"/>
      <c r="GI34" s="48"/>
      <c r="GJ34" s="49"/>
      <c r="GK34" s="49"/>
      <c r="GL34" s="49"/>
      <c r="GM34" s="49"/>
      <c r="GN34" s="49"/>
      <c r="GO34" s="49">
        <f>34.16/1000000*DX34</f>
        <v>911.41510319999998</v>
      </c>
      <c r="GP34" s="49"/>
    </row>
    <row r="35" spans="125:198" x14ac:dyDescent="0.35">
      <c r="DU35" s="41" t="s">
        <v>434</v>
      </c>
      <c r="DV35" s="41" t="s">
        <v>449</v>
      </c>
      <c r="DW35" s="41"/>
      <c r="DX35" s="41">
        <v>29569320</v>
      </c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9"/>
      <c r="GI35" s="48"/>
      <c r="GJ35" s="49"/>
      <c r="GK35" s="49"/>
      <c r="GL35" s="49"/>
      <c r="GM35" s="49"/>
      <c r="GN35" s="49"/>
      <c r="GO35" s="49">
        <f>34.16/1000000*DX35</f>
        <v>1010.0879712</v>
      </c>
      <c r="GP35" s="49"/>
    </row>
    <row r="36" spans="125:198" x14ac:dyDescent="0.35">
      <c r="DU36" s="39" t="s">
        <v>439</v>
      </c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39"/>
      <c r="FV36" s="39"/>
      <c r="FW36" s="40"/>
      <c r="FX36" s="44">
        <v>82.3</v>
      </c>
      <c r="FY36" s="40"/>
      <c r="FZ36" s="40"/>
      <c r="GA36" s="40"/>
      <c r="GB36" s="40"/>
      <c r="GC36" s="40"/>
      <c r="GD36" s="44">
        <f>82.3+37.4</f>
        <v>119.69999999999999</v>
      </c>
      <c r="GE36" s="40"/>
      <c r="GF36" s="40">
        <f>93.5</f>
        <v>93.5</v>
      </c>
      <c r="GG36" s="40"/>
      <c r="GH36" s="40"/>
      <c r="GI36" s="40">
        <f>158.6</f>
        <v>158.6</v>
      </c>
      <c r="GJ36" s="44">
        <f>82.3+37.4</f>
        <v>119.69999999999999</v>
      </c>
      <c r="GK36" s="40"/>
      <c r="GL36" s="40">
        <f>93.5</f>
        <v>93.5</v>
      </c>
      <c r="GM36" s="40"/>
      <c r="GN36" s="40"/>
      <c r="GO36" s="40"/>
      <c r="GP36" s="44">
        <v>119.7</v>
      </c>
    </row>
    <row r="37" spans="125:198" x14ac:dyDescent="0.35">
      <c r="DU37" s="39" t="s">
        <v>179</v>
      </c>
      <c r="DV37" s="39" t="s">
        <v>440</v>
      </c>
      <c r="DW37" s="41"/>
      <c r="DX37" s="41">
        <v>57500000</v>
      </c>
      <c r="DY37" s="41"/>
      <c r="DZ37" s="41"/>
      <c r="EA37" s="41"/>
      <c r="EB37" s="41"/>
      <c r="EC37" s="45">
        <v>144.80000000000001</v>
      </c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</row>
    <row r="38" spans="125:198" x14ac:dyDescent="0.35">
      <c r="DU38" s="39" t="s">
        <v>442</v>
      </c>
      <c r="DV38" s="39" t="s">
        <v>441</v>
      </c>
      <c r="DW38" s="41"/>
      <c r="DX38" s="39">
        <v>1750000</v>
      </c>
      <c r="DY38" s="41"/>
      <c r="DZ38" s="41"/>
      <c r="EA38" s="45">
        <f>1030.97*1750000/1000000</f>
        <v>1804.1975</v>
      </c>
      <c r="EB38" s="41"/>
      <c r="EC38" s="41"/>
      <c r="ED38" s="41"/>
      <c r="EE38" s="41"/>
      <c r="EF38" s="41"/>
      <c r="EG38" s="45">
        <f>1244.95*1750000/1000000</f>
        <v>2178.6624999999999</v>
      </c>
      <c r="EH38" s="41"/>
      <c r="EI38" s="41"/>
      <c r="EJ38" s="41"/>
      <c r="EK38" s="41"/>
      <c r="EL38" s="41"/>
      <c r="EM38" s="45">
        <f>1212.06*1750000/1000000</f>
        <v>2121.105</v>
      </c>
      <c r="EN38" s="41"/>
      <c r="EO38" s="41"/>
      <c r="EP38" s="41"/>
      <c r="EQ38" s="41"/>
      <c r="ER38" s="41"/>
      <c r="ES38" s="45">
        <f>895.2*1750000/1000000</f>
        <v>1566.6</v>
      </c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</row>
    <row r="39" spans="125:198" x14ac:dyDescent="0.35">
      <c r="DU39" s="39" t="s">
        <v>444</v>
      </c>
      <c r="DV39" s="39" t="s">
        <v>443</v>
      </c>
      <c r="DW39" s="41"/>
      <c r="DX39" s="39">
        <v>4050000</v>
      </c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>
        <f>29.5*DX39/1000000</f>
        <v>119.47499999999999</v>
      </c>
      <c r="EU39" s="41"/>
      <c r="EV39" s="41"/>
      <c r="EW39" s="41"/>
      <c r="EX39" s="41"/>
      <c r="EY39" s="41"/>
      <c r="EZ39" s="41">
        <f>29.5*DX39/1000000</f>
        <v>119.47499999999999</v>
      </c>
      <c r="FA39" s="41"/>
      <c r="FB39" s="41"/>
      <c r="FC39" s="41"/>
      <c r="FD39" s="41"/>
      <c r="FE39" s="41"/>
      <c r="FF39" s="41"/>
      <c r="FG39" s="41">
        <f>46.95*DX39/1000000</f>
        <v>190.14750000000001</v>
      </c>
      <c r="FH39" s="41"/>
      <c r="FI39" s="41"/>
      <c r="FJ39" s="41"/>
      <c r="FK39" s="41"/>
      <c r="FL39" s="41">
        <f>46.95*DX39/1000000</f>
        <v>190.14750000000001</v>
      </c>
      <c r="FM39" s="41"/>
      <c r="FN39" s="41"/>
      <c r="FO39" s="41"/>
      <c r="FP39" s="41"/>
      <c r="FQ39" s="41"/>
      <c r="FR39" s="41">
        <f>64.7*DX39/1000000</f>
        <v>262.03500000000003</v>
      </c>
      <c r="FS39" s="41"/>
      <c r="FT39" s="41"/>
      <c r="FU39" s="41"/>
      <c r="FV39" s="41"/>
      <c r="FW39" s="41"/>
      <c r="FX39" s="41">
        <f>64.7*DX39/1000000</f>
        <v>262.03500000000003</v>
      </c>
      <c r="FY39" s="41"/>
      <c r="FZ39" s="41"/>
      <c r="GA39" s="41"/>
      <c r="GB39" s="41"/>
      <c r="GC39" s="41"/>
      <c r="GD39" s="41">
        <f>42.1*DX39/1000000</f>
        <v>170.505</v>
      </c>
      <c r="GE39" s="41"/>
      <c r="GF39" s="41"/>
      <c r="GG39" s="41"/>
      <c r="GH39" s="41"/>
      <c r="GI39" s="41"/>
      <c r="GJ39" s="41">
        <f>42.1*DX39/1000000</f>
        <v>170.505</v>
      </c>
      <c r="GK39" s="41"/>
      <c r="GL39" s="41"/>
      <c r="GM39" s="41"/>
      <c r="GN39" s="41"/>
      <c r="GO39" s="41"/>
      <c r="GP39" s="41">
        <f>52.6*DX39/1000000</f>
        <v>213.03</v>
      </c>
    </row>
    <row r="40" spans="125:198" x14ac:dyDescent="0.35">
      <c r="DU40" s="47"/>
      <c r="DV40" s="47"/>
      <c r="DX40" s="47"/>
    </row>
    <row r="41" spans="125:198" x14ac:dyDescent="0.35">
      <c r="DU41" s="47"/>
      <c r="DV41" s="47"/>
      <c r="DX41" s="47"/>
    </row>
    <row r="42" spans="125:198" x14ac:dyDescent="0.35">
      <c r="DU42" s="47"/>
      <c r="DV42" s="47"/>
      <c r="DX42" s="47"/>
    </row>
    <row r="43" spans="125:198" x14ac:dyDescent="0.35">
      <c r="DU43" s="47"/>
      <c r="DV43" s="47"/>
      <c r="DX43" s="47"/>
    </row>
    <row r="44" spans="125:198" ht="15" thickBot="1" x14ac:dyDescent="0.4">
      <c r="GI44" t="s">
        <v>260</v>
      </c>
      <c r="GJ44" t="s">
        <v>261</v>
      </c>
      <c r="GK44" t="s">
        <v>260</v>
      </c>
    </row>
    <row r="45" spans="125:198" x14ac:dyDescent="0.35">
      <c r="GH45" t="s">
        <v>264</v>
      </c>
      <c r="GI45" s="35">
        <v>1943.5</v>
      </c>
      <c r="GJ45" s="34">
        <v>56685.4</v>
      </c>
      <c r="GK45" s="34">
        <f>GJ45/GJ48</f>
        <v>631.65429994756153</v>
      </c>
    </row>
    <row r="46" spans="125:198" x14ac:dyDescent="0.35">
      <c r="GH46" t="s">
        <v>265</v>
      </c>
      <c r="GI46" s="36">
        <v>1875.5</v>
      </c>
      <c r="GJ46" s="34">
        <v>50583</v>
      </c>
      <c r="GK46" s="34">
        <f>GJ46/GJ48</f>
        <v>563.65429994756153</v>
      </c>
    </row>
    <row r="47" spans="125:198" ht="15" thickBot="1" x14ac:dyDescent="0.4">
      <c r="GH47" t="s">
        <v>263</v>
      </c>
      <c r="GI47" s="37">
        <f>GI46-GI45</f>
        <v>-68</v>
      </c>
      <c r="GJ47" s="34">
        <f>GJ46-GJ45</f>
        <v>-6102.4000000000015</v>
      </c>
      <c r="GK47" s="34">
        <f>GK46-GK45</f>
        <v>-68</v>
      </c>
    </row>
    <row r="48" spans="125:198" x14ac:dyDescent="0.35">
      <c r="GH48" t="s">
        <v>262</v>
      </c>
      <c r="GJ48">
        <f>GJ47/GI47</f>
        <v>89.741176470588258</v>
      </c>
    </row>
    <row r="51" spans="189:194" x14ac:dyDescent="0.35">
      <c r="GI51" t="s">
        <v>455</v>
      </c>
      <c r="GJ51" t="s">
        <v>456</v>
      </c>
      <c r="GL51" t="s">
        <v>457</v>
      </c>
    </row>
    <row r="52" spans="189:194" x14ac:dyDescent="0.35">
      <c r="GG52" t="s">
        <v>454</v>
      </c>
      <c r="GH52" t="s">
        <v>423</v>
      </c>
      <c r="GI52">
        <v>1000</v>
      </c>
      <c r="GJ52">
        <v>823.6</v>
      </c>
      <c r="GL52">
        <v>52.78</v>
      </c>
    </row>
    <row r="53" spans="189:194" x14ac:dyDescent="0.35">
      <c r="GG53" t="s">
        <v>453</v>
      </c>
      <c r="GH53">
        <v>1156206</v>
      </c>
    </row>
    <row r="54" spans="189:194" x14ac:dyDescent="0.35">
      <c r="GL54" s="34">
        <f>-GL52*GH53*GJ48/1000000</f>
        <v>-5476.4151510945894</v>
      </c>
    </row>
    <row r="55" spans="189:194" x14ac:dyDescent="0.35">
      <c r="GL55" s="34">
        <f>GJ47-GL54</f>
        <v>-625.98484890541204</v>
      </c>
    </row>
    <row r="56" spans="189:194" x14ac:dyDescent="0.35">
      <c r="GG56" t="s">
        <v>454</v>
      </c>
      <c r="GH56" t="s">
        <v>424</v>
      </c>
    </row>
    <row r="57" spans="189:194" x14ac:dyDescent="0.35">
      <c r="GG57" t="s">
        <v>453</v>
      </c>
      <c r="GH57">
        <v>1207024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"/>
  <sheetViews>
    <sheetView topLeftCell="F4" workbookViewId="0">
      <selection activeCell="J22" sqref="J22"/>
    </sheetView>
  </sheetViews>
  <sheetFormatPr defaultRowHeight="13" x14ac:dyDescent="0.3"/>
  <cols>
    <col min="1" max="1" width="8.7265625" style="9"/>
    <col min="2" max="2" width="10.1796875" style="9" customWidth="1"/>
    <col min="3" max="3" width="13.54296875" style="9" bestFit="1" customWidth="1"/>
    <col min="4" max="4" width="10.08984375" style="9" bestFit="1" customWidth="1"/>
    <col min="5" max="5" width="10.81640625" style="9" bestFit="1" customWidth="1"/>
    <col min="6" max="6" width="20.6328125" style="9" customWidth="1"/>
    <col min="7" max="9" width="8.7265625" style="9"/>
    <col min="10" max="10" width="67.36328125" style="9" customWidth="1"/>
    <col min="11" max="11" width="20.08984375" style="9" customWidth="1"/>
    <col min="12" max="12" width="24.90625" style="9" bestFit="1" customWidth="1"/>
    <col min="13" max="13" width="6.81640625" style="9" customWidth="1"/>
    <col min="14" max="14" width="11.1796875" style="9" customWidth="1"/>
    <col min="15" max="16384" width="8.7265625" style="9"/>
  </cols>
  <sheetData>
    <row r="1" spans="1:14" ht="14.5" x14ac:dyDescent="0.35">
      <c r="A1" s="9" t="s">
        <v>71</v>
      </c>
      <c r="B1" s="9" t="s">
        <v>72</v>
      </c>
      <c r="C1" s="9" t="s">
        <v>79</v>
      </c>
      <c r="D1" s="9" t="s">
        <v>73</v>
      </c>
      <c r="E1" s="9" t="s">
        <v>74</v>
      </c>
      <c r="F1" s="9" t="s">
        <v>75</v>
      </c>
      <c r="G1" s="9" t="s">
        <v>76</v>
      </c>
      <c r="J1"/>
      <c r="K1"/>
    </row>
    <row r="2" spans="1:14" ht="14.5" x14ac:dyDescent="0.35">
      <c r="A2" s="9">
        <v>2026</v>
      </c>
      <c r="B2" s="9" t="s">
        <v>96</v>
      </c>
      <c r="C2" s="9">
        <v>-0.3</v>
      </c>
      <c r="D2" s="9" t="s">
        <v>65</v>
      </c>
      <c r="F2" s="9" t="s">
        <v>81</v>
      </c>
      <c r="G2" s="9" t="s">
        <v>105</v>
      </c>
      <c r="H2" s="9" t="s">
        <v>166</v>
      </c>
      <c r="J2" s="6" t="s">
        <v>162</v>
      </c>
      <c r="K2" s="14" t="s">
        <v>171</v>
      </c>
      <c r="L2"/>
      <c r="M2"/>
      <c r="N2"/>
    </row>
    <row r="3" spans="1:14" ht="14.5" x14ac:dyDescent="0.35">
      <c r="A3" s="9">
        <v>2026</v>
      </c>
      <c r="B3" s="9" t="s">
        <v>96</v>
      </c>
      <c r="C3" s="9">
        <v>-306.7</v>
      </c>
      <c r="D3" s="9" t="s">
        <v>65</v>
      </c>
      <c r="F3" s="9" t="s">
        <v>81</v>
      </c>
      <c r="G3" s="9" t="s">
        <v>249</v>
      </c>
      <c r="H3" s="9" t="s">
        <v>166</v>
      </c>
      <c r="J3" s="6" t="s">
        <v>163</v>
      </c>
      <c r="K3" t="s">
        <v>65</v>
      </c>
      <c r="L3" t="s">
        <v>98</v>
      </c>
      <c r="M3" t="s">
        <v>165</v>
      </c>
      <c r="N3" t="s">
        <v>164</v>
      </c>
    </row>
    <row r="4" spans="1:14" ht="14.5" x14ac:dyDescent="0.35">
      <c r="A4" s="9">
        <v>2026</v>
      </c>
      <c r="B4" s="9" t="s">
        <v>96</v>
      </c>
      <c r="C4" s="9">
        <v>-1020.1</v>
      </c>
      <c r="D4" s="9" t="s">
        <v>65</v>
      </c>
      <c r="F4" s="10" t="s">
        <v>92</v>
      </c>
      <c r="H4" s="9" t="s">
        <v>166</v>
      </c>
      <c r="J4" s="18" t="s">
        <v>123</v>
      </c>
      <c r="K4" s="50"/>
      <c r="L4" s="50">
        <v>57500</v>
      </c>
      <c r="M4" s="15"/>
      <c r="N4" s="15">
        <v>57500</v>
      </c>
    </row>
    <row r="5" spans="1:14" ht="14.5" x14ac:dyDescent="0.35">
      <c r="A5" s="9">
        <v>2026</v>
      </c>
      <c r="B5" s="9" t="s">
        <v>96</v>
      </c>
      <c r="C5" s="9">
        <v>-23.6</v>
      </c>
      <c r="D5" s="9" t="s">
        <v>65</v>
      </c>
      <c r="F5" s="9" t="s">
        <v>69</v>
      </c>
      <c r="G5" s="9" t="s">
        <v>78</v>
      </c>
      <c r="H5" s="9" t="s">
        <v>166</v>
      </c>
      <c r="J5" s="18" t="s">
        <v>69</v>
      </c>
      <c r="K5" s="50">
        <v>181492.90000000002</v>
      </c>
      <c r="L5" s="50"/>
      <c r="M5" s="15"/>
      <c r="N5" s="15">
        <v>181492.90000000002</v>
      </c>
    </row>
    <row r="6" spans="1:14" ht="14.5" x14ac:dyDescent="0.35">
      <c r="A6" s="9">
        <v>2026</v>
      </c>
      <c r="B6" s="9" t="s">
        <v>96</v>
      </c>
      <c r="C6" s="9">
        <v>-188.8</v>
      </c>
      <c r="D6" s="9" t="s">
        <v>65</v>
      </c>
      <c r="F6" s="9" t="s">
        <v>69</v>
      </c>
      <c r="G6" s="9" t="s">
        <v>462</v>
      </c>
      <c r="H6" s="9" t="s">
        <v>166</v>
      </c>
      <c r="J6" s="18" t="s">
        <v>81</v>
      </c>
      <c r="K6" s="50">
        <v>520430.3</v>
      </c>
      <c r="L6" s="50"/>
      <c r="M6" s="15"/>
      <c r="N6" s="15">
        <v>520430.3</v>
      </c>
    </row>
    <row r="7" spans="1:14" ht="14.5" x14ac:dyDescent="0.35">
      <c r="A7" s="9">
        <v>2026</v>
      </c>
      <c r="B7" s="9" t="s">
        <v>96</v>
      </c>
      <c r="C7" s="9">
        <v>-294.5</v>
      </c>
      <c r="D7" s="9" t="s">
        <v>65</v>
      </c>
      <c r="F7" s="9" t="s">
        <v>69</v>
      </c>
      <c r="G7" s="9" t="s">
        <v>84</v>
      </c>
      <c r="H7" s="9" t="s">
        <v>166</v>
      </c>
      <c r="J7" s="18" t="s">
        <v>110</v>
      </c>
      <c r="K7" s="50">
        <v>36999.899999999994</v>
      </c>
      <c r="L7" s="50"/>
      <c r="M7" s="15"/>
      <c r="N7" s="15">
        <v>36999.899999999994</v>
      </c>
    </row>
    <row r="8" spans="1:14" ht="14.5" x14ac:dyDescent="0.35">
      <c r="A8" s="9">
        <v>2026</v>
      </c>
      <c r="B8" s="9" t="s">
        <v>96</v>
      </c>
      <c r="C8" s="9">
        <v>-655.4</v>
      </c>
      <c r="D8" s="9" t="s">
        <v>65</v>
      </c>
      <c r="F8" s="9" t="s">
        <v>69</v>
      </c>
      <c r="G8" s="9" t="s">
        <v>91</v>
      </c>
      <c r="H8" s="9" t="s">
        <v>166</v>
      </c>
      <c r="J8" s="18" t="s">
        <v>99</v>
      </c>
      <c r="K8" s="50"/>
      <c r="L8" s="50">
        <v>255141.3</v>
      </c>
      <c r="M8" s="15"/>
      <c r="N8" s="15">
        <v>255141.3</v>
      </c>
    </row>
    <row r="9" spans="1:14" ht="14.5" x14ac:dyDescent="0.35">
      <c r="A9" s="9">
        <v>2026</v>
      </c>
      <c r="B9" s="9" t="s">
        <v>96</v>
      </c>
      <c r="C9" s="9">
        <v>-1718.6</v>
      </c>
      <c r="D9" s="9" t="s">
        <v>65</v>
      </c>
      <c r="F9" s="9" t="s">
        <v>82</v>
      </c>
      <c r="G9" s="9" t="s">
        <v>83</v>
      </c>
      <c r="H9" s="9" t="s">
        <v>166</v>
      </c>
      <c r="J9" s="18" t="s">
        <v>85</v>
      </c>
      <c r="K9" s="50">
        <v>117247.90000000001</v>
      </c>
      <c r="L9" s="50"/>
      <c r="M9" s="15"/>
      <c r="N9" s="15">
        <v>117247.90000000001</v>
      </c>
    </row>
    <row r="10" spans="1:14" ht="14.5" x14ac:dyDescent="0.35">
      <c r="A10" s="9">
        <v>2026</v>
      </c>
      <c r="B10" s="9" t="s">
        <v>96</v>
      </c>
      <c r="C10" s="9">
        <v>115.5</v>
      </c>
      <c r="D10" s="9" t="s">
        <v>65</v>
      </c>
      <c r="F10" s="9" t="s">
        <v>69</v>
      </c>
      <c r="G10" s="9" t="s">
        <v>78</v>
      </c>
      <c r="H10" s="9" t="s">
        <v>166</v>
      </c>
      <c r="J10" s="18" t="s">
        <v>82</v>
      </c>
      <c r="K10" s="50">
        <v>175784.69999999998</v>
      </c>
      <c r="L10" s="50"/>
      <c r="M10" s="15"/>
      <c r="N10" s="15">
        <v>175784.69999999998</v>
      </c>
    </row>
    <row r="11" spans="1:14" ht="14.5" x14ac:dyDescent="0.35">
      <c r="A11" s="9">
        <v>2026</v>
      </c>
      <c r="B11" s="9" t="s">
        <v>97</v>
      </c>
      <c r="C11" s="9">
        <v>-37.799999999999997</v>
      </c>
      <c r="D11" s="9" t="s">
        <v>65</v>
      </c>
      <c r="F11" s="9" t="s">
        <v>81</v>
      </c>
      <c r="G11" s="9" t="s">
        <v>249</v>
      </c>
      <c r="H11" s="9" t="s">
        <v>166</v>
      </c>
      <c r="J11" s="18" t="s">
        <v>113</v>
      </c>
      <c r="K11" s="50">
        <v>-23202</v>
      </c>
      <c r="L11" s="50"/>
      <c r="M11" s="15"/>
      <c r="N11" s="15">
        <v>-23202</v>
      </c>
    </row>
    <row r="12" spans="1:14" ht="14.5" x14ac:dyDescent="0.35">
      <c r="A12" s="9">
        <v>2026</v>
      </c>
      <c r="B12" s="9" t="s">
        <v>97</v>
      </c>
      <c r="C12" s="9">
        <v>-149.30000000000001</v>
      </c>
      <c r="D12" s="9" t="s">
        <v>65</v>
      </c>
      <c r="F12" s="9" t="s">
        <v>66</v>
      </c>
      <c r="G12" s="9" t="s">
        <v>222</v>
      </c>
      <c r="H12" s="9" t="s">
        <v>166</v>
      </c>
      <c r="J12" s="18" t="s">
        <v>107</v>
      </c>
      <c r="K12" s="50">
        <v>0</v>
      </c>
      <c r="L12" s="50"/>
      <c r="M12" s="15"/>
      <c r="N12" s="15">
        <v>0</v>
      </c>
    </row>
    <row r="13" spans="1:14" ht="14.5" x14ac:dyDescent="0.35">
      <c r="A13" s="9">
        <v>2026</v>
      </c>
      <c r="B13" s="9" t="s">
        <v>97</v>
      </c>
      <c r="C13" s="9">
        <v>-497.1</v>
      </c>
      <c r="D13" s="9" t="s">
        <v>65</v>
      </c>
      <c r="F13" s="9" t="s">
        <v>69</v>
      </c>
      <c r="G13" s="9" t="s">
        <v>91</v>
      </c>
      <c r="H13" s="9" t="s">
        <v>166</v>
      </c>
      <c r="J13" s="18" t="s">
        <v>125</v>
      </c>
      <c r="K13" s="50">
        <v>4050</v>
      </c>
      <c r="L13" s="50"/>
      <c r="M13" s="15"/>
      <c r="N13" s="15">
        <v>4050</v>
      </c>
    </row>
    <row r="14" spans="1:14" ht="14.5" x14ac:dyDescent="0.35">
      <c r="A14" s="9">
        <v>2026</v>
      </c>
      <c r="B14" s="9" t="s">
        <v>97</v>
      </c>
      <c r="C14" s="9">
        <v>-804.7</v>
      </c>
      <c r="D14" s="9" t="s">
        <v>65</v>
      </c>
      <c r="F14" s="10" t="s">
        <v>92</v>
      </c>
      <c r="H14" s="9" t="s">
        <v>166</v>
      </c>
      <c r="J14" s="18" t="s">
        <v>66</v>
      </c>
      <c r="K14" s="50">
        <v>112851</v>
      </c>
      <c r="L14" s="50"/>
      <c r="M14" s="15"/>
      <c r="N14" s="15">
        <v>112851</v>
      </c>
    </row>
    <row r="15" spans="1:14" ht="14.5" x14ac:dyDescent="0.35">
      <c r="A15" s="9">
        <v>2026</v>
      </c>
      <c r="B15" s="9" t="s">
        <v>97</v>
      </c>
      <c r="C15" s="9">
        <v>3159.4</v>
      </c>
      <c r="D15" s="9" t="s">
        <v>65</v>
      </c>
      <c r="F15" s="9" t="s">
        <v>69</v>
      </c>
      <c r="G15" s="9" t="s">
        <v>78</v>
      </c>
      <c r="H15" s="9" t="s">
        <v>166</v>
      </c>
      <c r="J15" s="18" t="s">
        <v>165</v>
      </c>
      <c r="K15" s="50"/>
      <c r="L15" s="50"/>
      <c r="M15" s="15"/>
      <c r="N15" s="15"/>
    </row>
    <row r="16" spans="1:14" ht="14.5" x14ac:dyDescent="0.35">
      <c r="A16" s="9">
        <v>2026</v>
      </c>
      <c r="B16" s="9" t="s">
        <v>102</v>
      </c>
      <c r="C16" s="9">
        <v>-95.5</v>
      </c>
      <c r="D16" s="9" t="s">
        <v>65</v>
      </c>
      <c r="F16" s="9" t="s">
        <v>69</v>
      </c>
      <c r="G16" s="9" t="s">
        <v>70</v>
      </c>
      <c r="H16" s="9" t="s">
        <v>166</v>
      </c>
      <c r="J16" s="18" t="s">
        <v>92</v>
      </c>
      <c r="K16" s="50">
        <v>-38426.599999999984</v>
      </c>
      <c r="L16" s="50"/>
      <c r="M16" s="15"/>
      <c r="N16" s="15">
        <v>-38426.599999999984</v>
      </c>
    </row>
    <row r="17" spans="1:14" ht="14.5" x14ac:dyDescent="0.35">
      <c r="A17" s="9">
        <v>2026</v>
      </c>
      <c r="B17" s="9" t="s">
        <v>102</v>
      </c>
      <c r="C17" s="9">
        <v>-123.7</v>
      </c>
      <c r="D17" s="9" t="s">
        <v>65</v>
      </c>
      <c r="F17" s="9" t="s">
        <v>69</v>
      </c>
      <c r="G17" s="9" t="s">
        <v>78</v>
      </c>
      <c r="H17" s="9" t="s">
        <v>166</v>
      </c>
      <c r="J17" s="18" t="s">
        <v>86</v>
      </c>
      <c r="K17" s="15">
        <v>-2298.9</v>
      </c>
      <c r="L17" s="15"/>
      <c r="M17" s="15"/>
      <c r="N17" s="15">
        <v>-2298.9</v>
      </c>
    </row>
    <row r="18" spans="1:14" ht="14.5" x14ac:dyDescent="0.35">
      <c r="A18" s="9">
        <v>2026</v>
      </c>
      <c r="B18" s="9" t="s">
        <v>102</v>
      </c>
      <c r="C18" s="9">
        <v>-222.8</v>
      </c>
      <c r="D18" s="9" t="s">
        <v>65</v>
      </c>
      <c r="F18" s="9" t="s">
        <v>69</v>
      </c>
      <c r="G18" s="9" t="s">
        <v>84</v>
      </c>
      <c r="H18" s="9" t="s">
        <v>166</v>
      </c>
      <c r="J18" s="18" t="s">
        <v>94</v>
      </c>
      <c r="K18" s="15">
        <v>-11851.9</v>
      </c>
      <c r="L18" s="15"/>
      <c r="M18" s="15"/>
      <c r="N18" s="15">
        <v>-11851.9</v>
      </c>
    </row>
    <row r="19" spans="1:14" ht="14.5" x14ac:dyDescent="0.35">
      <c r="A19" s="9">
        <v>2026</v>
      </c>
      <c r="B19" s="9" t="s">
        <v>102</v>
      </c>
      <c r="C19" s="9">
        <v>-342.6</v>
      </c>
      <c r="D19" s="9" t="s">
        <v>65</v>
      </c>
      <c r="F19" s="9" t="s">
        <v>69</v>
      </c>
      <c r="G19" s="9" t="s">
        <v>91</v>
      </c>
      <c r="H19" s="9" t="s">
        <v>166</v>
      </c>
      <c r="J19" s="18" t="s">
        <v>220</v>
      </c>
      <c r="K19" s="15">
        <v>111093.5</v>
      </c>
      <c r="L19" s="15"/>
      <c r="M19" s="15"/>
      <c r="N19" s="15">
        <v>111093.5</v>
      </c>
    </row>
    <row r="20" spans="1:14" ht="14.5" x14ac:dyDescent="0.35">
      <c r="A20" s="9">
        <v>2026</v>
      </c>
      <c r="B20" s="9" t="s">
        <v>102</v>
      </c>
      <c r="C20" s="9">
        <v>-0.2</v>
      </c>
      <c r="D20" s="9" t="s">
        <v>65</v>
      </c>
      <c r="F20" s="9" t="s">
        <v>81</v>
      </c>
      <c r="G20" s="9" t="s">
        <v>106</v>
      </c>
      <c r="H20" s="9" t="s">
        <v>166</v>
      </c>
      <c r="J20" s="16" t="s">
        <v>164</v>
      </c>
      <c r="K20" s="15">
        <v>1184170.8</v>
      </c>
      <c r="L20" s="15">
        <v>312641.3</v>
      </c>
      <c r="M20" s="15"/>
      <c r="N20" s="15">
        <v>1496812.0999999999</v>
      </c>
    </row>
    <row r="21" spans="1:14" x14ac:dyDescent="0.3">
      <c r="A21" s="9">
        <v>2026</v>
      </c>
      <c r="B21" s="9" t="s">
        <v>102</v>
      </c>
      <c r="C21" s="9">
        <v>-1.2</v>
      </c>
      <c r="D21" s="9" t="s">
        <v>65</v>
      </c>
      <c r="F21" s="9" t="s">
        <v>81</v>
      </c>
      <c r="G21" s="9" t="s">
        <v>105</v>
      </c>
      <c r="H21" s="9" t="s">
        <v>166</v>
      </c>
    </row>
    <row r="22" spans="1:14" x14ac:dyDescent="0.3">
      <c r="A22" s="9">
        <v>2026</v>
      </c>
      <c r="B22" s="9" t="s">
        <v>102</v>
      </c>
      <c r="C22" s="9">
        <v>-788.7</v>
      </c>
      <c r="D22" s="9" t="s">
        <v>65</v>
      </c>
      <c r="F22" s="9" t="s">
        <v>81</v>
      </c>
      <c r="G22" s="9" t="s">
        <v>249</v>
      </c>
      <c r="H22" s="9" t="s">
        <v>166</v>
      </c>
    </row>
    <row r="23" spans="1:14" x14ac:dyDescent="0.3">
      <c r="A23" s="9">
        <v>2026</v>
      </c>
      <c r="B23" s="9" t="s">
        <v>102</v>
      </c>
      <c r="C23" s="9">
        <v>-969.2</v>
      </c>
      <c r="D23" s="9" t="s">
        <v>65</v>
      </c>
      <c r="F23" s="9" t="s">
        <v>82</v>
      </c>
      <c r="H23" s="9" t="s">
        <v>166</v>
      </c>
    </row>
    <row r="24" spans="1:14" x14ac:dyDescent="0.3">
      <c r="A24" s="9">
        <v>2026</v>
      </c>
      <c r="B24" s="9" t="s">
        <v>102</v>
      </c>
      <c r="C24" s="9">
        <v>-2666.7</v>
      </c>
      <c r="D24" s="9" t="s">
        <v>65</v>
      </c>
      <c r="F24" s="10" t="s">
        <v>92</v>
      </c>
      <c r="H24" s="9" t="s">
        <v>166</v>
      </c>
    </row>
    <row r="25" spans="1:14" x14ac:dyDescent="0.3">
      <c r="A25" s="9">
        <v>2026</v>
      </c>
      <c r="B25" s="9" t="s">
        <v>103</v>
      </c>
      <c r="C25" s="9">
        <v>-0.4</v>
      </c>
      <c r="D25" s="9" t="s">
        <v>65</v>
      </c>
      <c r="F25" s="9" t="s">
        <v>81</v>
      </c>
      <c r="G25" s="9" t="s">
        <v>105</v>
      </c>
      <c r="H25" s="9" t="s">
        <v>166</v>
      </c>
    </row>
    <row r="26" spans="1:14" x14ac:dyDescent="0.3">
      <c r="A26" s="9">
        <v>2026</v>
      </c>
      <c r="B26" s="9" t="s">
        <v>103</v>
      </c>
      <c r="C26" s="9">
        <v>-535.5</v>
      </c>
      <c r="D26" s="9" t="s">
        <v>65</v>
      </c>
      <c r="F26" s="9" t="s">
        <v>81</v>
      </c>
      <c r="G26" s="9" t="s">
        <v>249</v>
      </c>
      <c r="H26" s="9" t="s">
        <v>166</v>
      </c>
    </row>
    <row r="27" spans="1:14" x14ac:dyDescent="0.3">
      <c r="A27" s="9">
        <v>2026</v>
      </c>
      <c r="B27" s="9" t="s">
        <v>103</v>
      </c>
      <c r="C27" s="9">
        <v>-22.6</v>
      </c>
      <c r="D27" s="9" t="s">
        <v>65</v>
      </c>
      <c r="F27" s="9" t="s">
        <v>69</v>
      </c>
      <c r="G27" s="9" t="s">
        <v>78</v>
      </c>
      <c r="H27" s="9" t="s">
        <v>166</v>
      </c>
    </row>
    <row r="28" spans="1:14" x14ac:dyDescent="0.3">
      <c r="A28" s="9">
        <v>2026</v>
      </c>
      <c r="B28" s="9" t="s">
        <v>103</v>
      </c>
      <c r="C28" s="9">
        <v>-94.6</v>
      </c>
      <c r="D28" s="9" t="s">
        <v>65</v>
      </c>
      <c r="F28" s="9" t="s">
        <v>69</v>
      </c>
      <c r="G28" s="9" t="s">
        <v>70</v>
      </c>
      <c r="H28" s="9" t="s">
        <v>166</v>
      </c>
    </row>
    <row r="29" spans="1:14" x14ac:dyDescent="0.3">
      <c r="A29" s="9">
        <v>2026</v>
      </c>
      <c r="B29" s="9" t="s">
        <v>103</v>
      </c>
      <c r="C29" s="9">
        <v>-184.5</v>
      </c>
      <c r="D29" s="9" t="s">
        <v>65</v>
      </c>
      <c r="F29" s="9" t="s">
        <v>69</v>
      </c>
      <c r="G29" s="9" t="s">
        <v>84</v>
      </c>
      <c r="H29" s="9" t="s">
        <v>166</v>
      </c>
    </row>
    <row r="30" spans="1:14" x14ac:dyDescent="0.3">
      <c r="A30" s="9">
        <v>2026</v>
      </c>
      <c r="B30" s="9" t="s">
        <v>103</v>
      </c>
      <c r="C30" s="9">
        <v>-642.1</v>
      </c>
      <c r="D30" s="9" t="s">
        <v>65</v>
      </c>
      <c r="F30" s="9" t="s">
        <v>69</v>
      </c>
      <c r="G30" s="9" t="s">
        <v>91</v>
      </c>
      <c r="H30" s="9" t="s">
        <v>166</v>
      </c>
    </row>
    <row r="31" spans="1:14" x14ac:dyDescent="0.3">
      <c r="A31" s="9">
        <v>2026</v>
      </c>
      <c r="B31" s="9" t="s">
        <v>103</v>
      </c>
      <c r="C31" s="9">
        <v>-1020.1</v>
      </c>
      <c r="D31" s="9" t="s">
        <v>65</v>
      </c>
      <c r="F31" s="10" t="s">
        <v>92</v>
      </c>
      <c r="H31" s="9" t="s">
        <v>166</v>
      </c>
    </row>
    <row r="32" spans="1:14" x14ac:dyDescent="0.3">
      <c r="A32" s="9">
        <v>2026</v>
      </c>
      <c r="B32" s="9" t="s">
        <v>103</v>
      </c>
      <c r="C32" s="9">
        <v>-1718.6</v>
      </c>
      <c r="D32" s="9" t="s">
        <v>65</v>
      </c>
      <c r="F32" s="9" t="s">
        <v>82</v>
      </c>
      <c r="G32" s="9" t="s">
        <v>83</v>
      </c>
      <c r="H32" s="9" t="s">
        <v>166</v>
      </c>
    </row>
    <row r="33" spans="1:8" x14ac:dyDescent="0.3">
      <c r="A33" s="9">
        <v>2026</v>
      </c>
      <c r="B33" s="9" t="s">
        <v>121</v>
      </c>
      <c r="C33" s="9">
        <v>-488.1</v>
      </c>
      <c r="D33" s="9" t="s">
        <v>65</v>
      </c>
      <c r="F33" s="9" t="s">
        <v>69</v>
      </c>
      <c r="G33" s="9" t="s">
        <v>91</v>
      </c>
      <c r="H33" s="9" t="s">
        <v>166</v>
      </c>
    </row>
    <row r="34" spans="1:8" x14ac:dyDescent="0.3">
      <c r="A34" s="9">
        <v>2026</v>
      </c>
      <c r="B34" s="9" t="s">
        <v>121</v>
      </c>
      <c r="C34" s="9">
        <v>-804.7</v>
      </c>
      <c r="D34" s="9" t="s">
        <v>65</v>
      </c>
      <c r="F34" s="10" t="s">
        <v>92</v>
      </c>
      <c r="H34" s="9" t="s">
        <v>166</v>
      </c>
    </row>
    <row r="35" spans="1:8" x14ac:dyDescent="0.3">
      <c r="A35" s="9">
        <v>2025</v>
      </c>
      <c r="B35" s="9" t="s">
        <v>104</v>
      </c>
      <c r="C35" s="9">
        <v>-239.8</v>
      </c>
      <c r="D35" s="9" t="s">
        <v>65</v>
      </c>
      <c r="F35" s="9" t="s">
        <v>82</v>
      </c>
      <c r="G35" s="9" t="s">
        <v>83</v>
      </c>
      <c r="H35" s="9" t="s">
        <v>166</v>
      </c>
    </row>
    <row r="36" spans="1:8" x14ac:dyDescent="0.3">
      <c r="A36" s="9">
        <v>2025</v>
      </c>
      <c r="B36" s="9" t="s">
        <v>104</v>
      </c>
      <c r="C36" s="9">
        <v>-94.9</v>
      </c>
      <c r="D36" s="9" t="s">
        <v>65</v>
      </c>
      <c r="F36" s="9" t="s">
        <v>69</v>
      </c>
      <c r="G36" s="9" t="s">
        <v>70</v>
      </c>
      <c r="H36" s="9" t="s">
        <v>166</v>
      </c>
    </row>
    <row r="37" spans="1:8" x14ac:dyDescent="0.3">
      <c r="A37" s="9">
        <v>2025</v>
      </c>
      <c r="B37" s="9" t="s">
        <v>104</v>
      </c>
      <c r="C37" s="9">
        <v>-95.7</v>
      </c>
      <c r="D37" s="9" t="s">
        <v>65</v>
      </c>
      <c r="F37" s="9" t="s">
        <v>69</v>
      </c>
      <c r="G37" s="9" t="s">
        <v>78</v>
      </c>
      <c r="H37" s="9" t="s">
        <v>166</v>
      </c>
    </row>
    <row r="38" spans="1:8" x14ac:dyDescent="0.3">
      <c r="A38" s="9">
        <v>2025</v>
      </c>
      <c r="B38" s="9" t="s">
        <v>104</v>
      </c>
      <c r="C38" s="9">
        <v>-221.4</v>
      </c>
      <c r="D38" s="9" t="s">
        <v>65</v>
      </c>
      <c r="F38" s="9" t="s">
        <v>69</v>
      </c>
      <c r="G38" s="9" t="s">
        <v>84</v>
      </c>
      <c r="H38" s="9" t="s">
        <v>166</v>
      </c>
    </row>
    <row r="39" spans="1:8" x14ac:dyDescent="0.3">
      <c r="A39" s="9">
        <v>2025</v>
      </c>
      <c r="B39" s="9" t="s">
        <v>104</v>
      </c>
      <c r="C39" s="9">
        <v>-340.1</v>
      </c>
      <c r="D39" s="9" t="s">
        <v>65</v>
      </c>
      <c r="F39" s="9" t="s">
        <v>69</v>
      </c>
      <c r="G39" s="9" t="s">
        <v>91</v>
      </c>
      <c r="H39" s="9" t="s">
        <v>166</v>
      </c>
    </row>
    <row r="40" spans="1:8" x14ac:dyDescent="0.3">
      <c r="A40" s="9">
        <v>2025</v>
      </c>
      <c r="B40" s="9" t="s">
        <v>104</v>
      </c>
      <c r="C40" s="9">
        <v>-0.1</v>
      </c>
      <c r="D40" s="9" t="s">
        <v>65</v>
      </c>
      <c r="F40" s="9" t="s">
        <v>81</v>
      </c>
      <c r="G40" s="9" t="s">
        <v>106</v>
      </c>
      <c r="H40" s="9" t="s">
        <v>166</v>
      </c>
    </row>
    <row r="41" spans="1:8" x14ac:dyDescent="0.3">
      <c r="A41" s="9">
        <v>2025</v>
      </c>
      <c r="B41" s="9" t="s">
        <v>104</v>
      </c>
      <c r="C41" s="9">
        <v>-1.2</v>
      </c>
      <c r="D41" s="9" t="s">
        <v>65</v>
      </c>
      <c r="F41" s="9" t="s">
        <v>81</v>
      </c>
      <c r="G41" s="9" t="s">
        <v>105</v>
      </c>
      <c r="H41" s="9" t="s">
        <v>166</v>
      </c>
    </row>
    <row r="42" spans="1:8" x14ac:dyDescent="0.3">
      <c r="A42" s="9">
        <v>2025</v>
      </c>
      <c r="B42" s="9" t="s">
        <v>104</v>
      </c>
      <c r="C42" s="9">
        <v>-3391.9</v>
      </c>
      <c r="D42" s="9" t="s">
        <v>65</v>
      </c>
      <c r="F42" s="9" t="s">
        <v>81</v>
      </c>
      <c r="G42" s="9" t="s">
        <v>249</v>
      </c>
      <c r="H42" s="9" t="s">
        <v>166</v>
      </c>
    </row>
    <row r="43" spans="1:8" x14ac:dyDescent="0.3">
      <c r="A43" s="9">
        <v>2025</v>
      </c>
      <c r="B43" s="9" t="s">
        <v>104</v>
      </c>
      <c r="C43" s="9">
        <v>-2666.7</v>
      </c>
      <c r="D43" s="9" t="s">
        <v>65</v>
      </c>
      <c r="F43" s="10" t="s">
        <v>92</v>
      </c>
      <c r="H43" s="9" t="s">
        <v>166</v>
      </c>
    </row>
    <row r="44" spans="1:8" x14ac:dyDescent="0.3">
      <c r="A44" s="9">
        <v>2025</v>
      </c>
      <c r="B44" s="9" t="s">
        <v>104</v>
      </c>
      <c r="C44" s="9">
        <v>2002.7</v>
      </c>
      <c r="D44" s="9" t="s">
        <v>65</v>
      </c>
      <c r="F44" s="9" t="s">
        <v>66</v>
      </c>
      <c r="G44" s="9" t="s">
        <v>205</v>
      </c>
      <c r="H44" s="9" t="s">
        <v>166</v>
      </c>
    </row>
    <row r="45" spans="1:8" x14ac:dyDescent="0.3">
      <c r="A45" s="9">
        <v>2025</v>
      </c>
      <c r="B45" s="9" t="s">
        <v>104</v>
      </c>
      <c r="C45" s="9">
        <v>7000</v>
      </c>
      <c r="D45" s="9" t="s">
        <v>65</v>
      </c>
      <c r="F45" s="9" t="s">
        <v>82</v>
      </c>
      <c r="H45" s="9" t="s">
        <v>166</v>
      </c>
    </row>
    <row r="46" spans="1:8" x14ac:dyDescent="0.3">
      <c r="A46" s="9">
        <v>2025</v>
      </c>
      <c r="B46" s="9" t="s">
        <v>109</v>
      </c>
      <c r="C46" s="9">
        <v>-1718.6</v>
      </c>
      <c r="D46" s="9" t="s">
        <v>65</v>
      </c>
      <c r="F46" s="9" t="s">
        <v>82</v>
      </c>
      <c r="G46" s="9" t="s">
        <v>83</v>
      </c>
      <c r="H46" s="9" t="s">
        <v>166</v>
      </c>
    </row>
    <row r="47" spans="1:8" x14ac:dyDescent="0.3">
      <c r="A47" s="9">
        <v>2025</v>
      </c>
      <c r="B47" s="9" t="s">
        <v>109</v>
      </c>
      <c r="C47" s="9">
        <v>-16.2</v>
      </c>
      <c r="D47" s="9" t="s">
        <v>65</v>
      </c>
      <c r="F47" s="9" t="s">
        <v>69</v>
      </c>
      <c r="G47" s="9" t="s">
        <v>78</v>
      </c>
      <c r="H47" s="9" t="s">
        <v>166</v>
      </c>
    </row>
    <row r="48" spans="1:8" x14ac:dyDescent="0.3">
      <c r="A48" s="9">
        <v>2025</v>
      </c>
      <c r="B48" s="9" t="s">
        <v>109</v>
      </c>
      <c r="C48" s="9">
        <v>-52</v>
      </c>
      <c r="D48" s="9" t="s">
        <v>65</v>
      </c>
      <c r="F48" s="9" t="s">
        <v>69</v>
      </c>
      <c r="G48" s="9" t="s">
        <v>70</v>
      </c>
      <c r="H48" s="9" t="s">
        <v>166</v>
      </c>
    </row>
    <row r="49" spans="1:11" x14ac:dyDescent="0.3">
      <c r="A49" s="9">
        <v>2025</v>
      </c>
      <c r="B49" s="9" t="s">
        <v>109</v>
      </c>
      <c r="C49" s="9">
        <v>-184.1</v>
      </c>
      <c r="D49" s="9" t="s">
        <v>65</v>
      </c>
      <c r="F49" s="9" t="s">
        <v>69</v>
      </c>
      <c r="G49" s="9" t="s">
        <v>84</v>
      </c>
      <c r="H49" s="9" t="s">
        <v>166</v>
      </c>
    </row>
    <row r="50" spans="1:11" x14ac:dyDescent="0.3">
      <c r="A50" s="9">
        <v>2025</v>
      </c>
      <c r="B50" s="9" t="s">
        <v>109</v>
      </c>
      <c r="C50" s="9">
        <v>-634.1</v>
      </c>
      <c r="D50" s="9" t="s">
        <v>65</v>
      </c>
      <c r="F50" s="9" t="s">
        <v>69</v>
      </c>
      <c r="G50" s="9" t="s">
        <v>91</v>
      </c>
      <c r="H50" s="9" t="s">
        <v>166</v>
      </c>
    </row>
    <row r="51" spans="1:11" x14ac:dyDescent="0.3">
      <c r="A51" s="9">
        <v>2025</v>
      </c>
      <c r="B51" s="9" t="s">
        <v>109</v>
      </c>
      <c r="C51" s="9">
        <v>-0.4</v>
      </c>
      <c r="D51" s="9" t="s">
        <v>65</v>
      </c>
      <c r="F51" s="9" t="s">
        <v>81</v>
      </c>
      <c r="G51" s="9" t="s">
        <v>105</v>
      </c>
      <c r="H51" s="9" t="s">
        <v>166</v>
      </c>
    </row>
    <row r="52" spans="1:11" x14ac:dyDescent="0.3">
      <c r="A52" s="9">
        <v>2025</v>
      </c>
      <c r="B52" s="9" t="s">
        <v>109</v>
      </c>
      <c r="C52" s="9">
        <v>-306.60000000000002</v>
      </c>
      <c r="D52" s="9" t="s">
        <v>65</v>
      </c>
      <c r="F52" s="9" t="s">
        <v>81</v>
      </c>
      <c r="G52" s="9" t="s">
        <v>249</v>
      </c>
      <c r="H52" s="9" t="s">
        <v>166</v>
      </c>
    </row>
    <row r="53" spans="1:11" ht="14.5" x14ac:dyDescent="0.35">
      <c r="A53" s="9">
        <v>2025</v>
      </c>
      <c r="B53" s="9" t="s">
        <v>109</v>
      </c>
      <c r="C53" s="9">
        <v>-1020.1</v>
      </c>
      <c r="D53" s="9" t="s">
        <v>65</v>
      </c>
      <c r="F53" s="10" t="s">
        <v>92</v>
      </c>
      <c r="H53" s="9" t="s">
        <v>166</v>
      </c>
      <c r="J53"/>
      <c r="K53"/>
    </row>
    <row r="54" spans="1:11" ht="14.5" x14ac:dyDescent="0.35">
      <c r="A54" s="9">
        <v>2025</v>
      </c>
      <c r="B54" s="9" t="s">
        <v>109</v>
      </c>
      <c r="C54" s="9">
        <v>1228.0999999999999</v>
      </c>
      <c r="D54" s="9" t="s">
        <v>65</v>
      </c>
      <c r="F54" s="9" t="s">
        <v>66</v>
      </c>
      <c r="G54" s="9" t="s">
        <v>205</v>
      </c>
      <c r="H54" s="9" t="s">
        <v>166</v>
      </c>
      <c r="J54"/>
      <c r="K54"/>
    </row>
    <row r="55" spans="1:11" x14ac:dyDescent="0.3">
      <c r="A55" s="9">
        <v>2025</v>
      </c>
      <c r="B55" s="9" t="s">
        <v>111</v>
      </c>
      <c r="C55" s="9">
        <v>-482.4</v>
      </c>
      <c r="D55" s="9" t="s">
        <v>65</v>
      </c>
      <c r="F55" s="9" t="s">
        <v>69</v>
      </c>
      <c r="G55" s="9" t="s">
        <v>91</v>
      </c>
      <c r="H55" s="9" t="s">
        <v>166</v>
      </c>
    </row>
    <row r="56" spans="1:11" x14ac:dyDescent="0.3">
      <c r="A56" s="9">
        <v>2025</v>
      </c>
      <c r="B56" s="9" t="s">
        <v>111</v>
      </c>
      <c r="C56" s="9">
        <v>-37.799999999999997</v>
      </c>
      <c r="D56" s="9" t="s">
        <v>65</v>
      </c>
      <c r="F56" s="9" t="s">
        <v>81</v>
      </c>
      <c r="G56" s="9" t="s">
        <v>249</v>
      </c>
      <c r="H56" s="9" t="s">
        <v>166</v>
      </c>
    </row>
    <row r="57" spans="1:11" x14ac:dyDescent="0.3">
      <c r="A57" s="9">
        <v>2025</v>
      </c>
      <c r="B57" s="9" t="s">
        <v>111</v>
      </c>
      <c r="C57" s="9">
        <v>-804.7</v>
      </c>
      <c r="D57" s="9" t="s">
        <v>65</v>
      </c>
      <c r="F57" s="10" t="s">
        <v>92</v>
      </c>
      <c r="H57" s="9" t="s">
        <v>166</v>
      </c>
    </row>
    <row r="58" spans="1:11" x14ac:dyDescent="0.3">
      <c r="A58" s="9">
        <v>2025</v>
      </c>
      <c r="B58" s="9" t="s">
        <v>111</v>
      </c>
      <c r="C58" s="9">
        <v>347.3</v>
      </c>
      <c r="D58" s="9" t="s">
        <v>65</v>
      </c>
      <c r="F58" s="9" t="s">
        <v>66</v>
      </c>
      <c r="G58" s="9" t="s">
        <v>205</v>
      </c>
      <c r="H58" s="9" t="s">
        <v>166</v>
      </c>
    </row>
    <row r="59" spans="1:11" x14ac:dyDescent="0.3">
      <c r="A59" s="9">
        <v>2025</v>
      </c>
      <c r="B59" s="9" t="s">
        <v>111</v>
      </c>
      <c r="C59" s="9">
        <v>426.4</v>
      </c>
      <c r="D59" s="9" t="s">
        <v>65</v>
      </c>
      <c r="F59" s="9" t="s">
        <v>69</v>
      </c>
      <c r="G59" s="9" t="s">
        <v>78</v>
      </c>
      <c r="H59" s="9" t="s">
        <v>166</v>
      </c>
    </row>
    <row r="60" spans="1:11" x14ac:dyDescent="0.3">
      <c r="A60" s="9">
        <v>2025</v>
      </c>
      <c r="B60" s="9" t="s">
        <v>77</v>
      </c>
      <c r="C60" s="9">
        <v>-239.8</v>
      </c>
      <c r="D60" s="9" t="s">
        <v>65</v>
      </c>
      <c r="F60" s="9" t="s">
        <v>82</v>
      </c>
      <c r="H60" s="9" t="s">
        <v>166</v>
      </c>
    </row>
    <row r="61" spans="1:11" x14ac:dyDescent="0.3">
      <c r="A61" s="9">
        <v>2025</v>
      </c>
      <c r="B61" s="9" t="s">
        <v>77</v>
      </c>
      <c r="C61" s="9">
        <v>-94.3</v>
      </c>
      <c r="D61" s="9" t="s">
        <v>65</v>
      </c>
      <c r="F61" s="9" t="s">
        <v>69</v>
      </c>
      <c r="G61" s="9" t="s">
        <v>70</v>
      </c>
      <c r="H61" s="9" t="s">
        <v>166</v>
      </c>
    </row>
    <row r="62" spans="1:11" x14ac:dyDescent="0.3">
      <c r="A62" s="9">
        <v>2025</v>
      </c>
      <c r="B62" s="9" t="s">
        <v>77</v>
      </c>
      <c r="C62" s="9">
        <v>-52.1</v>
      </c>
      <c r="D62" s="9" t="s">
        <v>65</v>
      </c>
      <c r="F62" s="9" t="s">
        <v>69</v>
      </c>
      <c r="G62" s="9" t="s">
        <v>78</v>
      </c>
      <c r="H62" s="9" t="s">
        <v>166</v>
      </c>
    </row>
    <row r="63" spans="1:11" x14ac:dyDescent="0.3">
      <c r="A63" s="9">
        <v>2025</v>
      </c>
      <c r="B63" s="9" t="s">
        <v>77</v>
      </c>
      <c r="C63" s="9">
        <v>-220</v>
      </c>
      <c r="D63" s="9" t="s">
        <v>65</v>
      </c>
      <c r="F63" s="9" t="s">
        <v>69</v>
      </c>
      <c r="G63" s="9" t="s">
        <v>84</v>
      </c>
      <c r="H63" s="9" t="s">
        <v>166</v>
      </c>
    </row>
    <row r="64" spans="1:11" x14ac:dyDescent="0.3">
      <c r="A64" s="9">
        <v>2025</v>
      </c>
      <c r="B64" s="9" t="s">
        <v>77</v>
      </c>
      <c r="C64" s="9">
        <v>-331.3</v>
      </c>
      <c r="D64" s="9" t="s">
        <v>65</v>
      </c>
      <c r="F64" s="9" t="s">
        <v>69</v>
      </c>
      <c r="G64" s="9" t="s">
        <v>91</v>
      </c>
      <c r="H64" s="9" t="s">
        <v>166</v>
      </c>
    </row>
    <row r="65" spans="1:8" x14ac:dyDescent="0.3">
      <c r="A65" s="9">
        <v>2025</v>
      </c>
      <c r="B65" s="9" t="s">
        <v>77</v>
      </c>
      <c r="C65" s="9">
        <v>-0.1</v>
      </c>
      <c r="D65" s="9" t="s">
        <v>65</v>
      </c>
      <c r="F65" s="9" t="s">
        <v>81</v>
      </c>
      <c r="G65" s="9" t="s">
        <v>106</v>
      </c>
      <c r="H65" s="9" t="s">
        <v>166</v>
      </c>
    </row>
    <row r="66" spans="1:8" x14ac:dyDescent="0.3">
      <c r="A66" s="9">
        <v>2025</v>
      </c>
      <c r="B66" s="9" t="s">
        <v>77</v>
      </c>
      <c r="C66" s="9">
        <v>-1.1000000000000001</v>
      </c>
      <c r="D66" s="9" t="s">
        <v>65</v>
      </c>
      <c r="F66" s="9" t="s">
        <v>81</v>
      </c>
      <c r="G66" s="9" t="s">
        <v>105</v>
      </c>
      <c r="H66" s="9" t="s">
        <v>166</v>
      </c>
    </row>
    <row r="67" spans="1:8" x14ac:dyDescent="0.3">
      <c r="A67" s="9">
        <v>2025</v>
      </c>
      <c r="B67" s="9" t="s">
        <v>77</v>
      </c>
      <c r="C67" s="9">
        <v>-788.7</v>
      </c>
      <c r="D67" s="9" t="s">
        <v>65</v>
      </c>
      <c r="F67" s="9" t="s">
        <v>81</v>
      </c>
      <c r="G67" s="9" t="s">
        <v>249</v>
      </c>
      <c r="H67" s="9" t="s">
        <v>166</v>
      </c>
    </row>
    <row r="68" spans="1:8" x14ac:dyDescent="0.3">
      <c r="A68" s="9">
        <v>2025</v>
      </c>
      <c r="B68" s="9" t="s">
        <v>77</v>
      </c>
      <c r="C68" s="9">
        <v>-2666.7</v>
      </c>
      <c r="D68" s="9" t="s">
        <v>65</v>
      </c>
      <c r="F68" s="10" t="s">
        <v>92</v>
      </c>
      <c r="H68" s="9" t="s">
        <v>166</v>
      </c>
    </row>
    <row r="69" spans="1:8" x14ac:dyDescent="0.3">
      <c r="A69" s="9">
        <v>2025</v>
      </c>
      <c r="B69" s="9" t="s">
        <v>77</v>
      </c>
      <c r="C69" s="9">
        <v>156.9</v>
      </c>
      <c r="D69" s="9" t="s">
        <v>65</v>
      </c>
      <c r="F69" s="9" t="s">
        <v>66</v>
      </c>
      <c r="G69" s="9" t="s">
        <v>205</v>
      </c>
      <c r="H69" s="9" t="s">
        <v>166</v>
      </c>
    </row>
    <row r="70" spans="1:8" x14ac:dyDescent="0.3">
      <c r="A70" s="9">
        <v>2025</v>
      </c>
      <c r="B70" s="9" t="s">
        <v>80</v>
      </c>
      <c r="C70" s="9">
        <v>-0.4</v>
      </c>
      <c r="D70" s="9" t="s">
        <v>65</v>
      </c>
      <c r="F70" s="9" t="s">
        <v>81</v>
      </c>
      <c r="G70" s="9" t="s">
        <v>105</v>
      </c>
      <c r="H70" s="9" t="s">
        <v>166</v>
      </c>
    </row>
    <row r="71" spans="1:8" x14ac:dyDescent="0.3">
      <c r="A71" s="9">
        <v>2025</v>
      </c>
      <c r="B71" s="9" t="s">
        <v>80</v>
      </c>
      <c r="C71" s="9">
        <v>-535.5</v>
      </c>
      <c r="D71" s="9" t="s">
        <v>65</v>
      </c>
      <c r="F71" s="9" t="s">
        <v>81</v>
      </c>
      <c r="G71" s="9" t="s">
        <v>249</v>
      </c>
      <c r="H71" s="9" t="s">
        <v>166</v>
      </c>
    </row>
    <row r="72" spans="1:8" x14ac:dyDescent="0.3">
      <c r="A72" s="9">
        <v>2025</v>
      </c>
      <c r="B72" s="9" t="s">
        <v>80</v>
      </c>
      <c r="C72" s="9">
        <v>-2.2000000000000002</v>
      </c>
      <c r="D72" s="9" t="s">
        <v>65</v>
      </c>
      <c r="F72" s="9" t="s">
        <v>69</v>
      </c>
      <c r="G72" s="9" t="s">
        <v>78</v>
      </c>
      <c r="H72" s="9" t="s">
        <v>166</v>
      </c>
    </row>
    <row r="73" spans="1:8" x14ac:dyDescent="0.3">
      <c r="A73" s="9">
        <v>2025</v>
      </c>
      <c r="B73" s="9" t="s">
        <v>80</v>
      </c>
      <c r="C73" s="9">
        <v>-181.3</v>
      </c>
      <c r="D73" s="9" t="s">
        <v>65</v>
      </c>
      <c r="F73" s="9" t="s">
        <v>69</v>
      </c>
      <c r="G73" s="9" t="s">
        <v>84</v>
      </c>
      <c r="H73" s="9" t="s">
        <v>166</v>
      </c>
    </row>
    <row r="74" spans="1:8" x14ac:dyDescent="0.3">
      <c r="A74" s="9">
        <v>2025</v>
      </c>
      <c r="B74" s="9" t="s">
        <v>80</v>
      </c>
      <c r="C74" s="9">
        <v>-622.70000000000005</v>
      </c>
      <c r="D74" s="9" t="s">
        <v>65</v>
      </c>
      <c r="F74" s="9" t="s">
        <v>69</v>
      </c>
      <c r="G74" s="9" t="s">
        <v>91</v>
      </c>
      <c r="H74" s="9" t="s">
        <v>166</v>
      </c>
    </row>
    <row r="75" spans="1:8" x14ac:dyDescent="0.3">
      <c r="A75" s="9">
        <v>2025</v>
      </c>
      <c r="B75" s="9" t="s">
        <v>80</v>
      </c>
      <c r="C75" s="9">
        <v>-1020.1</v>
      </c>
      <c r="D75" s="9" t="s">
        <v>65</v>
      </c>
      <c r="F75" s="10" t="s">
        <v>92</v>
      </c>
    </row>
    <row r="76" spans="1:8" x14ac:dyDescent="0.3">
      <c r="A76" s="9">
        <v>2025</v>
      </c>
      <c r="B76" s="9" t="s">
        <v>80</v>
      </c>
      <c r="C76" s="9">
        <v>1230.9000000000001</v>
      </c>
      <c r="D76" s="9" t="s">
        <v>65</v>
      </c>
      <c r="F76" s="9" t="s">
        <v>66</v>
      </c>
      <c r="G76" s="9" t="s">
        <v>205</v>
      </c>
      <c r="H76" s="9" t="s">
        <v>166</v>
      </c>
    </row>
    <row r="77" spans="1:8" x14ac:dyDescent="0.3">
      <c r="A77" s="9">
        <v>2025</v>
      </c>
      <c r="B77" s="9" t="s">
        <v>90</v>
      </c>
      <c r="C77" s="9">
        <v>-474.1</v>
      </c>
      <c r="D77" s="9" t="s">
        <v>65</v>
      </c>
      <c r="F77" s="9" t="s">
        <v>69</v>
      </c>
      <c r="G77" s="9" t="s">
        <v>91</v>
      </c>
      <c r="H77" s="9" t="s">
        <v>166</v>
      </c>
    </row>
    <row r="78" spans="1:8" x14ac:dyDescent="0.3">
      <c r="A78" s="9">
        <v>2025</v>
      </c>
      <c r="B78" s="9" t="s">
        <v>90</v>
      </c>
      <c r="C78" s="9">
        <v>-804.7</v>
      </c>
      <c r="D78" s="9" t="s">
        <v>65</v>
      </c>
      <c r="F78" s="10" t="s">
        <v>92</v>
      </c>
    </row>
    <row r="79" spans="1:8" x14ac:dyDescent="0.3">
      <c r="A79" s="9">
        <v>2025</v>
      </c>
      <c r="B79" s="9" t="s">
        <v>96</v>
      </c>
      <c r="C79" s="9">
        <v>-1.2</v>
      </c>
      <c r="D79" s="9" t="s">
        <v>65</v>
      </c>
      <c r="F79" s="9" t="s">
        <v>81</v>
      </c>
      <c r="G79" s="9" t="s">
        <v>105</v>
      </c>
      <c r="H79" s="9" t="s">
        <v>166</v>
      </c>
    </row>
    <row r="80" spans="1:8" x14ac:dyDescent="0.3">
      <c r="A80" s="9">
        <v>2025</v>
      </c>
      <c r="B80" s="9" t="s">
        <v>96</v>
      </c>
      <c r="C80" s="9">
        <v>-15.8</v>
      </c>
      <c r="D80" s="9" t="s">
        <v>65</v>
      </c>
      <c r="F80" s="9" t="s">
        <v>69</v>
      </c>
      <c r="G80" s="9" t="s">
        <v>78</v>
      </c>
      <c r="H80" s="9" t="s">
        <v>166</v>
      </c>
    </row>
    <row r="81" spans="1:11" x14ac:dyDescent="0.3">
      <c r="A81" s="9">
        <v>2025</v>
      </c>
      <c r="B81" s="9" t="s">
        <v>96</v>
      </c>
      <c r="C81" s="9">
        <v>-76.2</v>
      </c>
      <c r="D81" s="9" t="s">
        <v>65</v>
      </c>
      <c r="F81" s="9" t="s">
        <v>69</v>
      </c>
      <c r="G81" s="9" t="s">
        <v>70</v>
      </c>
      <c r="H81" s="9" t="s">
        <v>166</v>
      </c>
    </row>
    <row r="82" spans="1:11" x14ac:dyDescent="0.3">
      <c r="A82" s="9">
        <v>2025</v>
      </c>
      <c r="B82" s="9" t="s">
        <v>96</v>
      </c>
      <c r="C82" s="9">
        <v>-178.4</v>
      </c>
      <c r="D82" s="9" t="s">
        <v>65</v>
      </c>
      <c r="F82" s="9" t="s">
        <v>69</v>
      </c>
      <c r="G82" s="9" t="s">
        <v>84</v>
      </c>
      <c r="H82" s="9" t="s">
        <v>166</v>
      </c>
    </row>
    <row r="83" spans="1:11" x14ac:dyDescent="0.3">
      <c r="A83" s="9">
        <v>2025</v>
      </c>
      <c r="B83" s="9" t="s">
        <v>96</v>
      </c>
      <c r="C83" s="9">
        <v>-326.3</v>
      </c>
      <c r="D83" s="9" t="s">
        <v>65</v>
      </c>
      <c r="F83" s="9" t="s">
        <v>69</v>
      </c>
      <c r="G83" s="9" t="s">
        <v>91</v>
      </c>
      <c r="H83" s="9" t="s">
        <v>166</v>
      </c>
    </row>
    <row r="84" spans="1:11" x14ac:dyDescent="0.3">
      <c r="A84" s="9">
        <v>2025</v>
      </c>
      <c r="B84" s="9" t="s">
        <v>96</v>
      </c>
      <c r="C84" s="9">
        <v>-2666.7</v>
      </c>
      <c r="D84" s="9" t="s">
        <v>65</v>
      </c>
      <c r="F84" s="10" t="s">
        <v>92</v>
      </c>
    </row>
    <row r="85" spans="1:11" x14ac:dyDescent="0.3">
      <c r="A85" s="9">
        <v>2025</v>
      </c>
      <c r="B85" s="9" t="s">
        <v>96</v>
      </c>
      <c r="C85" s="9">
        <v>3371.7</v>
      </c>
      <c r="D85" s="9" t="s">
        <v>65</v>
      </c>
      <c r="F85" s="9" t="s">
        <v>69</v>
      </c>
      <c r="G85" s="9" t="s">
        <v>78</v>
      </c>
      <c r="H85" s="9" t="s">
        <v>166</v>
      </c>
    </row>
    <row r="86" spans="1:11" x14ac:dyDescent="0.3">
      <c r="A86" s="9">
        <v>2025</v>
      </c>
      <c r="B86" s="9" t="s">
        <v>97</v>
      </c>
      <c r="C86" s="9">
        <v>-0.4</v>
      </c>
      <c r="D86" s="9" t="s">
        <v>65</v>
      </c>
      <c r="F86" s="9" t="s">
        <v>81</v>
      </c>
      <c r="G86" s="9" t="s">
        <v>105</v>
      </c>
      <c r="H86" s="9" t="s">
        <v>166</v>
      </c>
    </row>
    <row r="87" spans="1:11" x14ac:dyDescent="0.3">
      <c r="A87" s="9">
        <v>2025</v>
      </c>
      <c r="B87" s="9" t="s">
        <v>97</v>
      </c>
      <c r="C87" s="9">
        <v>-180.1</v>
      </c>
      <c r="D87" s="9" t="s">
        <v>65</v>
      </c>
      <c r="F87" s="9" t="s">
        <v>69</v>
      </c>
      <c r="G87" s="9" t="s">
        <v>84</v>
      </c>
      <c r="H87" s="9" t="s">
        <v>166</v>
      </c>
    </row>
    <row r="88" spans="1:11" x14ac:dyDescent="0.3">
      <c r="A88" s="9">
        <v>2025</v>
      </c>
      <c r="B88" s="9" t="s">
        <v>97</v>
      </c>
      <c r="C88" s="9">
        <v>-612.1</v>
      </c>
      <c r="D88" s="9" t="s">
        <v>65</v>
      </c>
      <c r="F88" s="9" t="s">
        <v>69</v>
      </c>
      <c r="G88" s="9" t="s">
        <v>91</v>
      </c>
      <c r="H88" s="9" t="s">
        <v>166</v>
      </c>
    </row>
    <row r="89" spans="1:11" ht="14.5" x14ac:dyDescent="0.35">
      <c r="A89" s="9">
        <v>2025</v>
      </c>
      <c r="B89" s="9" t="s">
        <v>97</v>
      </c>
      <c r="C89" s="9">
        <v>-1020.1</v>
      </c>
      <c r="D89" s="9" t="s">
        <v>65</v>
      </c>
      <c r="F89" s="10" t="s">
        <v>92</v>
      </c>
      <c r="J89"/>
      <c r="K89"/>
    </row>
    <row r="90" spans="1:11" ht="14.5" x14ac:dyDescent="0.35">
      <c r="A90" s="9">
        <v>2025</v>
      </c>
      <c r="B90" s="9" t="s">
        <v>97</v>
      </c>
      <c r="C90" s="9">
        <v>660.2</v>
      </c>
      <c r="D90" s="9" t="s">
        <v>65</v>
      </c>
      <c r="F90" s="9" t="s">
        <v>66</v>
      </c>
      <c r="G90" s="9" t="s">
        <v>222</v>
      </c>
      <c r="H90" s="9" t="s">
        <v>166</v>
      </c>
      <c r="J90"/>
      <c r="K90"/>
    </row>
    <row r="91" spans="1:11" ht="14.5" x14ac:dyDescent="0.35">
      <c r="A91" s="9">
        <v>2025</v>
      </c>
      <c r="B91" s="9" t="s">
        <v>97</v>
      </c>
      <c r="C91" s="9">
        <v>6579.2</v>
      </c>
      <c r="D91" s="9" t="s">
        <v>65</v>
      </c>
      <c r="F91" s="9" t="s">
        <v>69</v>
      </c>
      <c r="G91" s="9" t="s">
        <v>70</v>
      </c>
      <c r="H91" s="9" t="s">
        <v>166</v>
      </c>
      <c r="J91"/>
      <c r="K91"/>
    </row>
    <row r="92" spans="1:11" ht="14.5" x14ac:dyDescent="0.35">
      <c r="A92" s="9">
        <v>2025</v>
      </c>
      <c r="B92" s="9" t="s">
        <v>101</v>
      </c>
      <c r="C92" s="9">
        <v>-464.4</v>
      </c>
      <c r="D92" s="9" t="s">
        <v>65</v>
      </c>
      <c r="F92" s="9" t="s">
        <v>69</v>
      </c>
      <c r="G92" s="9" t="s">
        <v>91</v>
      </c>
      <c r="H92" s="9" t="s">
        <v>166</v>
      </c>
      <c r="J92"/>
      <c r="K92"/>
    </row>
    <row r="93" spans="1:11" ht="14.5" x14ac:dyDescent="0.35">
      <c r="A93" s="9">
        <v>2025</v>
      </c>
      <c r="B93" s="9" t="s">
        <v>101</v>
      </c>
      <c r="C93" s="9">
        <v>-804.7</v>
      </c>
      <c r="D93" s="9" t="s">
        <v>65</v>
      </c>
      <c r="F93" s="10" t="s">
        <v>92</v>
      </c>
      <c r="J93"/>
      <c r="K93"/>
    </row>
    <row r="94" spans="1:11" ht="14.5" x14ac:dyDescent="0.35">
      <c r="A94" s="9">
        <v>2025</v>
      </c>
      <c r="B94" s="9" t="s">
        <v>101</v>
      </c>
      <c r="C94" s="9">
        <v>374</v>
      </c>
      <c r="D94" s="9" t="s">
        <v>65</v>
      </c>
      <c r="F94" s="9" t="s">
        <v>66</v>
      </c>
      <c r="G94" s="9" t="s">
        <v>222</v>
      </c>
      <c r="H94" s="9" t="s">
        <v>166</v>
      </c>
      <c r="J94"/>
      <c r="K94"/>
    </row>
    <row r="95" spans="1:11" ht="14.5" x14ac:dyDescent="0.35">
      <c r="A95" s="9">
        <v>2025</v>
      </c>
      <c r="B95" s="9" t="s">
        <v>102</v>
      </c>
      <c r="C95" s="9">
        <v>-1.2</v>
      </c>
      <c r="D95" s="9" t="s">
        <v>65</v>
      </c>
      <c r="F95" s="9" t="s">
        <v>81</v>
      </c>
      <c r="G95" s="9" t="s">
        <v>105</v>
      </c>
      <c r="H95" s="9" t="s">
        <v>166</v>
      </c>
      <c r="J95"/>
      <c r="K95"/>
    </row>
    <row r="96" spans="1:11" ht="14.5" x14ac:dyDescent="0.35">
      <c r="A96" s="9">
        <v>2025</v>
      </c>
      <c r="B96" s="9" t="s">
        <v>102</v>
      </c>
      <c r="C96" s="9">
        <v>-5.9</v>
      </c>
      <c r="D96" s="9" t="s">
        <v>65</v>
      </c>
      <c r="F96" s="9" t="s">
        <v>69</v>
      </c>
      <c r="G96" s="9" t="s">
        <v>78</v>
      </c>
      <c r="H96" s="9" t="s">
        <v>166</v>
      </c>
      <c r="J96"/>
      <c r="K96"/>
    </row>
    <row r="97" spans="1:8" x14ac:dyDescent="0.3">
      <c r="A97" s="9">
        <v>2025</v>
      </c>
      <c r="B97" s="9" t="s">
        <v>102</v>
      </c>
      <c r="C97" s="9">
        <v>-128.19999999999999</v>
      </c>
      <c r="D97" s="9" t="s">
        <v>65</v>
      </c>
      <c r="F97" s="9" t="s">
        <v>69</v>
      </c>
      <c r="G97" s="9" t="s">
        <v>91</v>
      </c>
      <c r="H97" s="9" t="s">
        <v>166</v>
      </c>
    </row>
    <row r="98" spans="1:8" x14ac:dyDescent="0.3">
      <c r="A98" s="9">
        <v>2025</v>
      </c>
      <c r="B98" s="9" t="s">
        <v>102</v>
      </c>
      <c r="C98" s="9">
        <v>-2666.7</v>
      </c>
      <c r="D98" s="9" t="s">
        <v>65</v>
      </c>
      <c r="F98" s="10" t="s">
        <v>92</v>
      </c>
      <c r="H98" s="9" t="s">
        <v>166</v>
      </c>
    </row>
    <row r="99" spans="1:8" x14ac:dyDescent="0.3">
      <c r="A99" s="9">
        <v>2025</v>
      </c>
      <c r="B99" s="9" t="s">
        <v>102</v>
      </c>
      <c r="C99" s="9">
        <v>2563</v>
      </c>
      <c r="D99" s="9" t="s">
        <v>65</v>
      </c>
      <c r="F99" s="9" t="s">
        <v>69</v>
      </c>
      <c r="G99" s="9" t="s">
        <v>78</v>
      </c>
      <c r="H99" s="9" t="s">
        <v>166</v>
      </c>
    </row>
    <row r="100" spans="1:8" x14ac:dyDescent="0.3">
      <c r="A100" s="9">
        <v>2025</v>
      </c>
      <c r="B100" s="9" t="s">
        <v>103</v>
      </c>
      <c r="C100" s="9">
        <v>-0.4</v>
      </c>
      <c r="D100" s="9" t="s">
        <v>65</v>
      </c>
      <c r="F100" s="9" t="s">
        <v>81</v>
      </c>
      <c r="G100" s="9" t="s">
        <v>105</v>
      </c>
      <c r="H100" s="9" t="s">
        <v>166</v>
      </c>
    </row>
    <row r="101" spans="1:8" x14ac:dyDescent="0.3">
      <c r="A101" s="9">
        <v>2025</v>
      </c>
      <c r="B101" s="9" t="s">
        <v>103</v>
      </c>
      <c r="C101" s="9">
        <v>-179.9</v>
      </c>
      <c r="D101" s="9" t="s">
        <v>65</v>
      </c>
      <c r="F101" s="9" t="s">
        <v>69</v>
      </c>
      <c r="G101" s="9" t="s">
        <v>84</v>
      </c>
      <c r="H101" s="9" t="s">
        <v>166</v>
      </c>
    </row>
    <row r="102" spans="1:8" x14ac:dyDescent="0.3">
      <c r="A102" s="9">
        <v>2025</v>
      </c>
      <c r="B102" s="9" t="s">
        <v>103</v>
      </c>
      <c r="C102" s="9">
        <v>-404.5</v>
      </c>
      <c r="D102" s="9" t="s">
        <v>65</v>
      </c>
      <c r="F102" s="9" t="s">
        <v>69</v>
      </c>
      <c r="G102" s="9" t="s">
        <v>91</v>
      </c>
      <c r="H102" s="9" t="s">
        <v>166</v>
      </c>
    </row>
    <row r="103" spans="1:8" x14ac:dyDescent="0.3">
      <c r="A103" s="9">
        <v>2025</v>
      </c>
      <c r="B103" s="9" t="s">
        <v>103</v>
      </c>
      <c r="C103" s="9">
        <v>-1020.1</v>
      </c>
      <c r="D103" s="9" t="s">
        <v>65</v>
      </c>
      <c r="F103" s="10" t="s">
        <v>92</v>
      </c>
    </row>
    <row r="104" spans="1:8" x14ac:dyDescent="0.3">
      <c r="A104" s="9">
        <v>2025</v>
      </c>
      <c r="B104" s="9" t="s">
        <v>121</v>
      </c>
      <c r="C104" s="9">
        <v>-254.1</v>
      </c>
      <c r="D104" s="9" t="s">
        <v>65</v>
      </c>
      <c r="F104" s="9" t="s">
        <v>69</v>
      </c>
      <c r="G104" s="9" t="s">
        <v>91</v>
      </c>
      <c r="H104" s="9" t="s">
        <v>166</v>
      </c>
    </row>
    <row r="105" spans="1:8" x14ac:dyDescent="0.3">
      <c r="A105" s="9">
        <v>2025</v>
      </c>
      <c r="B105" s="9" t="s">
        <v>121</v>
      </c>
      <c r="C105" s="9">
        <v>-804.7</v>
      </c>
      <c r="D105" s="9" t="s">
        <v>65</v>
      </c>
      <c r="F105" s="10" t="s">
        <v>92</v>
      </c>
    </row>
    <row r="106" spans="1:8" x14ac:dyDescent="0.3">
      <c r="A106" s="9">
        <v>2024</v>
      </c>
      <c r="B106" s="9" t="s">
        <v>104</v>
      </c>
      <c r="C106" s="9">
        <v>-5.4</v>
      </c>
      <c r="D106" s="9" t="s">
        <v>65</v>
      </c>
      <c r="F106" s="9" t="s">
        <v>69</v>
      </c>
      <c r="G106" s="9" t="s">
        <v>78</v>
      </c>
      <c r="H106" s="9" t="s">
        <v>166</v>
      </c>
    </row>
    <row r="107" spans="1:8" x14ac:dyDescent="0.3">
      <c r="A107" s="9">
        <v>2024</v>
      </c>
      <c r="B107" s="9" t="s">
        <v>104</v>
      </c>
      <c r="C107" s="9">
        <v>-126.8</v>
      </c>
      <c r="D107" s="9" t="s">
        <v>65</v>
      </c>
      <c r="F107" s="9" t="s">
        <v>69</v>
      </c>
      <c r="G107" s="9" t="s">
        <v>91</v>
      </c>
      <c r="H107" s="9" t="s">
        <v>166</v>
      </c>
    </row>
    <row r="108" spans="1:8" x14ac:dyDescent="0.3">
      <c r="A108" s="9">
        <v>2024</v>
      </c>
      <c r="B108" s="9" t="s">
        <v>104</v>
      </c>
      <c r="C108" s="9">
        <v>-2666.7</v>
      </c>
      <c r="D108" s="9" t="s">
        <v>65</v>
      </c>
      <c r="F108" s="10" t="s">
        <v>92</v>
      </c>
      <c r="H108" s="9" t="s">
        <v>166</v>
      </c>
    </row>
    <row r="109" spans="1:8" x14ac:dyDescent="0.3">
      <c r="A109" s="9">
        <v>2024</v>
      </c>
      <c r="B109" s="9" t="s">
        <v>104</v>
      </c>
      <c r="C109" s="9">
        <v>347.4</v>
      </c>
      <c r="D109" s="9" t="s">
        <v>65</v>
      </c>
      <c r="E109" s="9">
        <v>347398</v>
      </c>
      <c r="F109" s="9" t="s">
        <v>69</v>
      </c>
      <c r="G109" s="9" t="s">
        <v>78</v>
      </c>
      <c r="H109" s="9" t="s">
        <v>166</v>
      </c>
    </row>
    <row r="110" spans="1:8" x14ac:dyDescent="0.3">
      <c r="A110" s="9">
        <v>2024</v>
      </c>
      <c r="B110" s="9" t="s">
        <v>104</v>
      </c>
      <c r="C110" s="9">
        <v>564.4</v>
      </c>
      <c r="D110" s="9" t="s">
        <v>65</v>
      </c>
      <c r="E110" s="9">
        <v>564369</v>
      </c>
      <c r="F110" s="9" t="s">
        <v>66</v>
      </c>
      <c r="G110" s="9" t="s">
        <v>222</v>
      </c>
      <c r="H110" s="9" t="s">
        <v>166</v>
      </c>
    </row>
    <row r="111" spans="1:8" x14ac:dyDescent="0.3">
      <c r="A111" s="9">
        <v>2024</v>
      </c>
      <c r="B111" s="9" t="s">
        <v>104</v>
      </c>
      <c r="C111" s="9">
        <v>2519.9</v>
      </c>
      <c r="D111" s="9" t="s">
        <v>65</v>
      </c>
      <c r="E111" s="9">
        <v>2519900</v>
      </c>
      <c r="F111" s="9" t="s">
        <v>81</v>
      </c>
      <c r="G111" s="9" t="s">
        <v>64</v>
      </c>
      <c r="H111" s="9" t="s">
        <v>166</v>
      </c>
    </row>
    <row r="112" spans="1:8" x14ac:dyDescent="0.3">
      <c r="A112" s="9">
        <v>2024</v>
      </c>
      <c r="B112" s="9" t="s">
        <v>104</v>
      </c>
      <c r="C112" s="9">
        <v>6286.5</v>
      </c>
      <c r="D112" s="9" t="s">
        <v>65</v>
      </c>
      <c r="E112" s="9">
        <v>6286533</v>
      </c>
      <c r="F112" s="9" t="s">
        <v>69</v>
      </c>
      <c r="G112" s="9" t="s">
        <v>91</v>
      </c>
      <c r="H112" s="9" t="s">
        <v>166</v>
      </c>
    </row>
    <row r="113" spans="1:8" x14ac:dyDescent="0.3">
      <c r="A113" s="9">
        <v>2024</v>
      </c>
      <c r="B113" s="9" t="s">
        <v>104</v>
      </c>
      <c r="C113" s="9">
        <v>32841.800000000003</v>
      </c>
      <c r="D113" s="9" t="s">
        <v>65</v>
      </c>
      <c r="E113" s="9">
        <v>32841792</v>
      </c>
      <c r="F113" s="9" t="s">
        <v>81</v>
      </c>
      <c r="G113" s="9" t="s">
        <v>68</v>
      </c>
      <c r="H113" s="9" t="s">
        <v>166</v>
      </c>
    </row>
    <row r="114" spans="1:8" x14ac:dyDescent="0.3">
      <c r="A114" s="9">
        <v>2024</v>
      </c>
      <c r="B114" s="9" t="s">
        <v>104</v>
      </c>
      <c r="C114" s="9">
        <v>111093.5</v>
      </c>
      <c r="D114" s="9" t="s">
        <v>65</v>
      </c>
      <c r="E114" s="9">
        <v>111093512</v>
      </c>
      <c r="F114" s="9" t="s">
        <v>220</v>
      </c>
      <c r="G114" s="9" t="s">
        <v>221</v>
      </c>
      <c r="H114" s="9" t="s">
        <v>166</v>
      </c>
    </row>
    <row r="115" spans="1:8" x14ac:dyDescent="0.3">
      <c r="A115" s="9">
        <v>2024</v>
      </c>
      <c r="B115" s="9" t="s">
        <v>109</v>
      </c>
      <c r="C115" s="9">
        <v>-78.900000000000006</v>
      </c>
      <c r="D115" s="9" t="s">
        <v>65</v>
      </c>
      <c r="F115" s="9" t="s">
        <v>69</v>
      </c>
      <c r="G115" s="9" t="s">
        <v>84</v>
      </c>
      <c r="H115" s="9" t="s">
        <v>166</v>
      </c>
    </row>
    <row r="116" spans="1:8" x14ac:dyDescent="0.3">
      <c r="A116" s="9">
        <v>2024</v>
      </c>
      <c r="B116" s="9" t="s">
        <v>109</v>
      </c>
      <c r="C116" s="9">
        <v>-218.5</v>
      </c>
      <c r="D116" s="9" t="s">
        <v>65</v>
      </c>
      <c r="F116" s="9" t="s">
        <v>69</v>
      </c>
      <c r="G116" s="9" t="s">
        <v>91</v>
      </c>
      <c r="H116" s="9" t="s">
        <v>166</v>
      </c>
    </row>
    <row r="117" spans="1:8" x14ac:dyDescent="0.3">
      <c r="A117" s="9">
        <v>2024</v>
      </c>
      <c r="B117" s="9" t="s">
        <v>109</v>
      </c>
      <c r="C117" s="9">
        <v>-1020.1</v>
      </c>
      <c r="D117" s="9" t="s">
        <v>65</v>
      </c>
      <c r="F117" s="10" t="s">
        <v>92</v>
      </c>
      <c r="H117" s="9" t="s">
        <v>166</v>
      </c>
    </row>
    <row r="118" spans="1:8" x14ac:dyDescent="0.3">
      <c r="A118" s="9">
        <v>2024</v>
      </c>
      <c r="B118" s="9" t="s">
        <v>109</v>
      </c>
      <c r="C118" s="9">
        <v>2093.4</v>
      </c>
      <c r="D118" s="9" t="s">
        <v>65</v>
      </c>
      <c r="E118" s="9">
        <v>2093362</v>
      </c>
      <c r="F118" s="9" t="s">
        <v>66</v>
      </c>
      <c r="G118" s="9" t="s">
        <v>205</v>
      </c>
      <c r="H118" s="9" t="s">
        <v>166</v>
      </c>
    </row>
    <row r="119" spans="1:8" x14ac:dyDescent="0.3">
      <c r="A119" s="9">
        <v>2024</v>
      </c>
      <c r="B119" s="9" t="s">
        <v>109</v>
      </c>
      <c r="C119" s="9">
        <v>4779</v>
      </c>
      <c r="D119" s="9" t="s">
        <v>65</v>
      </c>
      <c r="E119" s="9">
        <v>4778963</v>
      </c>
      <c r="F119" s="9" t="s">
        <v>69</v>
      </c>
      <c r="G119" s="9" t="s">
        <v>78</v>
      </c>
      <c r="H119" s="9" t="s">
        <v>166</v>
      </c>
    </row>
    <row r="120" spans="1:8" x14ac:dyDescent="0.3">
      <c r="A120" s="9">
        <v>2024</v>
      </c>
      <c r="B120" s="9" t="s">
        <v>109</v>
      </c>
      <c r="C120" s="9">
        <v>6400</v>
      </c>
      <c r="D120" s="9" t="s">
        <v>65</v>
      </c>
      <c r="E120" s="9">
        <v>6400000</v>
      </c>
      <c r="F120" s="9" t="s">
        <v>69</v>
      </c>
      <c r="G120" s="9" t="s">
        <v>91</v>
      </c>
      <c r="H120" s="9" t="s">
        <v>166</v>
      </c>
    </row>
    <row r="121" spans="1:8" x14ac:dyDescent="0.3">
      <c r="A121" s="9">
        <v>2024</v>
      </c>
      <c r="B121" s="9" t="s">
        <v>111</v>
      </c>
      <c r="C121" s="9">
        <v>-131.69999999999999</v>
      </c>
      <c r="D121" s="9" t="s">
        <v>65</v>
      </c>
      <c r="F121" s="9" t="s">
        <v>69</v>
      </c>
      <c r="H121" s="9" t="s">
        <v>166</v>
      </c>
    </row>
    <row r="122" spans="1:8" x14ac:dyDescent="0.3">
      <c r="A122" s="9">
        <v>2024</v>
      </c>
      <c r="B122" s="9" t="s">
        <v>111</v>
      </c>
      <c r="C122" s="9">
        <v>-804.7</v>
      </c>
      <c r="D122" s="9" t="s">
        <v>65</v>
      </c>
      <c r="F122" s="10" t="s">
        <v>92</v>
      </c>
      <c r="H122" s="9" t="s">
        <v>166</v>
      </c>
    </row>
    <row r="123" spans="1:8" x14ac:dyDescent="0.3">
      <c r="A123" s="9">
        <v>2024</v>
      </c>
      <c r="B123" s="9" t="s">
        <v>111</v>
      </c>
      <c r="C123" s="9">
        <v>6613</v>
      </c>
      <c r="D123" s="9" t="s">
        <v>65</v>
      </c>
      <c r="E123" s="9">
        <v>6613007</v>
      </c>
      <c r="F123" s="9" t="s">
        <v>69</v>
      </c>
      <c r="G123" s="9" t="s">
        <v>91</v>
      </c>
      <c r="H123" s="9" t="s">
        <v>166</v>
      </c>
    </row>
    <row r="124" spans="1:8" x14ac:dyDescent="0.3">
      <c r="A124" s="9">
        <v>2024</v>
      </c>
      <c r="B124" s="9" t="s">
        <v>111</v>
      </c>
      <c r="C124" s="9">
        <v>7048.9</v>
      </c>
      <c r="D124" s="9" t="s">
        <v>65</v>
      </c>
      <c r="E124" s="9">
        <v>7048930</v>
      </c>
      <c r="F124" s="9" t="s">
        <v>66</v>
      </c>
      <c r="G124" s="9" t="s">
        <v>205</v>
      </c>
      <c r="H124" s="9" t="s">
        <v>166</v>
      </c>
    </row>
    <row r="125" spans="1:8" x14ac:dyDescent="0.3">
      <c r="A125" s="9">
        <v>2024</v>
      </c>
      <c r="B125" s="9" t="s">
        <v>77</v>
      </c>
      <c r="C125" s="9">
        <v>-123.9</v>
      </c>
      <c r="D125" s="9" t="s">
        <v>65</v>
      </c>
      <c r="F125" s="9" t="s">
        <v>69</v>
      </c>
      <c r="H125" s="9" t="s">
        <v>166</v>
      </c>
    </row>
    <row r="126" spans="1:8" x14ac:dyDescent="0.3">
      <c r="A126" s="9">
        <v>2024</v>
      </c>
      <c r="B126" s="9" t="s">
        <v>77</v>
      </c>
      <c r="C126" s="9">
        <v>-3086.3</v>
      </c>
      <c r="D126" s="9" t="s">
        <v>65</v>
      </c>
      <c r="F126" s="10" t="s">
        <v>92</v>
      </c>
    </row>
    <row r="127" spans="1:8" x14ac:dyDescent="0.3">
      <c r="A127" s="9">
        <v>2024</v>
      </c>
      <c r="B127" s="9" t="s">
        <v>77</v>
      </c>
      <c r="C127" s="9">
        <v>400</v>
      </c>
      <c r="D127" s="9" t="s">
        <v>65</v>
      </c>
      <c r="E127" s="9">
        <v>400000</v>
      </c>
      <c r="F127" s="9" t="s">
        <v>81</v>
      </c>
      <c r="G127" s="9" t="s">
        <v>64</v>
      </c>
      <c r="H127" s="9" t="s">
        <v>166</v>
      </c>
    </row>
    <row r="128" spans="1:8" x14ac:dyDescent="0.3">
      <c r="A128" s="9">
        <v>2024</v>
      </c>
      <c r="B128" s="9" t="s">
        <v>77</v>
      </c>
      <c r="C128" s="9">
        <v>810.7</v>
      </c>
      <c r="D128" s="9" t="s">
        <v>65</v>
      </c>
      <c r="E128" s="9">
        <v>810724</v>
      </c>
      <c r="F128" s="9" t="s">
        <v>66</v>
      </c>
      <c r="G128" s="9" t="s">
        <v>205</v>
      </c>
      <c r="H128" s="9" t="s">
        <v>166</v>
      </c>
    </row>
    <row r="129" spans="1:11" x14ac:dyDescent="0.3">
      <c r="A129" s="9">
        <v>2024</v>
      </c>
      <c r="B129" s="9" t="s">
        <v>77</v>
      </c>
      <c r="C129" s="9">
        <v>2651</v>
      </c>
      <c r="D129" s="9" t="s">
        <v>65</v>
      </c>
      <c r="E129" s="9">
        <v>2650967</v>
      </c>
      <c r="F129" s="9" t="s">
        <v>81</v>
      </c>
      <c r="G129" s="9" t="s">
        <v>68</v>
      </c>
      <c r="H129" s="9" t="s">
        <v>166</v>
      </c>
    </row>
    <row r="130" spans="1:11" x14ac:dyDescent="0.3">
      <c r="A130" s="9">
        <v>2024</v>
      </c>
      <c r="B130" s="9" t="s">
        <v>77</v>
      </c>
      <c r="C130" s="9">
        <v>3680.4</v>
      </c>
      <c r="D130" s="9" t="s">
        <v>65</v>
      </c>
      <c r="E130" s="9">
        <v>3680356</v>
      </c>
      <c r="F130" s="9" t="s">
        <v>69</v>
      </c>
      <c r="G130" s="9" t="s">
        <v>78</v>
      </c>
      <c r="H130" s="9" t="s">
        <v>166</v>
      </c>
    </row>
    <row r="131" spans="1:11" x14ac:dyDescent="0.3">
      <c r="A131" s="9">
        <v>2024</v>
      </c>
      <c r="B131" s="9" t="s">
        <v>80</v>
      </c>
      <c r="C131" s="9">
        <v>-49.1</v>
      </c>
      <c r="D131" s="9" t="s">
        <v>65</v>
      </c>
      <c r="F131" s="9" t="s">
        <v>69</v>
      </c>
      <c r="G131" s="9" t="s">
        <v>91</v>
      </c>
      <c r="H131" s="9" t="s">
        <v>166</v>
      </c>
    </row>
    <row r="132" spans="1:11" x14ac:dyDescent="0.3">
      <c r="A132" s="9">
        <v>2024</v>
      </c>
      <c r="B132" s="9" t="s">
        <v>80</v>
      </c>
      <c r="C132" s="9">
        <v>-1020.1</v>
      </c>
      <c r="D132" s="9" t="s">
        <v>65</v>
      </c>
      <c r="F132" s="10" t="s">
        <v>92</v>
      </c>
    </row>
    <row r="133" spans="1:11" x14ac:dyDescent="0.3">
      <c r="A133" s="9">
        <v>2024</v>
      </c>
      <c r="B133" s="9" t="s">
        <v>80</v>
      </c>
      <c r="C133" s="9">
        <v>1066.8</v>
      </c>
      <c r="D133" s="9" t="s">
        <v>65</v>
      </c>
      <c r="E133" s="9">
        <v>1066780</v>
      </c>
      <c r="F133" s="9" t="s">
        <v>66</v>
      </c>
      <c r="G133" s="9" t="s">
        <v>205</v>
      </c>
      <c r="H133" s="9" t="s">
        <v>166</v>
      </c>
    </row>
    <row r="134" spans="1:11" x14ac:dyDescent="0.3">
      <c r="A134" s="9">
        <v>2024</v>
      </c>
      <c r="B134" s="9" t="s">
        <v>80</v>
      </c>
      <c r="C134" s="9">
        <v>5883.7</v>
      </c>
      <c r="D134" s="9" t="s">
        <v>65</v>
      </c>
      <c r="E134" s="9">
        <v>5883653</v>
      </c>
      <c r="F134" s="9" t="s">
        <v>69</v>
      </c>
      <c r="G134" s="9" t="s">
        <v>91</v>
      </c>
      <c r="H134" s="9" t="s">
        <v>166</v>
      </c>
    </row>
    <row r="135" spans="1:11" x14ac:dyDescent="0.3">
      <c r="A135" s="9">
        <v>2024</v>
      </c>
      <c r="B135" s="9" t="s">
        <v>80</v>
      </c>
      <c r="C135" s="9">
        <v>19500</v>
      </c>
      <c r="D135" s="9" t="s">
        <v>65</v>
      </c>
      <c r="E135" s="9">
        <v>19500000</v>
      </c>
      <c r="F135" s="9" t="s">
        <v>81</v>
      </c>
      <c r="G135" s="9" t="s">
        <v>68</v>
      </c>
      <c r="H135" s="9" t="s">
        <v>166</v>
      </c>
    </row>
    <row r="136" spans="1:11" x14ac:dyDescent="0.3">
      <c r="A136" s="9">
        <v>2024</v>
      </c>
      <c r="B136" s="9" t="s">
        <v>90</v>
      </c>
      <c r="C136" s="9">
        <v>-80.8</v>
      </c>
      <c r="D136" s="9" t="s">
        <v>65</v>
      </c>
      <c r="F136" s="9" t="s">
        <v>69</v>
      </c>
      <c r="G136" s="9" t="s">
        <v>91</v>
      </c>
      <c r="H136" s="9" t="s">
        <v>166</v>
      </c>
    </row>
    <row r="137" spans="1:11" x14ac:dyDescent="0.3">
      <c r="A137" s="9">
        <v>2024</v>
      </c>
      <c r="B137" s="9" t="s">
        <v>90</v>
      </c>
      <c r="C137" s="9">
        <v>-804.7</v>
      </c>
      <c r="D137" s="9" t="s">
        <v>65</v>
      </c>
      <c r="F137" s="10" t="s">
        <v>92</v>
      </c>
      <c r="H137" s="9" t="s">
        <v>166</v>
      </c>
    </row>
    <row r="138" spans="1:11" x14ac:dyDescent="0.3">
      <c r="A138" s="9">
        <v>2024</v>
      </c>
      <c r="B138" s="9" t="s">
        <v>90</v>
      </c>
      <c r="C138" s="9">
        <v>500</v>
      </c>
      <c r="D138" s="9" t="s">
        <v>65</v>
      </c>
      <c r="E138" s="9">
        <v>500000</v>
      </c>
      <c r="F138" s="9" t="s">
        <v>81</v>
      </c>
      <c r="G138" s="9" t="s">
        <v>64</v>
      </c>
      <c r="H138" s="9" t="s">
        <v>166</v>
      </c>
    </row>
    <row r="139" spans="1:11" x14ac:dyDescent="0.3">
      <c r="A139" s="9">
        <v>2024</v>
      </c>
      <c r="B139" s="9" t="s">
        <v>90</v>
      </c>
      <c r="C139" s="9">
        <v>914.2</v>
      </c>
      <c r="D139" s="9" t="s">
        <v>65</v>
      </c>
      <c r="E139" s="9">
        <v>914206</v>
      </c>
      <c r="F139" s="9" t="s">
        <v>69</v>
      </c>
      <c r="G139" s="9" t="s">
        <v>78</v>
      </c>
      <c r="H139" s="9" t="s">
        <v>166</v>
      </c>
    </row>
    <row r="140" spans="1:11" ht="14.5" x14ac:dyDescent="0.35">
      <c r="A140" s="9">
        <v>2024</v>
      </c>
      <c r="B140" s="9" t="s">
        <v>90</v>
      </c>
      <c r="C140" s="9">
        <v>3873.6</v>
      </c>
      <c r="D140" s="9" t="s">
        <v>65</v>
      </c>
      <c r="E140" s="9">
        <v>3873626</v>
      </c>
      <c r="F140" s="9" t="s">
        <v>69</v>
      </c>
      <c r="G140" s="9" t="s">
        <v>91</v>
      </c>
      <c r="H140" s="9" t="s">
        <v>166</v>
      </c>
      <c r="J140"/>
      <c r="K140"/>
    </row>
    <row r="141" spans="1:11" ht="14.5" x14ac:dyDescent="0.35">
      <c r="A141" s="9">
        <v>2024</v>
      </c>
      <c r="B141" s="9" t="s">
        <v>96</v>
      </c>
      <c r="C141" s="9">
        <v>-122.3</v>
      </c>
      <c r="D141" s="9" t="s">
        <v>65</v>
      </c>
      <c r="F141" s="9" t="s">
        <v>69</v>
      </c>
      <c r="G141" s="9" t="s">
        <v>91</v>
      </c>
      <c r="H141" s="9" t="s">
        <v>166</v>
      </c>
      <c r="J141"/>
      <c r="K141"/>
    </row>
    <row r="142" spans="1:11" ht="14.5" x14ac:dyDescent="0.35">
      <c r="A142" s="9">
        <v>2024</v>
      </c>
      <c r="B142" s="9" t="s">
        <v>96</v>
      </c>
      <c r="C142" s="9">
        <v>-2673.2</v>
      </c>
      <c r="D142" s="9" t="s">
        <v>65</v>
      </c>
      <c r="F142" s="10" t="s">
        <v>92</v>
      </c>
      <c r="G142" s="9" t="s">
        <v>93</v>
      </c>
      <c r="H142" s="9" t="s">
        <v>166</v>
      </c>
      <c r="J142"/>
      <c r="K142"/>
    </row>
    <row r="143" spans="1:11" ht="14.5" x14ac:dyDescent="0.35">
      <c r="A143" s="9">
        <v>2024</v>
      </c>
      <c r="B143" s="9" t="s">
        <v>96</v>
      </c>
      <c r="C143" s="9">
        <v>494.7</v>
      </c>
      <c r="D143" s="9" t="s">
        <v>65</v>
      </c>
      <c r="E143" s="9">
        <v>494731</v>
      </c>
      <c r="F143" s="9" t="s">
        <v>69</v>
      </c>
      <c r="G143" s="9" t="s">
        <v>78</v>
      </c>
      <c r="H143" s="9" t="s">
        <v>166</v>
      </c>
      <c r="J143"/>
      <c r="K143"/>
    </row>
    <row r="144" spans="1:11" ht="14.5" x14ac:dyDescent="0.35">
      <c r="A144" s="9">
        <v>2024</v>
      </c>
      <c r="B144" s="9" t="s">
        <v>96</v>
      </c>
      <c r="C144" s="9">
        <v>500</v>
      </c>
      <c r="D144" s="9" t="s">
        <v>65</v>
      </c>
      <c r="E144" s="9">
        <v>500000</v>
      </c>
      <c r="F144" s="10" t="s">
        <v>81</v>
      </c>
      <c r="G144" s="9" t="s">
        <v>64</v>
      </c>
      <c r="H144" s="9" t="s">
        <v>166</v>
      </c>
      <c r="J144"/>
      <c r="K144"/>
    </row>
    <row r="145" spans="1:11" ht="14.5" x14ac:dyDescent="0.35">
      <c r="A145" s="9">
        <v>2024</v>
      </c>
      <c r="B145" s="9" t="s">
        <v>96</v>
      </c>
      <c r="C145" s="9">
        <v>6948.3</v>
      </c>
      <c r="D145" s="9" t="s">
        <v>65</v>
      </c>
      <c r="E145" s="9">
        <v>6948286</v>
      </c>
      <c r="F145" s="9" t="s">
        <v>66</v>
      </c>
      <c r="G145" s="9" t="s">
        <v>205</v>
      </c>
      <c r="H145" s="9" t="s">
        <v>166</v>
      </c>
      <c r="J145"/>
      <c r="K145"/>
    </row>
    <row r="146" spans="1:11" ht="14.5" x14ac:dyDescent="0.35">
      <c r="A146" s="9">
        <v>2024</v>
      </c>
      <c r="B146" s="9" t="s">
        <v>96</v>
      </c>
      <c r="C146" s="9">
        <v>9584.6</v>
      </c>
      <c r="D146" s="9" t="s">
        <v>65</v>
      </c>
      <c r="E146" s="9">
        <v>9584568</v>
      </c>
      <c r="F146" s="10" t="s">
        <v>81</v>
      </c>
      <c r="G146" s="9" t="s">
        <v>68</v>
      </c>
      <c r="H146" s="9" t="s">
        <v>166</v>
      </c>
      <c r="J146"/>
      <c r="K146"/>
    </row>
    <row r="147" spans="1:11" ht="14.5" x14ac:dyDescent="0.35">
      <c r="A147" s="9">
        <v>2024</v>
      </c>
      <c r="B147" s="9" t="s">
        <v>97</v>
      </c>
      <c r="C147" s="9">
        <v>-111.4</v>
      </c>
      <c r="D147" s="9" t="s">
        <v>65</v>
      </c>
      <c r="F147" s="9" t="s">
        <v>69</v>
      </c>
      <c r="G147" s="9" t="s">
        <v>91</v>
      </c>
      <c r="H147" s="9" t="s">
        <v>166</v>
      </c>
      <c r="J147"/>
      <c r="K147"/>
    </row>
    <row r="148" spans="1:11" ht="14.5" x14ac:dyDescent="0.35">
      <c r="A148" s="9">
        <v>2024</v>
      </c>
      <c r="B148" s="9" t="s">
        <v>97</v>
      </c>
      <c r="C148" s="9">
        <v>-1020.1</v>
      </c>
      <c r="D148" s="9" t="s">
        <v>65</v>
      </c>
      <c r="E148" s="11">
        <f>34948091*0.015</f>
        <v>524221.36499999999</v>
      </c>
      <c r="F148" s="10" t="s">
        <v>92</v>
      </c>
      <c r="G148" s="9" t="s">
        <v>93</v>
      </c>
      <c r="H148" s="9" t="s">
        <v>166</v>
      </c>
      <c r="J148"/>
      <c r="K148"/>
    </row>
    <row r="149" spans="1:11" ht="14.5" x14ac:dyDescent="0.35">
      <c r="A149" s="9">
        <v>2024</v>
      </c>
      <c r="B149" s="9" t="s">
        <v>97</v>
      </c>
      <c r="C149" s="9">
        <v>798.8</v>
      </c>
      <c r="D149" s="9" t="s">
        <v>65</v>
      </c>
      <c r="E149" s="9">
        <v>798819</v>
      </c>
      <c r="F149" s="9" t="s">
        <v>69</v>
      </c>
      <c r="G149" s="9" t="s">
        <v>78</v>
      </c>
      <c r="H149" s="9" t="s">
        <v>166</v>
      </c>
      <c r="J149"/>
      <c r="K149"/>
    </row>
    <row r="150" spans="1:11" ht="14.5" x14ac:dyDescent="0.35">
      <c r="A150" s="9">
        <v>2024</v>
      </c>
      <c r="B150" s="9" t="s">
        <v>97</v>
      </c>
      <c r="C150" s="9">
        <v>5408.4</v>
      </c>
      <c r="D150" s="9" t="s">
        <v>65</v>
      </c>
      <c r="E150" s="9">
        <v>5408378</v>
      </c>
      <c r="F150" s="9" t="s">
        <v>69</v>
      </c>
      <c r="G150" s="9" t="s">
        <v>91</v>
      </c>
      <c r="H150" s="9" t="s">
        <v>166</v>
      </c>
      <c r="J150"/>
      <c r="K150"/>
    </row>
    <row r="151" spans="1:11" ht="14.5" x14ac:dyDescent="0.35">
      <c r="A151" s="9">
        <v>2024</v>
      </c>
      <c r="B151" s="9" t="s">
        <v>97</v>
      </c>
      <c r="C151" s="9">
        <v>8686.1</v>
      </c>
      <c r="D151" s="9" t="s">
        <v>65</v>
      </c>
      <c r="E151" s="9">
        <v>8686092</v>
      </c>
      <c r="F151" s="9" t="s">
        <v>69</v>
      </c>
      <c r="G151" s="9" t="s">
        <v>70</v>
      </c>
      <c r="H151" s="9" t="s">
        <v>166</v>
      </c>
      <c r="J151"/>
      <c r="K151"/>
    </row>
    <row r="152" spans="1:11" ht="14.5" x14ac:dyDescent="0.35">
      <c r="A152" s="9">
        <v>2024</v>
      </c>
      <c r="B152" s="9" t="s">
        <v>97</v>
      </c>
      <c r="C152" s="9">
        <v>16290</v>
      </c>
      <c r="D152" s="9" t="s">
        <v>65</v>
      </c>
      <c r="E152" s="9">
        <v>16290000</v>
      </c>
      <c r="F152" s="9" t="s">
        <v>69</v>
      </c>
      <c r="G152" s="9" t="s">
        <v>84</v>
      </c>
      <c r="H152" s="9" t="s">
        <v>166</v>
      </c>
      <c r="J152"/>
      <c r="K152"/>
    </row>
    <row r="153" spans="1:11" ht="14.5" x14ac:dyDescent="0.35">
      <c r="A153" s="9">
        <v>2024</v>
      </c>
      <c r="B153" s="9" t="s">
        <v>101</v>
      </c>
      <c r="C153" s="9">
        <v>-15.5</v>
      </c>
      <c r="D153" s="9" t="s">
        <v>65</v>
      </c>
      <c r="F153" s="9" t="s">
        <v>69</v>
      </c>
      <c r="G153" s="9" t="s">
        <v>91</v>
      </c>
      <c r="H153" s="9" t="s">
        <v>166</v>
      </c>
      <c r="J153"/>
      <c r="K153"/>
    </row>
    <row r="154" spans="1:11" ht="14.5" x14ac:dyDescent="0.35">
      <c r="A154" s="9">
        <v>2024</v>
      </c>
      <c r="B154" s="9" t="s">
        <v>101</v>
      </c>
      <c r="C154" s="9">
        <v>1609.9</v>
      </c>
      <c r="D154" s="9" t="s">
        <v>65</v>
      </c>
      <c r="E154" s="9">
        <v>1609865</v>
      </c>
      <c r="F154" s="9" t="s">
        <v>69</v>
      </c>
      <c r="G154" s="9" t="s">
        <v>91</v>
      </c>
      <c r="H154" s="9" t="s">
        <v>166</v>
      </c>
      <c r="J154"/>
      <c r="K154"/>
    </row>
    <row r="155" spans="1:11" x14ac:dyDescent="0.3">
      <c r="A155" s="9">
        <v>2024</v>
      </c>
      <c r="B155" s="9" t="s">
        <v>101</v>
      </c>
      <c r="C155" s="9">
        <v>1994.2</v>
      </c>
      <c r="D155" s="9" t="s">
        <v>65</v>
      </c>
      <c r="E155" s="9">
        <v>1994162</v>
      </c>
      <c r="F155" s="9" t="s">
        <v>66</v>
      </c>
      <c r="G155" s="9" t="s">
        <v>67</v>
      </c>
      <c r="H155" s="9" t="s">
        <v>166</v>
      </c>
    </row>
    <row r="156" spans="1:11" x14ac:dyDescent="0.3">
      <c r="A156" s="9">
        <v>2024</v>
      </c>
      <c r="B156" s="9" t="s">
        <v>102</v>
      </c>
      <c r="C156" s="9">
        <v>-49.9</v>
      </c>
      <c r="D156" s="9" t="s">
        <v>65</v>
      </c>
      <c r="F156" s="9" t="s">
        <v>69</v>
      </c>
      <c r="G156" s="9" t="s">
        <v>91</v>
      </c>
      <c r="H156" s="9" t="s">
        <v>166</v>
      </c>
    </row>
    <row r="157" spans="1:11" x14ac:dyDescent="0.3">
      <c r="A157" s="9">
        <v>2024</v>
      </c>
      <c r="B157" s="9" t="s">
        <v>102</v>
      </c>
      <c r="C157" s="9">
        <v>1226.9000000000001</v>
      </c>
      <c r="D157" s="9" t="s">
        <v>65</v>
      </c>
      <c r="E157" s="9">
        <v>1226864</v>
      </c>
      <c r="F157" s="9" t="s">
        <v>69</v>
      </c>
      <c r="G157" s="9" t="s">
        <v>78</v>
      </c>
      <c r="H157" s="9" t="s">
        <v>166</v>
      </c>
    </row>
    <row r="158" spans="1:11" x14ac:dyDescent="0.3">
      <c r="A158" s="9">
        <v>2024</v>
      </c>
      <c r="B158" s="9" t="s">
        <v>102</v>
      </c>
      <c r="C158" s="9">
        <v>1893</v>
      </c>
      <c r="D158" s="9" t="s">
        <v>65</v>
      </c>
      <c r="E158" s="9">
        <v>1893011</v>
      </c>
      <c r="F158" s="9" t="s">
        <v>66</v>
      </c>
      <c r="G158" s="9" t="s">
        <v>67</v>
      </c>
      <c r="H158" s="9" t="s">
        <v>166</v>
      </c>
    </row>
    <row r="159" spans="1:11" x14ac:dyDescent="0.3">
      <c r="A159" s="9">
        <v>2024</v>
      </c>
      <c r="B159" s="9" t="s">
        <v>102</v>
      </c>
      <c r="C159" s="9">
        <v>12859.2</v>
      </c>
      <c r="D159" s="9" t="s">
        <v>65</v>
      </c>
      <c r="E159" s="9">
        <v>12859247</v>
      </c>
      <c r="F159" s="10" t="s">
        <v>81</v>
      </c>
      <c r="G159" s="9" t="s">
        <v>68</v>
      </c>
      <c r="H159" s="9" t="s">
        <v>166</v>
      </c>
    </row>
    <row r="160" spans="1:11" x14ac:dyDescent="0.3">
      <c r="A160" s="9">
        <v>2024</v>
      </c>
      <c r="B160" s="9" t="s">
        <v>103</v>
      </c>
      <c r="C160" s="9">
        <v>1580.4</v>
      </c>
      <c r="D160" s="9" t="s">
        <v>65</v>
      </c>
      <c r="E160" s="9">
        <v>1580376</v>
      </c>
      <c r="F160" s="9" t="s">
        <v>66</v>
      </c>
      <c r="G160" s="9" t="s">
        <v>67</v>
      </c>
      <c r="H160" s="9" t="s">
        <v>166</v>
      </c>
    </row>
    <row r="161" spans="1:8" x14ac:dyDescent="0.3">
      <c r="A161" s="9">
        <v>2024</v>
      </c>
      <c r="B161" s="9" t="s">
        <v>103</v>
      </c>
      <c r="C161" s="9">
        <v>4447.1000000000004</v>
      </c>
      <c r="D161" s="9" t="s">
        <v>65</v>
      </c>
      <c r="E161" s="9">
        <v>4447120</v>
      </c>
      <c r="F161" s="9" t="s">
        <v>69</v>
      </c>
      <c r="G161" s="9" t="s">
        <v>78</v>
      </c>
      <c r="H161" s="9" t="s">
        <v>166</v>
      </c>
    </row>
    <row r="162" spans="1:8" x14ac:dyDescent="0.3">
      <c r="A162" s="9">
        <v>2023</v>
      </c>
      <c r="B162" s="9" t="s">
        <v>104</v>
      </c>
      <c r="C162" s="9">
        <v>76841.3</v>
      </c>
      <c r="D162" s="9" t="s">
        <v>98</v>
      </c>
      <c r="E162" s="9">
        <v>76841289</v>
      </c>
      <c r="F162" s="9" t="s">
        <v>99</v>
      </c>
      <c r="G162" s="9" t="s">
        <v>100</v>
      </c>
      <c r="H162" s="9" t="s">
        <v>166</v>
      </c>
    </row>
    <row r="163" spans="1:8" x14ac:dyDescent="0.3">
      <c r="A163" s="9">
        <v>2023</v>
      </c>
      <c r="B163" s="9" t="s">
        <v>104</v>
      </c>
      <c r="C163" s="9">
        <v>7896.7</v>
      </c>
      <c r="D163" s="9" t="s">
        <v>65</v>
      </c>
      <c r="E163" s="9">
        <v>7896728</v>
      </c>
      <c r="F163" s="10" t="s">
        <v>81</v>
      </c>
      <c r="G163" s="9" t="s">
        <v>106</v>
      </c>
      <c r="H163" s="9" t="s">
        <v>166</v>
      </c>
    </row>
    <row r="164" spans="1:8" x14ac:dyDescent="0.3">
      <c r="A164" s="9">
        <v>2023</v>
      </c>
      <c r="B164" s="9" t="s">
        <v>104</v>
      </c>
      <c r="C164" s="9">
        <v>34497.5</v>
      </c>
      <c r="D164" s="9" t="s">
        <v>65</v>
      </c>
      <c r="E164" s="9">
        <v>34497540</v>
      </c>
      <c r="F164" s="9" t="s">
        <v>82</v>
      </c>
      <c r="G164" s="9" t="s">
        <v>83</v>
      </c>
      <c r="H164" s="9" t="s">
        <v>166</v>
      </c>
    </row>
    <row r="165" spans="1:8" x14ac:dyDescent="0.3">
      <c r="A165" s="9">
        <v>2023</v>
      </c>
      <c r="B165" s="9" t="s">
        <v>104</v>
      </c>
      <c r="C165" s="9">
        <v>2286.6999999999998</v>
      </c>
      <c r="D165" s="9" t="s">
        <v>65</v>
      </c>
      <c r="E165" s="9">
        <v>2286725</v>
      </c>
      <c r="F165" s="9" t="s">
        <v>69</v>
      </c>
      <c r="G165" s="9" t="s">
        <v>91</v>
      </c>
      <c r="H165" s="9" t="s">
        <v>166</v>
      </c>
    </row>
    <row r="166" spans="1:8" x14ac:dyDescent="0.3">
      <c r="A166" s="9">
        <v>2023</v>
      </c>
      <c r="B166" s="9" t="s">
        <v>104</v>
      </c>
      <c r="C166" s="9">
        <v>2926.5</v>
      </c>
      <c r="D166" s="9" t="s">
        <v>65</v>
      </c>
      <c r="E166" s="9">
        <v>2926533</v>
      </c>
      <c r="F166" s="9" t="s">
        <v>66</v>
      </c>
      <c r="G166" s="9" t="s">
        <v>67</v>
      </c>
      <c r="H166" s="9" t="s">
        <v>166</v>
      </c>
    </row>
    <row r="167" spans="1:8" x14ac:dyDescent="0.3">
      <c r="A167" s="9">
        <v>2023</v>
      </c>
      <c r="B167" s="9" t="s">
        <v>104</v>
      </c>
      <c r="C167" s="9">
        <v>49570</v>
      </c>
      <c r="D167" s="9" t="s">
        <v>65</v>
      </c>
      <c r="E167" s="9">
        <v>49569991</v>
      </c>
      <c r="F167" s="10" t="s">
        <v>81</v>
      </c>
      <c r="G167" s="9" t="s">
        <v>68</v>
      </c>
      <c r="H167" s="9" t="s">
        <v>166</v>
      </c>
    </row>
    <row r="168" spans="1:8" x14ac:dyDescent="0.3">
      <c r="A168" s="9">
        <v>2023</v>
      </c>
      <c r="B168" s="9" t="s">
        <v>104</v>
      </c>
      <c r="C168" s="9">
        <v>1600</v>
      </c>
      <c r="D168" s="9" t="s">
        <v>65</v>
      </c>
      <c r="E168" s="9">
        <v>1600000</v>
      </c>
      <c r="F168" s="10" t="s">
        <v>81</v>
      </c>
      <c r="G168" s="9" t="s">
        <v>64</v>
      </c>
      <c r="H168" s="9" t="s">
        <v>166</v>
      </c>
    </row>
    <row r="169" spans="1:8" x14ac:dyDescent="0.3">
      <c r="A169" s="9">
        <v>2023</v>
      </c>
      <c r="B169" s="9" t="s">
        <v>104</v>
      </c>
      <c r="C169" s="9">
        <v>8720.7000000000007</v>
      </c>
      <c r="D169" s="9" t="s">
        <v>65</v>
      </c>
      <c r="E169" s="9">
        <v>8720735</v>
      </c>
      <c r="F169" s="9" t="s">
        <v>69</v>
      </c>
      <c r="G169" s="9" t="s">
        <v>78</v>
      </c>
      <c r="H169" s="9" t="s">
        <v>166</v>
      </c>
    </row>
    <row r="170" spans="1:8" x14ac:dyDescent="0.3">
      <c r="A170" s="9">
        <v>2024</v>
      </c>
      <c r="B170" s="9" t="s">
        <v>121</v>
      </c>
      <c r="C170" s="9">
        <v>-62.1</v>
      </c>
      <c r="D170" s="9" t="s">
        <v>65</v>
      </c>
      <c r="F170" s="9" t="s">
        <v>69</v>
      </c>
      <c r="G170" s="9" t="s">
        <v>91</v>
      </c>
    </row>
    <row r="171" spans="1:8" x14ac:dyDescent="0.3">
      <c r="A171" s="9">
        <v>2023</v>
      </c>
      <c r="B171" s="9" t="s">
        <v>104</v>
      </c>
      <c r="C171" s="9">
        <f>445811.6-453055.5</f>
        <v>-7243.9000000000233</v>
      </c>
      <c r="D171" s="9" t="s">
        <v>65</v>
      </c>
      <c r="F171" s="10" t="s">
        <v>81</v>
      </c>
      <c r="H171" s="9" t="s">
        <v>166</v>
      </c>
    </row>
    <row r="172" spans="1:8" x14ac:dyDescent="0.3">
      <c r="A172" s="9">
        <v>2023</v>
      </c>
      <c r="B172" s="9" t="s">
        <v>104</v>
      </c>
      <c r="C172" s="9">
        <f>99515-99563.6652</f>
        <v>-48.665200000003097</v>
      </c>
      <c r="D172" s="9" t="s">
        <v>65</v>
      </c>
      <c r="F172" s="9" t="s">
        <v>69</v>
      </c>
      <c r="H172" s="9" t="s">
        <v>166</v>
      </c>
    </row>
    <row r="173" spans="1:8" x14ac:dyDescent="0.3">
      <c r="A173" s="9">
        <v>2023</v>
      </c>
      <c r="B173" s="9" t="s">
        <v>109</v>
      </c>
      <c r="C173" s="9">
        <v>10797.1</v>
      </c>
      <c r="D173" s="10" t="s">
        <v>65</v>
      </c>
      <c r="E173" s="9">
        <v>10797144</v>
      </c>
      <c r="F173" s="9" t="s">
        <v>69</v>
      </c>
      <c r="G173" s="10" t="s">
        <v>70</v>
      </c>
      <c r="H173" s="9" t="s">
        <v>166</v>
      </c>
    </row>
    <row r="174" spans="1:8" x14ac:dyDescent="0.3">
      <c r="A174" s="9">
        <v>2023</v>
      </c>
      <c r="B174" s="9" t="s">
        <v>109</v>
      </c>
      <c r="C174" s="9">
        <v>1551.5</v>
      </c>
      <c r="D174" s="10" t="s">
        <v>65</v>
      </c>
      <c r="E174" s="9">
        <v>1551604</v>
      </c>
      <c r="F174" s="9" t="s">
        <v>69</v>
      </c>
      <c r="G174" s="9" t="s">
        <v>91</v>
      </c>
      <c r="H174" s="9" t="s">
        <v>166</v>
      </c>
    </row>
    <row r="175" spans="1:8" x14ac:dyDescent="0.3">
      <c r="A175" s="9">
        <v>2023</v>
      </c>
      <c r="B175" s="9" t="s">
        <v>109</v>
      </c>
      <c r="C175" s="9">
        <v>12000</v>
      </c>
      <c r="D175" s="10" t="s">
        <v>65</v>
      </c>
      <c r="E175" s="9">
        <v>12000000</v>
      </c>
      <c r="F175" s="10" t="s">
        <v>81</v>
      </c>
      <c r="G175" s="9" t="s">
        <v>68</v>
      </c>
      <c r="H175" s="9" t="s">
        <v>166</v>
      </c>
    </row>
    <row r="176" spans="1:8" x14ac:dyDescent="0.3">
      <c r="A176" s="9">
        <v>2023</v>
      </c>
      <c r="B176" s="9" t="s">
        <v>109</v>
      </c>
      <c r="C176" s="9">
        <v>6572.5</v>
      </c>
      <c r="D176" s="10" t="s">
        <v>65</v>
      </c>
      <c r="E176" s="9">
        <v>6572481</v>
      </c>
      <c r="F176" s="9" t="s">
        <v>66</v>
      </c>
      <c r="G176" s="9" t="s">
        <v>67</v>
      </c>
      <c r="H176" s="9" t="s">
        <v>166</v>
      </c>
    </row>
    <row r="177" spans="1:8" x14ac:dyDescent="0.3">
      <c r="A177" s="9">
        <v>2023</v>
      </c>
      <c r="B177" s="9" t="s">
        <v>109</v>
      </c>
      <c r="C177" s="9">
        <v>1800</v>
      </c>
      <c r="D177" s="10" t="s">
        <v>65</v>
      </c>
      <c r="E177" s="9">
        <v>1800000</v>
      </c>
      <c r="F177" s="10" t="s">
        <v>81</v>
      </c>
      <c r="G177" s="10" t="s">
        <v>64</v>
      </c>
      <c r="H177" s="9" t="s">
        <v>166</v>
      </c>
    </row>
    <row r="178" spans="1:8" x14ac:dyDescent="0.3">
      <c r="A178" s="9">
        <v>2023</v>
      </c>
      <c r="B178" s="9" t="s">
        <v>111</v>
      </c>
      <c r="C178" s="9">
        <v>500</v>
      </c>
      <c r="D178" s="10" t="s">
        <v>65</v>
      </c>
      <c r="E178" s="9">
        <v>500000</v>
      </c>
      <c r="F178" s="9" t="s">
        <v>69</v>
      </c>
      <c r="G178" s="9" t="s">
        <v>91</v>
      </c>
      <c r="H178" s="9" t="s">
        <v>166</v>
      </c>
    </row>
    <row r="179" spans="1:8" x14ac:dyDescent="0.3">
      <c r="A179" s="9">
        <v>2023</v>
      </c>
      <c r="B179" s="9" t="s">
        <v>111</v>
      </c>
      <c r="C179" s="9">
        <v>21091.3</v>
      </c>
      <c r="D179" s="10" t="s">
        <v>65</v>
      </c>
      <c r="E179" s="9">
        <v>21091262</v>
      </c>
      <c r="F179" s="9" t="s">
        <v>66</v>
      </c>
      <c r="G179" s="9" t="s">
        <v>67</v>
      </c>
      <c r="H179" s="9" t="s">
        <v>166</v>
      </c>
    </row>
    <row r="180" spans="1:8" x14ac:dyDescent="0.3">
      <c r="A180" s="9">
        <v>2023</v>
      </c>
      <c r="B180" s="9" t="s">
        <v>111</v>
      </c>
      <c r="C180" s="9">
        <v>400</v>
      </c>
      <c r="D180" s="10" t="s">
        <v>65</v>
      </c>
      <c r="E180" s="9">
        <v>400000</v>
      </c>
      <c r="F180" s="10" t="s">
        <v>81</v>
      </c>
      <c r="G180" s="9" t="s">
        <v>64</v>
      </c>
      <c r="H180" s="9" t="s">
        <v>166</v>
      </c>
    </row>
    <row r="181" spans="1:8" x14ac:dyDescent="0.3">
      <c r="A181" s="9">
        <v>2023</v>
      </c>
      <c r="B181" s="9" t="s">
        <v>77</v>
      </c>
      <c r="C181" s="9">
        <v>1100</v>
      </c>
      <c r="D181" s="10" t="s">
        <v>65</v>
      </c>
      <c r="E181" s="10">
        <v>1100000</v>
      </c>
      <c r="F181" s="10" t="s">
        <v>81</v>
      </c>
      <c r="G181" s="10" t="s">
        <v>64</v>
      </c>
      <c r="H181" s="9" t="s">
        <v>166</v>
      </c>
    </row>
    <row r="182" spans="1:8" x14ac:dyDescent="0.3">
      <c r="A182" s="9">
        <v>2023</v>
      </c>
      <c r="B182" s="9" t="s">
        <v>77</v>
      </c>
      <c r="C182" s="9">
        <v>13767</v>
      </c>
      <c r="D182" s="10" t="s">
        <v>65</v>
      </c>
      <c r="E182" s="10">
        <v>13766983</v>
      </c>
      <c r="F182" s="9" t="s">
        <v>66</v>
      </c>
      <c r="G182" s="10" t="s">
        <v>67</v>
      </c>
      <c r="H182" s="9" t="s">
        <v>166</v>
      </c>
    </row>
    <row r="183" spans="1:8" x14ac:dyDescent="0.3">
      <c r="A183" s="9">
        <v>2023</v>
      </c>
      <c r="B183" s="9" t="s">
        <v>77</v>
      </c>
      <c r="C183" s="9">
        <v>19984.900000000001</v>
      </c>
      <c r="D183" s="10" t="s">
        <v>65</v>
      </c>
      <c r="E183" s="10">
        <v>19984872</v>
      </c>
      <c r="F183" s="10" t="s">
        <v>81</v>
      </c>
      <c r="G183" s="10" t="s">
        <v>68</v>
      </c>
      <c r="H183" s="9" t="s">
        <v>166</v>
      </c>
    </row>
    <row r="184" spans="1:8" x14ac:dyDescent="0.3">
      <c r="A184" s="9">
        <v>2023</v>
      </c>
      <c r="B184" s="9" t="s">
        <v>77</v>
      </c>
      <c r="C184" s="9">
        <v>1E-3</v>
      </c>
      <c r="D184" s="10" t="s">
        <v>65</v>
      </c>
      <c r="E184" s="10">
        <v>1</v>
      </c>
      <c r="F184" s="9" t="s">
        <v>69</v>
      </c>
      <c r="G184" s="10" t="s">
        <v>70</v>
      </c>
      <c r="H184" s="9" t="s">
        <v>166</v>
      </c>
    </row>
    <row r="185" spans="1:8" x14ac:dyDescent="0.3">
      <c r="A185" s="9">
        <v>2023</v>
      </c>
      <c r="B185" s="9" t="s">
        <v>77</v>
      </c>
      <c r="C185" s="9">
        <v>21237.1</v>
      </c>
      <c r="D185" s="10" t="s">
        <v>65</v>
      </c>
      <c r="E185" s="9">
        <v>21237134</v>
      </c>
      <c r="F185" s="9" t="s">
        <v>69</v>
      </c>
      <c r="G185" s="9" t="s">
        <v>78</v>
      </c>
      <c r="H185" s="9" t="s">
        <v>166</v>
      </c>
    </row>
    <row r="186" spans="1:8" x14ac:dyDescent="0.3">
      <c r="A186" s="9">
        <v>2023</v>
      </c>
      <c r="B186" s="9" t="s">
        <v>80</v>
      </c>
      <c r="C186" s="9">
        <v>2241.6</v>
      </c>
      <c r="D186" s="10" t="s">
        <v>65</v>
      </c>
      <c r="E186" s="9">
        <v>2241607</v>
      </c>
      <c r="F186" s="9" t="s">
        <v>66</v>
      </c>
      <c r="G186" s="9" t="s">
        <v>67</v>
      </c>
      <c r="H186" s="9" t="s">
        <v>166</v>
      </c>
    </row>
    <row r="187" spans="1:8" x14ac:dyDescent="0.3">
      <c r="A187" s="9">
        <v>2023</v>
      </c>
      <c r="B187" s="9" t="s">
        <v>80</v>
      </c>
      <c r="C187" s="9">
        <v>4600</v>
      </c>
      <c r="D187" s="10" t="s">
        <v>65</v>
      </c>
      <c r="E187" s="9">
        <v>4600000</v>
      </c>
      <c r="F187" s="10" t="s">
        <v>81</v>
      </c>
      <c r="G187" s="9" t="s">
        <v>68</v>
      </c>
      <c r="H187" s="9" t="s">
        <v>166</v>
      </c>
    </row>
    <row r="188" spans="1:8" x14ac:dyDescent="0.3">
      <c r="A188" s="9">
        <v>2023</v>
      </c>
      <c r="B188" s="9" t="s">
        <v>80</v>
      </c>
      <c r="C188" s="9">
        <v>123643</v>
      </c>
      <c r="D188" s="10" t="s">
        <v>65</v>
      </c>
      <c r="E188" s="9">
        <v>123643009</v>
      </c>
      <c r="F188" s="9" t="s">
        <v>82</v>
      </c>
      <c r="G188" s="9" t="s">
        <v>83</v>
      </c>
      <c r="H188" s="9" t="s">
        <v>166</v>
      </c>
    </row>
    <row r="189" spans="1:8" x14ac:dyDescent="0.3">
      <c r="A189" s="9">
        <v>2023</v>
      </c>
      <c r="B189" s="9" t="s">
        <v>80</v>
      </c>
      <c r="C189" s="9">
        <v>12766</v>
      </c>
      <c r="D189" s="10" t="s">
        <v>65</v>
      </c>
      <c r="E189" s="9">
        <v>12766000</v>
      </c>
      <c r="F189" s="9" t="s">
        <v>69</v>
      </c>
      <c r="G189" s="9" t="s">
        <v>84</v>
      </c>
      <c r="H189" s="9" t="s">
        <v>166</v>
      </c>
    </row>
    <row r="190" spans="1:8" x14ac:dyDescent="0.3">
      <c r="A190" s="9">
        <v>2023</v>
      </c>
      <c r="B190" s="9" t="s">
        <v>80</v>
      </c>
      <c r="C190" s="9">
        <v>16054.2</v>
      </c>
      <c r="D190" s="10" t="s">
        <v>65</v>
      </c>
      <c r="E190" s="9">
        <v>16054214</v>
      </c>
      <c r="F190" s="9" t="s">
        <v>69</v>
      </c>
      <c r="G190" s="9" t="s">
        <v>70</v>
      </c>
      <c r="H190" s="9" t="s">
        <v>166</v>
      </c>
    </row>
    <row r="191" spans="1:8" x14ac:dyDescent="0.3">
      <c r="A191" s="9">
        <v>2023</v>
      </c>
      <c r="B191" s="9" t="s">
        <v>90</v>
      </c>
      <c r="C191" s="9">
        <v>3134.9</v>
      </c>
      <c r="D191" s="10" t="s">
        <v>65</v>
      </c>
      <c r="E191" s="9">
        <v>3134869</v>
      </c>
      <c r="F191" s="9" t="s">
        <v>66</v>
      </c>
      <c r="G191" s="9" t="s">
        <v>67</v>
      </c>
      <c r="H191" s="9" t="s">
        <v>166</v>
      </c>
    </row>
    <row r="192" spans="1:8" x14ac:dyDescent="0.3">
      <c r="A192" s="9">
        <v>2023</v>
      </c>
      <c r="B192" s="9" t="s">
        <v>90</v>
      </c>
      <c r="C192" s="9">
        <v>2000</v>
      </c>
      <c r="D192" s="10" t="s">
        <v>65</v>
      </c>
      <c r="E192" s="9">
        <v>2000000</v>
      </c>
      <c r="F192" s="9" t="s">
        <v>69</v>
      </c>
      <c r="G192" s="9" t="s">
        <v>91</v>
      </c>
      <c r="H192" s="9" t="s">
        <v>166</v>
      </c>
    </row>
    <row r="193" spans="1:8" x14ac:dyDescent="0.3">
      <c r="A193" s="9">
        <v>2023</v>
      </c>
      <c r="B193" s="9" t="s">
        <v>96</v>
      </c>
      <c r="C193" s="9">
        <v>9361.9</v>
      </c>
      <c r="D193" s="10" t="s">
        <v>65</v>
      </c>
      <c r="E193" s="11">
        <v>9361922</v>
      </c>
      <c r="F193" s="9" t="s">
        <v>66</v>
      </c>
      <c r="G193" s="9" t="s">
        <v>67</v>
      </c>
      <c r="H193" s="9" t="s">
        <v>166</v>
      </c>
    </row>
    <row r="194" spans="1:8" x14ac:dyDescent="0.3">
      <c r="A194" s="9">
        <v>2023</v>
      </c>
      <c r="B194" s="9" t="s">
        <v>96</v>
      </c>
      <c r="C194" s="9">
        <v>28300</v>
      </c>
      <c r="D194" s="10" t="s">
        <v>65</v>
      </c>
      <c r="E194" s="9">
        <v>28300000</v>
      </c>
      <c r="F194" s="10" t="s">
        <v>81</v>
      </c>
      <c r="G194" s="9" t="s">
        <v>68</v>
      </c>
      <c r="H194" s="9" t="s">
        <v>166</v>
      </c>
    </row>
    <row r="195" spans="1:8" x14ac:dyDescent="0.3">
      <c r="A195" s="9">
        <v>2023</v>
      </c>
      <c r="B195" s="9" t="s">
        <v>96</v>
      </c>
      <c r="C195" s="9">
        <v>17248.8</v>
      </c>
      <c r="D195" s="10" t="s">
        <v>65</v>
      </c>
      <c r="E195" s="9">
        <v>17248770</v>
      </c>
      <c r="F195" s="9" t="s">
        <v>82</v>
      </c>
      <c r="G195" s="9" t="s">
        <v>83</v>
      </c>
      <c r="H195" s="9" t="s">
        <v>166</v>
      </c>
    </row>
    <row r="196" spans="1:8" x14ac:dyDescent="0.3">
      <c r="A196" s="9">
        <v>2023</v>
      </c>
      <c r="B196" s="9" t="s">
        <v>96</v>
      </c>
      <c r="C196" s="9">
        <v>1578.2</v>
      </c>
      <c r="D196" s="10" t="s">
        <v>65</v>
      </c>
      <c r="E196" s="9">
        <v>1578243</v>
      </c>
      <c r="F196" s="9" t="s">
        <v>69</v>
      </c>
      <c r="G196" s="9" t="s">
        <v>91</v>
      </c>
      <c r="H196" s="9" t="s">
        <v>166</v>
      </c>
    </row>
    <row r="197" spans="1:8" x14ac:dyDescent="0.3">
      <c r="A197" s="9">
        <v>2023</v>
      </c>
      <c r="B197" s="9" t="s">
        <v>96</v>
      </c>
      <c r="C197" s="9">
        <v>15450</v>
      </c>
      <c r="D197" s="10" t="s">
        <v>65</v>
      </c>
      <c r="E197" s="9">
        <v>15450000</v>
      </c>
      <c r="F197" s="9" t="s">
        <v>69</v>
      </c>
      <c r="G197" s="9" t="s">
        <v>84</v>
      </c>
      <c r="H197" s="9" t="s">
        <v>166</v>
      </c>
    </row>
    <row r="198" spans="1:8" x14ac:dyDescent="0.3">
      <c r="A198" s="9">
        <v>2023</v>
      </c>
      <c r="B198" s="9" t="s">
        <v>96</v>
      </c>
      <c r="C198" s="9">
        <v>6622.2</v>
      </c>
      <c r="D198" s="10" t="s">
        <v>65</v>
      </c>
      <c r="E198" s="9">
        <v>6622214</v>
      </c>
      <c r="F198" s="9" t="s">
        <v>69</v>
      </c>
      <c r="G198" s="9" t="s">
        <v>70</v>
      </c>
      <c r="H198" s="9" t="s">
        <v>166</v>
      </c>
    </row>
    <row r="199" spans="1:8" x14ac:dyDescent="0.3">
      <c r="A199" s="9">
        <v>2023</v>
      </c>
      <c r="B199" s="9" t="s">
        <v>97</v>
      </c>
      <c r="C199" s="9">
        <v>5675.3</v>
      </c>
      <c r="D199" s="10" t="s">
        <v>65</v>
      </c>
      <c r="E199" s="9">
        <v>5675261</v>
      </c>
      <c r="F199" s="9" t="s">
        <v>66</v>
      </c>
      <c r="G199" s="9" t="s">
        <v>67</v>
      </c>
      <c r="H199" s="9" t="s">
        <v>166</v>
      </c>
    </row>
    <row r="200" spans="1:8" x14ac:dyDescent="0.3">
      <c r="A200" s="9">
        <v>2023</v>
      </c>
      <c r="B200" s="9" t="s">
        <v>97</v>
      </c>
      <c r="C200" s="9">
        <v>10000</v>
      </c>
      <c r="D200" s="9" t="s">
        <v>98</v>
      </c>
      <c r="E200" s="9">
        <v>10000000</v>
      </c>
      <c r="F200" s="9" t="s">
        <v>99</v>
      </c>
      <c r="G200" s="9" t="s">
        <v>100</v>
      </c>
      <c r="H200" s="9" t="s">
        <v>166</v>
      </c>
    </row>
    <row r="201" spans="1:8" x14ac:dyDescent="0.3">
      <c r="A201" s="9">
        <v>2023</v>
      </c>
      <c r="B201" s="9" t="s">
        <v>101</v>
      </c>
      <c r="C201" s="9">
        <v>6343.1</v>
      </c>
      <c r="D201" s="10" t="s">
        <v>65</v>
      </c>
      <c r="E201" s="9">
        <v>6343082</v>
      </c>
      <c r="F201" s="9" t="s">
        <v>66</v>
      </c>
      <c r="G201" s="9" t="s">
        <v>67</v>
      </c>
      <c r="H201" s="9" t="s">
        <v>166</v>
      </c>
    </row>
    <row r="202" spans="1:8" x14ac:dyDescent="0.3">
      <c r="A202" s="9">
        <v>2023</v>
      </c>
      <c r="B202" s="9" t="s">
        <v>101</v>
      </c>
      <c r="C202" s="9">
        <v>1700</v>
      </c>
      <c r="D202" s="10" t="s">
        <v>65</v>
      </c>
      <c r="E202" s="9">
        <v>1700000</v>
      </c>
      <c r="F202" s="9" t="s">
        <v>81</v>
      </c>
      <c r="G202" s="9" t="s">
        <v>68</v>
      </c>
      <c r="H202" s="9" t="s">
        <v>166</v>
      </c>
    </row>
    <row r="203" spans="1:8" x14ac:dyDescent="0.3">
      <c r="A203" s="9">
        <v>2023</v>
      </c>
      <c r="B203" s="9" t="s">
        <v>102</v>
      </c>
      <c r="C203" s="9">
        <v>11886</v>
      </c>
      <c r="D203" s="10" t="s">
        <v>65</v>
      </c>
      <c r="E203" s="9">
        <v>11886000</v>
      </c>
      <c r="F203" s="9" t="s">
        <v>66</v>
      </c>
      <c r="G203" s="9" t="s">
        <v>67</v>
      </c>
      <c r="H203" s="9" t="s">
        <v>166</v>
      </c>
    </row>
    <row r="204" spans="1:8" x14ac:dyDescent="0.3">
      <c r="A204" s="9">
        <v>2022</v>
      </c>
      <c r="B204" s="9" t="s">
        <v>104</v>
      </c>
      <c r="C204" s="9">
        <v>115000</v>
      </c>
      <c r="D204" s="10" t="s">
        <v>65</v>
      </c>
      <c r="E204" s="9">
        <v>115000000</v>
      </c>
      <c r="F204" s="9" t="s">
        <v>81</v>
      </c>
      <c r="G204" s="9" t="s">
        <v>105</v>
      </c>
      <c r="H204" s="9" t="s">
        <v>166</v>
      </c>
    </row>
    <row r="205" spans="1:8" x14ac:dyDescent="0.3">
      <c r="A205" s="9">
        <v>2022</v>
      </c>
      <c r="B205" s="9" t="s">
        <v>104</v>
      </c>
      <c r="C205" s="9">
        <v>66940.600000000006</v>
      </c>
      <c r="D205" s="10" t="s">
        <v>65</v>
      </c>
      <c r="E205" s="9">
        <v>66940563</v>
      </c>
      <c r="F205" s="9" t="s">
        <v>81</v>
      </c>
      <c r="G205" s="9" t="s">
        <v>68</v>
      </c>
      <c r="H205" s="9" t="s">
        <v>166</v>
      </c>
    </row>
    <row r="206" spans="1:8" x14ac:dyDescent="0.3">
      <c r="A206" s="9">
        <v>2022</v>
      </c>
      <c r="B206" s="9" t="s">
        <v>104</v>
      </c>
      <c r="C206" s="9">
        <v>17703.3</v>
      </c>
      <c r="D206" s="10" t="s">
        <v>65</v>
      </c>
      <c r="E206" s="9">
        <v>17703272</v>
      </c>
      <c r="F206" s="9" t="s">
        <v>81</v>
      </c>
      <c r="G206" s="9" t="s">
        <v>106</v>
      </c>
      <c r="H206" s="9" t="s">
        <v>166</v>
      </c>
    </row>
    <row r="207" spans="1:8" x14ac:dyDescent="0.3">
      <c r="A207" s="9">
        <v>2022</v>
      </c>
      <c r="B207" s="9" t="s">
        <v>109</v>
      </c>
      <c r="C207" s="9">
        <v>35000</v>
      </c>
      <c r="D207" s="10" t="s">
        <v>65</v>
      </c>
      <c r="E207" s="9">
        <v>35000000</v>
      </c>
      <c r="F207" s="9" t="s">
        <v>81</v>
      </c>
      <c r="G207" s="9" t="s">
        <v>105</v>
      </c>
      <c r="H207" s="9" t="s">
        <v>166</v>
      </c>
    </row>
    <row r="208" spans="1:8" x14ac:dyDescent="0.3">
      <c r="A208" s="9">
        <v>2022</v>
      </c>
      <c r="B208" s="9" t="s">
        <v>109</v>
      </c>
      <c r="C208" s="9">
        <v>18300</v>
      </c>
      <c r="D208" s="9" t="s">
        <v>98</v>
      </c>
      <c r="E208" s="9">
        <v>18300000</v>
      </c>
      <c r="F208" s="9" t="s">
        <v>99</v>
      </c>
      <c r="G208" s="9" t="s">
        <v>100</v>
      </c>
      <c r="H208" s="9" t="s">
        <v>166</v>
      </c>
    </row>
    <row r="209" spans="1:8" x14ac:dyDescent="0.3">
      <c r="A209" s="9">
        <v>2022</v>
      </c>
      <c r="B209" s="9" t="s">
        <v>109</v>
      </c>
      <c r="C209" s="9">
        <v>12457.5</v>
      </c>
      <c r="D209" s="10" t="s">
        <v>65</v>
      </c>
      <c r="E209" s="9">
        <v>12457517</v>
      </c>
      <c r="F209" s="9" t="s">
        <v>110</v>
      </c>
      <c r="G209" s="9" t="s">
        <v>67</v>
      </c>
      <c r="H209" s="9" t="s">
        <v>166</v>
      </c>
    </row>
    <row r="210" spans="1:8" x14ac:dyDescent="0.3">
      <c r="A210" s="9">
        <v>2022</v>
      </c>
      <c r="B210" s="9" t="s">
        <v>111</v>
      </c>
      <c r="C210" s="9">
        <v>5031.2</v>
      </c>
      <c r="D210" s="10" t="s">
        <v>65</v>
      </c>
      <c r="E210" s="9">
        <v>5031235</v>
      </c>
      <c r="F210" s="9" t="s">
        <v>110</v>
      </c>
      <c r="G210" s="9" t="s">
        <v>67</v>
      </c>
      <c r="H210" s="9" t="s">
        <v>166</v>
      </c>
    </row>
    <row r="211" spans="1:8" x14ac:dyDescent="0.3">
      <c r="A211" s="9">
        <v>2022</v>
      </c>
      <c r="B211" s="9" t="s">
        <v>77</v>
      </c>
      <c r="C211" s="9">
        <v>4607.3</v>
      </c>
      <c r="D211" s="10" t="s">
        <v>65</v>
      </c>
      <c r="E211" s="9">
        <v>4607263</v>
      </c>
      <c r="F211" s="9" t="s">
        <v>110</v>
      </c>
      <c r="G211" s="9" t="s">
        <v>67</v>
      </c>
      <c r="H211" s="9" t="s">
        <v>166</v>
      </c>
    </row>
    <row r="212" spans="1:8" x14ac:dyDescent="0.3">
      <c r="A212" s="9">
        <v>2022</v>
      </c>
      <c r="B212" s="9" t="s">
        <v>80</v>
      </c>
      <c r="C212" s="9">
        <v>2078.6</v>
      </c>
      <c r="D212" s="10" t="s">
        <v>65</v>
      </c>
      <c r="E212" s="9">
        <v>2078621</v>
      </c>
      <c r="F212" s="9" t="s">
        <v>110</v>
      </c>
      <c r="G212" s="9" t="s">
        <v>67</v>
      </c>
      <c r="H212" s="9" t="s">
        <v>166</v>
      </c>
    </row>
    <row r="213" spans="1:8" x14ac:dyDescent="0.3">
      <c r="A213" s="9">
        <v>2022</v>
      </c>
      <c r="B213" s="9" t="s">
        <v>90</v>
      </c>
      <c r="C213" s="9">
        <v>1569.6</v>
      </c>
      <c r="D213" s="10" t="s">
        <v>65</v>
      </c>
      <c r="E213" s="9">
        <v>1569640</v>
      </c>
      <c r="F213" s="9" t="s">
        <v>110</v>
      </c>
      <c r="G213" s="9" t="s">
        <v>67</v>
      </c>
      <c r="H213" s="9" t="s">
        <v>166</v>
      </c>
    </row>
    <row r="214" spans="1:8" x14ac:dyDescent="0.3">
      <c r="A214" s="9">
        <v>2022</v>
      </c>
      <c r="B214" s="9" t="s">
        <v>96</v>
      </c>
      <c r="C214" s="9">
        <v>4203.7</v>
      </c>
      <c r="D214" s="10" t="s">
        <v>65</v>
      </c>
      <c r="E214" s="9">
        <v>4203745</v>
      </c>
      <c r="F214" s="9" t="s">
        <v>110</v>
      </c>
      <c r="G214" s="9" t="s">
        <v>67</v>
      </c>
      <c r="H214" s="9" t="s">
        <v>166</v>
      </c>
    </row>
    <row r="215" spans="1:8" x14ac:dyDescent="0.3">
      <c r="A215" s="9">
        <v>2022</v>
      </c>
      <c r="B215" s="9" t="s">
        <v>97</v>
      </c>
      <c r="C215" s="9">
        <v>3038</v>
      </c>
      <c r="D215" s="10" t="s">
        <v>65</v>
      </c>
      <c r="E215" s="9">
        <v>3037979</v>
      </c>
      <c r="F215" s="9" t="s">
        <v>110</v>
      </c>
      <c r="G215" s="9" t="s">
        <v>67</v>
      </c>
      <c r="H215" s="9" t="s">
        <v>166</v>
      </c>
    </row>
    <row r="216" spans="1:8" x14ac:dyDescent="0.3">
      <c r="A216" s="9">
        <v>2022</v>
      </c>
      <c r="B216" s="9" t="s">
        <v>101</v>
      </c>
      <c r="C216" s="9">
        <v>4014</v>
      </c>
      <c r="D216" s="10" t="s">
        <v>65</v>
      </c>
      <c r="E216" s="9">
        <v>4014000</v>
      </c>
      <c r="F216" s="9" t="s">
        <v>110</v>
      </c>
      <c r="G216" s="9" t="s">
        <v>67</v>
      </c>
      <c r="H216" s="9" t="s">
        <v>166</v>
      </c>
    </row>
    <row r="217" spans="1:8" x14ac:dyDescent="0.3">
      <c r="A217" s="9">
        <v>2021</v>
      </c>
      <c r="B217" s="9" t="s">
        <v>96</v>
      </c>
      <c r="C217" s="9">
        <v>13830</v>
      </c>
      <c r="D217" s="9" t="s">
        <v>98</v>
      </c>
      <c r="E217" s="9">
        <v>13830000</v>
      </c>
      <c r="F217" s="9" t="s">
        <v>99</v>
      </c>
      <c r="G217" s="9" t="s">
        <v>115</v>
      </c>
      <c r="H217" s="9" t="s">
        <v>166</v>
      </c>
    </row>
    <row r="218" spans="1:8" x14ac:dyDescent="0.3">
      <c r="A218" s="9">
        <v>2021</v>
      </c>
      <c r="B218" s="9" t="s">
        <v>97</v>
      </c>
      <c r="C218" s="9">
        <v>1670</v>
      </c>
      <c r="D218" s="9" t="s">
        <v>98</v>
      </c>
      <c r="E218" s="9">
        <v>1670000</v>
      </c>
      <c r="F218" s="9" t="s">
        <v>99</v>
      </c>
      <c r="G218" s="9" t="s">
        <v>115</v>
      </c>
      <c r="H218" s="9" t="s">
        <v>166</v>
      </c>
    </row>
    <row r="219" spans="1:8" x14ac:dyDescent="0.3">
      <c r="A219" s="9">
        <v>2020</v>
      </c>
      <c r="B219" s="9" t="s">
        <v>104</v>
      </c>
      <c r="C219" s="9">
        <v>24500</v>
      </c>
      <c r="D219" s="9" t="s">
        <v>98</v>
      </c>
      <c r="E219" s="9">
        <v>24500000</v>
      </c>
      <c r="F219" s="9" t="s">
        <v>99</v>
      </c>
      <c r="G219" s="9" t="s">
        <v>115</v>
      </c>
      <c r="H219" s="9" t="s">
        <v>166</v>
      </c>
    </row>
    <row r="220" spans="1:8" x14ac:dyDescent="0.3">
      <c r="A220" s="9">
        <v>2020</v>
      </c>
      <c r="B220" s="9" t="s">
        <v>80</v>
      </c>
      <c r="C220" s="9">
        <v>2150</v>
      </c>
      <c r="D220" s="9" t="s">
        <v>65</v>
      </c>
      <c r="E220" s="9">
        <v>2150000</v>
      </c>
      <c r="F220" s="9" t="s">
        <v>81</v>
      </c>
      <c r="G220" s="9" t="s">
        <v>64</v>
      </c>
      <c r="H220" s="9" t="s">
        <v>166</v>
      </c>
    </row>
    <row r="221" spans="1:8" x14ac:dyDescent="0.3">
      <c r="A221" s="9">
        <v>2020</v>
      </c>
      <c r="B221" s="9" t="s">
        <v>80</v>
      </c>
      <c r="C221" s="9">
        <v>7359.9</v>
      </c>
      <c r="D221" s="9" t="s">
        <v>98</v>
      </c>
      <c r="E221" s="9">
        <v>7359900</v>
      </c>
      <c r="F221" s="9" t="s">
        <v>99</v>
      </c>
      <c r="G221" s="9" t="s">
        <v>115</v>
      </c>
      <c r="H221" s="9" t="s">
        <v>166</v>
      </c>
    </row>
    <row r="222" spans="1:8" x14ac:dyDescent="0.3">
      <c r="A222" s="9">
        <v>2020</v>
      </c>
      <c r="B222" s="9" t="s">
        <v>90</v>
      </c>
      <c r="C222" s="9">
        <v>13600</v>
      </c>
      <c r="D222" s="9" t="s">
        <v>65</v>
      </c>
      <c r="E222" s="9">
        <v>13600000</v>
      </c>
      <c r="F222" s="9" t="s">
        <v>81</v>
      </c>
      <c r="G222" s="9" t="s">
        <v>64</v>
      </c>
      <c r="H222" s="9" t="s">
        <v>166</v>
      </c>
    </row>
    <row r="223" spans="1:8" x14ac:dyDescent="0.3">
      <c r="A223" s="9">
        <v>2020</v>
      </c>
      <c r="B223" s="9" t="s">
        <v>90</v>
      </c>
      <c r="C223" s="9">
        <v>6500</v>
      </c>
      <c r="D223" s="9" t="s">
        <v>98</v>
      </c>
      <c r="E223" s="9">
        <v>6500000</v>
      </c>
      <c r="F223" s="9" t="s">
        <v>99</v>
      </c>
      <c r="G223" s="9" t="s">
        <v>115</v>
      </c>
      <c r="H223" s="9" t="s">
        <v>166</v>
      </c>
    </row>
    <row r="224" spans="1:8" x14ac:dyDescent="0.3">
      <c r="A224" s="9">
        <v>2020</v>
      </c>
      <c r="B224" s="9" t="s">
        <v>96</v>
      </c>
      <c r="C224" s="9">
        <v>3000</v>
      </c>
      <c r="D224" s="9" t="s">
        <v>65</v>
      </c>
      <c r="E224" s="9">
        <v>3000000</v>
      </c>
      <c r="F224" s="9" t="s">
        <v>81</v>
      </c>
      <c r="G224" s="9" t="s">
        <v>64</v>
      </c>
      <c r="H224" s="9" t="s">
        <v>166</v>
      </c>
    </row>
    <row r="225" spans="1:8" x14ac:dyDescent="0.3">
      <c r="A225" s="9">
        <v>2020</v>
      </c>
      <c r="B225" s="9" t="s">
        <v>97</v>
      </c>
      <c r="C225" s="9">
        <v>6640.1</v>
      </c>
      <c r="D225" s="9" t="s">
        <v>98</v>
      </c>
      <c r="E225" s="9">
        <v>6640100</v>
      </c>
      <c r="F225" s="9" t="s">
        <v>99</v>
      </c>
      <c r="G225" s="9" t="s">
        <v>115</v>
      </c>
      <c r="H225" s="9" t="s">
        <v>166</v>
      </c>
    </row>
    <row r="226" spans="1:8" x14ac:dyDescent="0.3">
      <c r="A226" s="9">
        <v>2020</v>
      </c>
      <c r="B226" s="9" t="s">
        <v>101</v>
      </c>
      <c r="C226" s="9">
        <v>3000</v>
      </c>
      <c r="D226" s="9" t="s">
        <v>65</v>
      </c>
      <c r="E226" s="9">
        <v>3000000</v>
      </c>
      <c r="F226" s="9" t="s">
        <v>81</v>
      </c>
      <c r="G226" s="9" t="s">
        <v>64</v>
      </c>
      <c r="H226" s="9" t="s">
        <v>166</v>
      </c>
    </row>
    <row r="227" spans="1:8" x14ac:dyDescent="0.3">
      <c r="A227" s="9">
        <v>2020</v>
      </c>
      <c r="B227" s="9" t="s">
        <v>103</v>
      </c>
      <c r="C227" s="9">
        <v>6000</v>
      </c>
      <c r="D227" s="9" t="s">
        <v>65</v>
      </c>
      <c r="E227" s="9">
        <v>6000000</v>
      </c>
      <c r="F227" s="9" t="s">
        <v>81</v>
      </c>
      <c r="G227" s="9" t="s">
        <v>64</v>
      </c>
      <c r="H227" s="9" t="s">
        <v>166</v>
      </c>
    </row>
    <row r="228" spans="1:8" x14ac:dyDescent="0.3">
      <c r="A228" s="9">
        <v>2019</v>
      </c>
      <c r="B228" s="9" t="s">
        <v>109</v>
      </c>
      <c r="C228" s="9">
        <v>4000</v>
      </c>
      <c r="D228" s="9" t="s">
        <v>65</v>
      </c>
      <c r="E228" s="9">
        <v>4000000</v>
      </c>
      <c r="F228" s="9" t="s">
        <v>81</v>
      </c>
      <c r="G228" s="9" t="s">
        <v>64</v>
      </c>
      <c r="H228" s="9" t="s">
        <v>166</v>
      </c>
    </row>
    <row r="229" spans="1:8" x14ac:dyDescent="0.3">
      <c r="A229" s="9">
        <v>2019</v>
      </c>
      <c r="B229" s="9" t="s">
        <v>109</v>
      </c>
      <c r="C229" s="9">
        <v>4055.2</v>
      </c>
      <c r="D229" s="9" t="s">
        <v>98</v>
      </c>
      <c r="E229" s="9">
        <v>4055202</v>
      </c>
      <c r="F229" s="9" t="s">
        <v>99</v>
      </c>
      <c r="G229" s="9" t="s">
        <v>115</v>
      </c>
      <c r="H229" s="9" t="s">
        <v>166</v>
      </c>
    </row>
    <row r="230" spans="1:8" x14ac:dyDescent="0.3">
      <c r="A230" s="9">
        <v>2019</v>
      </c>
      <c r="B230" s="9" t="s">
        <v>111</v>
      </c>
      <c r="C230" s="9">
        <v>2500</v>
      </c>
      <c r="D230" s="9" t="s">
        <v>65</v>
      </c>
      <c r="E230" s="9">
        <v>2500000</v>
      </c>
      <c r="F230" s="9" t="s">
        <v>81</v>
      </c>
      <c r="G230" s="9" t="s">
        <v>64</v>
      </c>
      <c r="H230" s="9" t="s">
        <v>166</v>
      </c>
    </row>
    <row r="231" spans="1:8" x14ac:dyDescent="0.3">
      <c r="A231" s="9">
        <v>2019</v>
      </c>
      <c r="B231" s="9" t="s">
        <v>111</v>
      </c>
      <c r="C231" s="9">
        <v>15444.8</v>
      </c>
      <c r="D231" s="9" t="s">
        <v>98</v>
      </c>
      <c r="E231" s="9">
        <v>15444798</v>
      </c>
      <c r="F231" s="9" t="s">
        <v>99</v>
      </c>
      <c r="G231" s="9" t="s">
        <v>115</v>
      </c>
      <c r="H231" s="9" t="s">
        <v>166</v>
      </c>
    </row>
    <row r="232" spans="1:8" x14ac:dyDescent="0.3">
      <c r="A232" s="9">
        <v>2019</v>
      </c>
      <c r="B232" s="9" t="s">
        <v>77</v>
      </c>
      <c r="C232" s="9">
        <v>2000</v>
      </c>
      <c r="D232" s="9" t="s">
        <v>65</v>
      </c>
      <c r="E232" s="9">
        <v>2000000</v>
      </c>
      <c r="F232" s="9" t="s">
        <v>81</v>
      </c>
      <c r="G232" s="9" t="s">
        <v>64</v>
      </c>
      <c r="H232" s="9" t="s">
        <v>166</v>
      </c>
    </row>
    <row r="233" spans="1:8" x14ac:dyDescent="0.3">
      <c r="A233" s="9">
        <v>2019</v>
      </c>
      <c r="B233" s="9" t="s">
        <v>90</v>
      </c>
      <c r="C233" s="9">
        <v>500</v>
      </c>
      <c r="D233" s="9" t="s">
        <v>65</v>
      </c>
      <c r="E233" s="9">
        <v>500000</v>
      </c>
      <c r="F233" s="9" t="s">
        <v>81</v>
      </c>
      <c r="G233" s="9" t="s">
        <v>64</v>
      </c>
      <c r="H233" s="9" t="s">
        <v>166</v>
      </c>
    </row>
    <row r="234" spans="1:8" x14ac:dyDescent="0.3">
      <c r="A234" s="9">
        <v>2019</v>
      </c>
      <c r="B234" s="9" t="s">
        <v>96</v>
      </c>
      <c r="C234" s="9">
        <v>2000</v>
      </c>
      <c r="D234" s="9" t="s">
        <v>65</v>
      </c>
      <c r="E234" s="9">
        <v>2000000</v>
      </c>
      <c r="F234" s="9" t="s">
        <v>81</v>
      </c>
      <c r="G234" s="9" t="s">
        <v>64</v>
      </c>
      <c r="H234" s="9" t="s">
        <v>166</v>
      </c>
    </row>
    <row r="235" spans="1:8" x14ac:dyDescent="0.3">
      <c r="A235" s="9">
        <v>2019</v>
      </c>
      <c r="B235" s="9" t="s">
        <v>97</v>
      </c>
      <c r="C235" s="9">
        <v>3000</v>
      </c>
      <c r="D235" s="9" t="s">
        <v>65</v>
      </c>
      <c r="E235" s="9">
        <v>3000000</v>
      </c>
      <c r="F235" s="9" t="s">
        <v>81</v>
      </c>
      <c r="G235" s="9" t="s">
        <v>64</v>
      </c>
      <c r="H235" s="9" t="s">
        <v>166</v>
      </c>
    </row>
    <row r="236" spans="1:8" x14ac:dyDescent="0.3">
      <c r="A236" s="9">
        <v>2019</v>
      </c>
      <c r="B236" s="9" t="s">
        <v>121</v>
      </c>
      <c r="C236" s="9">
        <v>2000</v>
      </c>
      <c r="D236" s="9" t="s">
        <v>65</v>
      </c>
      <c r="E236" s="9">
        <v>2000000</v>
      </c>
      <c r="F236" s="9" t="s">
        <v>81</v>
      </c>
      <c r="G236" s="9" t="s">
        <v>64</v>
      </c>
      <c r="H236" s="9" t="s">
        <v>166</v>
      </c>
    </row>
    <row r="237" spans="1:8" x14ac:dyDescent="0.3">
      <c r="A237" s="9">
        <v>2018</v>
      </c>
      <c r="B237" s="9" t="s">
        <v>104</v>
      </c>
      <c r="C237" s="9">
        <v>12240.8</v>
      </c>
      <c r="D237" s="9" t="s">
        <v>65</v>
      </c>
      <c r="E237" s="9">
        <v>12240800</v>
      </c>
      <c r="F237" s="9" t="s">
        <v>81</v>
      </c>
      <c r="G237" s="9" t="s">
        <v>64</v>
      </c>
      <c r="H237" s="9" t="s">
        <v>166</v>
      </c>
    </row>
    <row r="238" spans="1:8" x14ac:dyDescent="0.3">
      <c r="A238" s="9">
        <v>2018</v>
      </c>
      <c r="B238" s="9" t="s">
        <v>104</v>
      </c>
      <c r="C238" s="9">
        <v>20000</v>
      </c>
      <c r="D238" s="9" t="s">
        <v>98</v>
      </c>
      <c r="E238" s="9">
        <v>20000000</v>
      </c>
      <c r="F238" s="9" t="s">
        <v>99</v>
      </c>
      <c r="G238" s="9" t="s">
        <v>115</v>
      </c>
      <c r="H238" s="9" t="s">
        <v>166</v>
      </c>
    </row>
    <row r="239" spans="1:8" x14ac:dyDescent="0.3">
      <c r="A239" s="9">
        <v>2018</v>
      </c>
      <c r="B239" s="9" t="s">
        <v>109</v>
      </c>
      <c r="C239" s="9">
        <v>12759.2</v>
      </c>
      <c r="D239" s="9" t="s">
        <v>65</v>
      </c>
      <c r="E239" s="9">
        <v>12759200</v>
      </c>
      <c r="F239" s="9" t="s">
        <v>81</v>
      </c>
      <c r="G239" s="9" t="s">
        <v>64</v>
      </c>
      <c r="H239" s="9" t="s">
        <v>166</v>
      </c>
    </row>
    <row r="240" spans="1:8" x14ac:dyDescent="0.3">
      <c r="A240" s="9">
        <v>2018</v>
      </c>
      <c r="B240" s="9" t="s">
        <v>111</v>
      </c>
      <c r="C240" s="9">
        <v>2000</v>
      </c>
      <c r="D240" s="9" t="s">
        <v>65</v>
      </c>
      <c r="E240" s="9">
        <v>2000000</v>
      </c>
      <c r="F240" s="9" t="s">
        <v>81</v>
      </c>
      <c r="G240" s="9" t="s">
        <v>64</v>
      </c>
      <c r="H240" s="9" t="s">
        <v>166</v>
      </c>
    </row>
    <row r="241" spans="1:8" x14ac:dyDescent="0.3">
      <c r="A241" s="9">
        <v>2018</v>
      </c>
      <c r="B241" s="9" t="s">
        <v>77</v>
      </c>
      <c r="C241" s="9">
        <v>2000</v>
      </c>
      <c r="D241" s="9" t="s">
        <v>65</v>
      </c>
      <c r="E241" s="9">
        <v>2000000</v>
      </c>
      <c r="F241" s="9" t="s">
        <v>81</v>
      </c>
      <c r="G241" s="9" t="s">
        <v>64</v>
      </c>
      <c r="H241" s="9" t="s">
        <v>166</v>
      </c>
    </row>
    <row r="242" spans="1:8" x14ac:dyDescent="0.3">
      <c r="A242" s="9">
        <v>2017</v>
      </c>
      <c r="B242" s="9" t="s">
        <v>80</v>
      </c>
      <c r="C242" s="9">
        <v>16710</v>
      </c>
      <c r="D242" s="9" t="s">
        <v>65</v>
      </c>
      <c r="E242" s="9">
        <v>16710000</v>
      </c>
      <c r="F242" s="9" t="s">
        <v>81</v>
      </c>
      <c r="G242" s="9" t="s">
        <v>64</v>
      </c>
      <c r="H242" s="9" t="s">
        <v>166</v>
      </c>
    </row>
    <row r="243" spans="1:8" x14ac:dyDescent="0.3">
      <c r="A243" s="9">
        <v>2015</v>
      </c>
      <c r="B243" s="9" t="s">
        <v>104</v>
      </c>
      <c r="C243" s="9">
        <v>118600</v>
      </c>
      <c r="D243" s="9" t="s">
        <v>65</v>
      </c>
      <c r="E243" s="9">
        <v>1750000</v>
      </c>
      <c r="F243" s="9" t="s">
        <v>113</v>
      </c>
      <c r="G243" s="9" t="s">
        <v>114</v>
      </c>
      <c r="H243" s="9" t="s">
        <v>166</v>
      </c>
    </row>
    <row r="244" spans="1:8" x14ac:dyDescent="0.3">
      <c r="A244" s="9">
        <v>2015</v>
      </c>
      <c r="B244" s="9" t="s">
        <v>109</v>
      </c>
      <c r="C244" s="9">
        <v>75000</v>
      </c>
      <c r="D244" s="9" t="s">
        <v>65</v>
      </c>
      <c r="E244" s="9">
        <v>1156206</v>
      </c>
      <c r="F244" s="9" t="s">
        <v>85</v>
      </c>
      <c r="G244" s="10" t="s">
        <v>87</v>
      </c>
      <c r="H244" s="9" t="s">
        <v>166</v>
      </c>
    </row>
    <row r="245" spans="1:8" x14ac:dyDescent="0.3">
      <c r="A245" s="9">
        <v>2015</v>
      </c>
      <c r="B245" s="9" t="s">
        <v>102</v>
      </c>
      <c r="C245" s="9">
        <v>50000</v>
      </c>
      <c r="D245" s="9" t="s">
        <v>98</v>
      </c>
      <c r="E245" s="9">
        <v>50000000</v>
      </c>
      <c r="F245" s="9" t="s">
        <v>99</v>
      </c>
      <c r="G245" s="9" t="s">
        <v>115</v>
      </c>
      <c r="H245" s="9" t="s">
        <v>166</v>
      </c>
    </row>
    <row r="246" spans="1:8" x14ac:dyDescent="0.3">
      <c r="A246" s="9">
        <v>2015</v>
      </c>
      <c r="B246" s="9" t="s">
        <v>102</v>
      </c>
      <c r="C246" s="9">
        <v>57500</v>
      </c>
      <c r="D246" s="9" t="s">
        <v>98</v>
      </c>
      <c r="E246" s="9">
        <v>57500000</v>
      </c>
      <c r="F246" s="9" t="s">
        <v>123</v>
      </c>
      <c r="G246" s="9" t="s">
        <v>124</v>
      </c>
      <c r="H246" s="9" t="s">
        <v>166</v>
      </c>
    </row>
    <row r="247" spans="1:8" x14ac:dyDescent="0.3">
      <c r="A247" s="9">
        <v>2015</v>
      </c>
      <c r="B247" s="9" t="s">
        <v>103</v>
      </c>
      <c r="C247" s="9">
        <v>75000</v>
      </c>
      <c r="D247" s="9" t="s">
        <v>65</v>
      </c>
      <c r="E247" s="9">
        <v>1207024</v>
      </c>
      <c r="F247" s="9" t="s">
        <v>85</v>
      </c>
      <c r="G247" s="10" t="s">
        <v>87</v>
      </c>
      <c r="H247" s="9" t="s">
        <v>166</v>
      </c>
    </row>
    <row r="248" spans="1:8" x14ac:dyDescent="0.3">
      <c r="A248" s="9">
        <v>2014</v>
      </c>
      <c r="B248" s="9" t="s">
        <v>104</v>
      </c>
      <c r="C248" s="9">
        <v>1080</v>
      </c>
      <c r="D248" s="9" t="s">
        <v>65</v>
      </c>
      <c r="E248" s="9">
        <v>1080000</v>
      </c>
      <c r="F248" s="9" t="s">
        <v>107</v>
      </c>
      <c r="G248" s="9" t="s">
        <v>108</v>
      </c>
      <c r="H248" s="9" t="s">
        <v>166</v>
      </c>
    </row>
    <row r="249" spans="1:8" x14ac:dyDescent="0.3">
      <c r="A249" s="9">
        <v>2014</v>
      </c>
      <c r="B249" s="9" t="s">
        <v>104</v>
      </c>
      <c r="C249" s="9">
        <v>4050</v>
      </c>
      <c r="D249" s="9" t="s">
        <v>65</v>
      </c>
      <c r="E249" s="9">
        <v>4050000</v>
      </c>
      <c r="F249" s="9" t="s">
        <v>125</v>
      </c>
      <c r="G249" s="9" t="s">
        <v>126</v>
      </c>
      <c r="H249" s="9" t="s">
        <v>166</v>
      </c>
    </row>
    <row r="250" spans="1:8" x14ac:dyDescent="0.3">
      <c r="A250" s="9">
        <v>2023</v>
      </c>
      <c r="B250" s="9" t="s">
        <v>111</v>
      </c>
      <c r="C250" s="9">
        <v>-0.02</v>
      </c>
      <c r="D250" s="9" t="s">
        <v>65</v>
      </c>
      <c r="E250" s="9">
        <f>20000/(2000000/2000000)</f>
        <v>20000</v>
      </c>
      <c r="F250" s="10" t="s">
        <v>69</v>
      </c>
      <c r="G250" s="9" t="s">
        <v>91</v>
      </c>
      <c r="H250" s="9" t="s">
        <v>166</v>
      </c>
    </row>
    <row r="251" spans="1:8" x14ac:dyDescent="0.3">
      <c r="A251" s="9">
        <v>2023</v>
      </c>
      <c r="B251" s="9" t="s">
        <v>111</v>
      </c>
      <c r="C251" s="9">
        <v>-524.20000000000005</v>
      </c>
      <c r="D251" s="9" t="s">
        <v>65</v>
      </c>
      <c r="E251" s="11">
        <f>34948091*0.015</f>
        <v>524221.36499999999</v>
      </c>
      <c r="F251" s="9" t="s">
        <v>92</v>
      </c>
      <c r="G251" s="9" t="s">
        <v>93</v>
      </c>
      <c r="H251" s="9" t="s">
        <v>166</v>
      </c>
    </row>
    <row r="252" spans="1:8" x14ac:dyDescent="0.3">
      <c r="A252" s="9">
        <v>2023</v>
      </c>
      <c r="B252" s="9" t="s">
        <v>77</v>
      </c>
      <c r="C252" s="9">
        <v>-2298.9</v>
      </c>
      <c r="D252" s="9" t="s">
        <v>65</v>
      </c>
      <c r="E252" s="11">
        <f>2298929*1</f>
        <v>2298929</v>
      </c>
      <c r="F252" s="10" t="s">
        <v>86</v>
      </c>
      <c r="G252" s="9" t="s">
        <v>88</v>
      </c>
      <c r="H252" s="9" t="s">
        <v>166</v>
      </c>
    </row>
    <row r="253" spans="1:8" x14ac:dyDescent="0.3">
      <c r="A253" s="9">
        <v>2023</v>
      </c>
      <c r="B253" s="9" t="s">
        <v>77</v>
      </c>
      <c r="C253" s="9">
        <v>-1.5800000000000002E-2</v>
      </c>
      <c r="D253" s="9" t="s">
        <v>65</v>
      </c>
      <c r="E253" s="11">
        <f>15800/(1578243000/1578243)</f>
        <v>15.8</v>
      </c>
      <c r="F253" s="10" t="s">
        <v>69</v>
      </c>
      <c r="G253" s="9" t="s">
        <v>89</v>
      </c>
      <c r="H253" s="9" t="s">
        <v>166</v>
      </c>
    </row>
    <row r="254" spans="1:8" x14ac:dyDescent="0.3">
      <c r="A254" s="9">
        <v>2023</v>
      </c>
      <c r="B254" s="9" t="s">
        <v>80</v>
      </c>
      <c r="C254" s="10">
        <v>-6775.9</v>
      </c>
      <c r="D254" s="9" t="s">
        <v>65</v>
      </c>
      <c r="E254" s="11">
        <f>1207024*0.0588</f>
        <v>70973.011199999994</v>
      </c>
      <c r="F254" s="9" t="s">
        <v>85</v>
      </c>
      <c r="G254" s="10" t="s">
        <v>87</v>
      </c>
      <c r="H254" s="9" t="s">
        <v>166</v>
      </c>
    </row>
    <row r="255" spans="1:8" x14ac:dyDescent="0.3">
      <c r="A255" s="9">
        <v>2023</v>
      </c>
      <c r="B255" s="9" t="s">
        <v>90</v>
      </c>
      <c r="C255" s="9">
        <v>-524.20000000000005</v>
      </c>
      <c r="D255" s="10" t="s">
        <v>65</v>
      </c>
      <c r="E255" s="11">
        <f>34948091*0.015</f>
        <v>524221.36499999999</v>
      </c>
      <c r="F255" s="10" t="s">
        <v>92</v>
      </c>
      <c r="G255" s="9" t="s">
        <v>93</v>
      </c>
      <c r="H255" s="9" t="s">
        <v>166</v>
      </c>
    </row>
    <row r="256" spans="1:8" x14ac:dyDescent="0.3">
      <c r="A256" s="9">
        <v>2023</v>
      </c>
      <c r="B256" s="9" t="s">
        <v>90</v>
      </c>
      <c r="C256" s="9">
        <v>-11851.9</v>
      </c>
      <c r="D256" s="10" t="s">
        <v>65</v>
      </c>
      <c r="E256" s="11">
        <v>11851945</v>
      </c>
      <c r="F256" s="9" t="s">
        <v>94</v>
      </c>
      <c r="G256" s="9" t="s">
        <v>95</v>
      </c>
      <c r="H256" s="9" t="s">
        <v>166</v>
      </c>
    </row>
    <row r="257" spans="1:8" x14ac:dyDescent="0.3">
      <c r="A257" s="9">
        <v>2023</v>
      </c>
      <c r="B257" s="9" t="s">
        <v>96</v>
      </c>
      <c r="C257" s="10">
        <v>-5498.3</v>
      </c>
      <c r="D257" s="9" t="s">
        <v>65</v>
      </c>
      <c r="E257" s="11">
        <f>1156206*0.0588</f>
        <v>67984.912799999991</v>
      </c>
      <c r="F257" s="9" t="s">
        <v>85</v>
      </c>
      <c r="G257" s="10" t="s">
        <v>87</v>
      </c>
      <c r="H257" s="9" t="s">
        <v>166</v>
      </c>
    </row>
    <row r="258" spans="1:8" x14ac:dyDescent="0.3">
      <c r="A258" s="9">
        <v>2023</v>
      </c>
      <c r="B258" s="9" t="s">
        <v>103</v>
      </c>
      <c r="C258" s="9">
        <v>-5353.7</v>
      </c>
      <c r="D258" s="9" t="s">
        <v>65</v>
      </c>
      <c r="E258" s="11">
        <f>1207024*0.0588</f>
        <v>70973.011199999994</v>
      </c>
      <c r="F258" s="9" t="s">
        <v>85</v>
      </c>
      <c r="G258" s="10" t="s">
        <v>87</v>
      </c>
      <c r="H258" s="9" t="s">
        <v>166</v>
      </c>
    </row>
    <row r="259" spans="1:8" x14ac:dyDescent="0.3">
      <c r="A259" s="9">
        <v>2022</v>
      </c>
      <c r="B259" s="9" t="s">
        <v>104</v>
      </c>
      <c r="C259" s="9">
        <v>-4199.8</v>
      </c>
      <c r="D259" s="9" t="s">
        <v>65</v>
      </c>
      <c r="E259" s="11">
        <f>1156206*0.0588</f>
        <v>67984.912799999991</v>
      </c>
      <c r="F259" s="9" t="s">
        <v>85</v>
      </c>
      <c r="G259" s="10" t="s">
        <v>87</v>
      </c>
      <c r="H259" s="9" t="s">
        <v>166</v>
      </c>
    </row>
    <row r="260" spans="1:8" x14ac:dyDescent="0.3">
      <c r="A260" s="9">
        <v>2022</v>
      </c>
      <c r="B260" s="9" t="s">
        <v>104</v>
      </c>
      <c r="C260" s="9">
        <v>-1080</v>
      </c>
      <c r="D260" s="9" t="s">
        <v>65</v>
      </c>
      <c r="E260" s="11">
        <f>1080000*1</f>
        <v>1080000</v>
      </c>
      <c r="F260" s="9" t="s">
        <v>107</v>
      </c>
      <c r="G260" s="9" t="s">
        <v>108</v>
      </c>
      <c r="H260" s="9" t="s">
        <v>166</v>
      </c>
    </row>
    <row r="261" spans="1:8" x14ac:dyDescent="0.3">
      <c r="A261" s="9">
        <v>2022</v>
      </c>
      <c r="B261" s="9" t="s">
        <v>80</v>
      </c>
      <c r="C261" s="9">
        <v>-4284.2</v>
      </c>
      <c r="D261" s="9" t="s">
        <v>65</v>
      </c>
      <c r="E261" s="11">
        <f>1207024*0.0588</f>
        <v>70973.011199999994</v>
      </c>
      <c r="F261" s="9" t="s">
        <v>85</v>
      </c>
      <c r="G261" s="10" t="s">
        <v>87</v>
      </c>
      <c r="H261" s="9" t="s">
        <v>166</v>
      </c>
    </row>
    <row r="262" spans="1:8" x14ac:dyDescent="0.3">
      <c r="A262" s="9">
        <v>2022</v>
      </c>
      <c r="B262" s="9" t="s">
        <v>102</v>
      </c>
      <c r="C262" s="9">
        <v>-6640.2</v>
      </c>
      <c r="D262" s="9" t="s">
        <v>65</v>
      </c>
      <c r="E262" s="11">
        <f>1207024*0.0588</f>
        <v>70973.011199999994</v>
      </c>
      <c r="F262" s="9" t="s">
        <v>85</v>
      </c>
      <c r="G262" s="10" t="s">
        <v>87</v>
      </c>
      <c r="H262" s="9" t="s">
        <v>166</v>
      </c>
    </row>
    <row r="263" spans="1:8" x14ac:dyDescent="0.3">
      <c r="A263" s="9">
        <v>2022</v>
      </c>
      <c r="B263" s="9" t="s">
        <v>103</v>
      </c>
      <c r="C263" s="9">
        <f>-(49898.6+91903.4)</f>
        <v>-141802</v>
      </c>
      <c r="D263" s="9" t="s">
        <v>65</v>
      </c>
      <c r="E263" s="11">
        <v>1750000</v>
      </c>
      <c r="F263" s="9" t="s">
        <v>113</v>
      </c>
      <c r="G263" s="9" t="s">
        <v>114</v>
      </c>
      <c r="H263" s="9" t="s">
        <v>166</v>
      </c>
    </row>
  </sheetData>
  <autoFilter ref="A1:G263"/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opLeftCell="C1" workbookViewId="0">
      <selection activeCell="K2" sqref="K2"/>
    </sheetView>
  </sheetViews>
  <sheetFormatPr defaultRowHeight="14.5" x14ac:dyDescent="0.35"/>
  <cols>
    <col min="1" max="1" width="30.26953125" customWidth="1"/>
    <col min="2" max="2" width="10.81640625" bestFit="1" customWidth="1"/>
    <col min="3" max="4" width="8.81640625" bestFit="1" customWidth="1"/>
    <col min="5" max="5" width="10.36328125" bestFit="1" customWidth="1"/>
    <col min="6" max="6" width="8.81640625" bestFit="1" customWidth="1"/>
    <col min="7" max="8" width="11.26953125" customWidth="1"/>
    <col min="9" max="9" width="45.36328125" customWidth="1"/>
    <col min="10" max="10" width="12.26953125" customWidth="1"/>
    <col min="11" max="11" width="12.36328125" customWidth="1"/>
  </cols>
  <sheetData>
    <row r="1" spans="1:11" ht="52" x14ac:dyDescent="0.35">
      <c r="A1" s="28" t="s">
        <v>190</v>
      </c>
      <c r="B1" s="28" t="s">
        <v>194</v>
      </c>
      <c r="C1" s="28" t="s">
        <v>195</v>
      </c>
      <c r="D1" s="28" t="s">
        <v>196</v>
      </c>
      <c r="E1" s="28" t="s">
        <v>197</v>
      </c>
      <c r="F1" s="28" t="s">
        <v>198</v>
      </c>
      <c r="G1" s="28" t="s">
        <v>199</v>
      </c>
      <c r="H1" s="31" t="s">
        <v>233</v>
      </c>
      <c r="I1" s="28" t="s">
        <v>201</v>
      </c>
      <c r="J1" s="28" t="s">
        <v>192</v>
      </c>
      <c r="K1" s="28" t="s">
        <v>76</v>
      </c>
    </row>
    <row r="2" spans="1:11" ht="39.5" x14ac:dyDescent="0.35">
      <c r="A2" s="23" t="s">
        <v>191</v>
      </c>
      <c r="B2" s="23">
        <v>4915000</v>
      </c>
      <c r="C2" s="23">
        <v>900000</v>
      </c>
      <c r="D2" s="23">
        <f>Main_!AK23+Main_!AK25+Main_!AP40</f>
        <v>771347</v>
      </c>
      <c r="E2" s="29">
        <f>D2/C2</f>
        <v>0.85705222222222222</v>
      </c>
      <c r="F2" s="23">
        <f>C2-D2</f>
        <v>128653</v>
      </c>
      <c r="G2" s="23" t="s">
        <v>200</v>
      </c>
      <c r="H2" s="23">
        <f>213000-(Main_!AK23-Main_!AD23)</f>
        <v>1367</v>
      </c>
      <c r="I2" s="23" t="s">
        <v>202</v>
      </c>
      <c r="J2" s="24" t="s">
        <v>193</v>
      </c>
      <c r="K2" s="25" t="s">
        <v>76</v>
      </c>
    </row>
    <row r="3" spans="1:11" x14ac:dyDescent="0.35">
      <c r="A3" s="26" t="s">
        <v>224</v>
      </c>
      <c r="B3" s="26"/>
      <c r="C3" s="26"/>
      <c r="D3" s="26"/>
      <c r="E3" s="30"/>
      <c r="F3" s="26"/>
      <c r="G3" s="26"/>
      <c r="H3" s="26"/>
      <c r="I3" s="26"/>
      <c r="J3" s="27"/>
      <c r="K3" s="27" t="s">
        <v>76</v>
      </c>
    </row>
    <row r="4" spans="1:11" x14ac:dyDescent="0.35">
      <c r="A4" s="23" t="s">
        <v>231</v>
      </c>
      <c r="B4" s="23">
        <v>2165514</v>
      </c>
      <c r="C4" s="23">
        <v>300000</v>
      </c>
      <c r="D4" s="23">
        <f>Main_!AI35+Main_!AI36+Main_!AI37+Main_!AI39</f>
        <v>300000</v>
      </c>
      <c r="E4" s="29">
        <f>D4/C4</f>
        <v>1</v>
      </c>
      <c r="F4" s="23">
        <f>C4-D4</f>
        <v>0</v>
      </c>
      <c r="G4" s="23" t="s">
        <v>232</v>
      </c>
      <c r="H4" s="23">
        <f>300000-D4</f>
        <v>0</v>
      </c>
      <c r="I4" s="23" t="s">
        <v>234</v>
      </c>
      <c r="J4" s="24"/>
      <c r="K4" s="32" t="s">
        <v>76</v>
      </c>
    </row>
  </sheetData>
  <hyperlinks>
    <hyperlink ref="J2" r:id="rId1"/>
    <hyperlink ref="K2" r:id="rId2"/>
    <hyperlink ref="K3" r:id="rId3"/>
    <hyperlink ref="K4" r:id="rId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"/>
  <sheetViews>
    <sheetView workbookViewId="0">
      <selection activeCell="F12" sqref="F12"/>
    </sheetView>
  </sheetViews>
  <sheetFormatPr defaultRowHeight="14.5" x14ac:dyDescent="0.35"/>
  <cols>
    <col min="2" max="2" width="10.81640625" bestFit="1" customWidth="1"/>
    <col min="37" max="40" width="10.36328125" bestFit="1" customWidth="1"/>
    <col min="60" max="60" width="10.36328125" bestFit="1" customWidth="1"/>
  </cols>
  <sheetData>
    <row r="1" spans="1:60" x14ac:dyDescent="0.35">
      <c r="A1" t="s">
        <v>229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x14ac:dyDescent="0.3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 s="3">
        <v>13</v>
      </c>
      <c r="N2" s="3">
        <v>14</v>
      </c>
      <c r="O2" s="3">
        <v>15</v>
      </c>
      <c r="P2" s="3">
        <v>16</v>
      </c>
      <c r="Q2" s="3">
        <v>17</v>
      </c>
      <c r="R2" s="3">
        <v>18</v>
      </c>
      <c r="S2" s="3">
        <v>19</v>
      </c>
      <c r="T2" s="3">
        <v>20</v>
      </c>
      <c r="U2" s="3">
        <v>21</v>
      </c>
      <c r="V2" s="3">
        <v>22</v>
      </c>
      <c r="W2" s="3">
        <v>23</v>
      </c>
      <c r="X2" s="3">
        <v>24</v>
      </c>
      <c r="Y2" s="3">
        <v>25</v>
      </c>
      <c r="Z2" s="3">
        <v>26</v>
      </c>
      <c r="AA2" s="3">
        <v>27</v>
      </c>
      <c r="AB2" s="3">
        <v>28</v>
      </c>
      <c r="AC2" s="3">
        <v>29</v>
      </c>
      <c r="AD2" s="3">
        <v>30</v>
      </c>
      <c r="AE2" s="3">
        <v>31</v>
      </c>
      <c r="AF2" s="3">
        <v>32</v>
      </c>
      <c r="AG2" s="3">
        <v>33</v>
      </c>
      <c r="AH2" s="3">
        <v>34</v>
      </c>
      <c r="AI2" s="3">
        <v>35</v>
      </c>
      <c r="AJ2" s="3">
        <v>36</v>
      </c>
      <c r="AK2" s="3">
        <v>37</v>
      </c>
      <c r="AL2" s="3">
        <v>38</v>
      </c>
      <c r="AM2" s="3">
        <v>39</v>
      </c>
      <c r="AN2" s="3">
        <v>40</v>
      </c>
      <c r="AO2" s="3">
        <v>41</v>
      </c>
      <c r="AP2" s="3">
        <v>42</v>
      </c>
      <c r="AQ2" s="3">
        <v>43</v>
      </c>
      <c r="AR2" s="3">
        <v>44</v>
      </c>
      <c r="AS2" s="3">
        <v>45</v>
      </c>
      <c r="AT2" s="3">
        <v>46</v>
      </c>
      <c r="AU2" s="3">
        <v>47</v>
      </c>
      <c r="AV2" s="3">
        <v>48</v>
      </c>
      <c r="AW2" s="3">
        <v>49</v>
      </c>
      <c r="AX2" s="3">
        <v>50</v>
      </c>
      <c r="AY2" s="3">
        <v>51</v>
      </c>
      <c r="AZ2" s="3">
        <v>52</v>
      </c>
      <c r="BA2" s="3">
        <v>53</v>
      </c>
      <c r="BB2" s="3">
        <v>54</v>
      </c>
      <c r="BC2" s="3">
        <v>55</v>
      </c>
      <c r="BD2" s="3">
        <v>56</v>
      </c>
      <c r="BE2" s="3">
        <v>57</v>
      </c>
      <c r="BF2" s="3">
        <v>58</v>
      </c>
      <c r="BG2" s="3">
        <v>59</v>
      </c>
      <c r="BH2" s="3">
        <v>60</v>
      </c>
    </row>
    <row r="3" spans="1:60" x14ac:dyDescent="0.35">
      <c r="A3" s="7" t="s">
        <v>188</v>
      </c>
      <c r="B3" s="7" t="s">
        <v>203</v>
      </c>
      <c r="C3" s="7" t="s">
        <v>204</v>
      </c>
      <c r="D3" s="7" t="s">
        <v>207</v>
      </c>
      <c r="E3" s="7" t="s">
        <v>214</v>
      </c>
      <c r="F3" s="7" t="s">
        <v>215</v>
      </c>
      <c r="G3" s="7" t="s">
        <v>216</v>
      </c>
      <c r="H3" s="7" t="s">
        <v>217</v>
      </c>
      <c r="I3" s="7" t="s">
        <v>219</v>
      </c>
      <c r="J3" s="7" t="s">
        <v>227</v>
      </c>
      <c r="K3" s="7" t="s">
        <v>230</v>
      </c>
      <c r="L3" s="7" t="s">
        <v>235</v>
      </c>
      <c r="M3" s="7" t="s">
        <v>236</v>
      </c>
      <c r="N3" s="7" t="s">
        <v>240</v>
      </c>
      <c r="O3" s="7" t="s">
        <v>245</v>
      </c>
      <c r="P3" s="7" t="s">
        <v>246</v>
      </c>
      <c r="Q3" s="7" t="s">
        <v>248</v>
      </c>
      <c r="R3" s="7" t="s">
        <v>425</v>
      </c>
      <c r="S3" s="7" t="s">
        <v>428</v>
      </c>
      <c r="T3" s="7" t="s">
        <v>431</v>
      </c>
      <c r="U3" s="7" t="s">
        <v>436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>
        <v>20</v>
      </c>
      <c r="B4">
        <v>31</v>
      </c>
      <c r="C4">
        <v>30</v>
      </c>
      <c r="D4">
        <v>31</v>
      </c>
      <c r="E4">
        <v>31</v>
      </c>
      <c r="F4">
        <v>30</v>
      </c>
      <c r="G4">
        <v>31</v>
      </c>
      <c r="H4">
        <v>30</v>
      </c>
      <c r="I4">
        <v>31</v>
      </c>
      <c r="J4">
        <v>31</v>
      </c>
      <c r="K4">
        <v>28</v>
      </c>
      <c r="L4">
        <v>30</v>
      </c>
      <c r="M4" s="3">
        <v>30</v>
      </c>
      <c r="N4" s="3">
        <v>30</v>
      </c>
      <c r="O4" s="3">
        <v>30</v>
      </c>
      <c r="P4" s="3">
        <v>30</v>
      </c>
      <c r="Q4" s="3">
        <v>30</v>
      </c>
      <c r="R4" s="3">
        <v>30</v>
      </c>
      <c r="S4" s="3">
        <v>30</v>
      </c>
      <c r="T4" s="3">
        <v>30</v>
      </c>
      <c r="U4" s="3">
        <v>30</v>
      </c>
      <c r="V4" s="3">
        <v>30</v>
      </c>
      <c r="W4" s="3">
        <v>30</v>
      </c>
      <c r="X4" s="3">
        <v>30</v>
      </c>
      <c r="Y4" s="3">
        <v>30</v>
      </c>
      <c r="Z4" s="3">
        <v>30</v>
      </c>
      <c r="AA4" s="3">
        <v>30</v>
      </c>
      <c r="AB4" s="3">
        <v>30</v>
      </c>
      <c r="AC4" s="3">
        <v>30</v>
      </c>
      <c r="AD4" s="3">
        <v>30</v>
      </c>
      <c r="AE4" s="3">
        <v>30</v>
      </c>
      <c r="AF4" s="3">
        <v>30</v>
      </c>
      <c r="AG4" s="3">
        <v>30</v>
      </c>
      <c r="AH4" s="3">
        <v>30</v>
      </c>
      <c r="AI4" s="3">
        <v>30</v>
      </c>
      <c r="AJ4" s="3">
        <v>30</v>
      </c>
      <c r="AK4" s="3">
        <v>30</v>
      </c>
      <c r="AL4" s="3">
        <v>30</v>
      </c>
      <c r="AM4" s="3">
        <v>30</v>
      </c>
      <c r="AN4" s="3">
        <v>30</v>
      </c>
      <c r="AO4" s="3">
        <v>30</v>
      </c>
      <c r="AP4" s="3">
        <v>30</v>
      </c>
      <c r="AQ4" s="3">
        <v>30</v>
      </c>
      <c r="AR4" s="3">
        <v>30</v>
      </c>
      <c r="AS4" s="3">
        <v>30</v>
      </c>
      <c r="AT4" s="3">
        <v>30</v>
      </c>
      <c r="AU4" s="3">
        <v>30</v>
      </c>
      <c r="AV4" s="3">
        <v>30</v>
      </c>
      <c r="AW4" s="3">
        <v>30</v>
      </c>
      <c r="AX4" s="3">
        <v>30</v>
      </c>
      <c r="AY4" s="3">
        <v>30</v>
      </c>
      <c r="AZ4" s="3">
        <v>30</v>
      </c>
      <c r="BA4" s="3">
        <v>30</v>
      </c>
      <c r="BB4" s="3">
        <v>30</v>
      </c>
      <c r="BC4" s="3">
        <v>30</v>
      </c>
      <c r="BD4" s="3">
        <v>30</v>
      </c>
      <c r="BE4" s="3">
        <v>30</v>
      </c>
      <c r="BF4" s="3">
        <v>30</v>
      </c>
      <c r="BG4" s="3">
        <v>30</v>
      </c>
      <c r="BH4" s="3">
        <v>30</v>
      </c>
    </row>
    <row r="5" spans="1:60" x14ac:dyDescent="0.35">
      <c r="A5" s="1">
        <f>Main_!V23</f>
        <v>316</v>
      </c>
      <c r="B5" s="1">
        <f>Main_!W23</f>
        <v>316</v>
      </c>
      <c r="C5" s="1">
        <f>Main_!X23</f>
        <v>316</v>
      </c>
      <c r="D5" s="1">
        <f>Main_!Y23</f>
        <v>27201</v>
      </c>
      <c r="E5" s="1">
        <f>Main_!Z23</f>
        <v>27201</v>
      </c>
      <c r="F5" s="1">
        <f>Main_!AA23</f>
        <v>27201</v>
      </c>
      <c r="G5" s="1">
        <f>Main_!AB23</f>
        <v>89251</v>
      </c>
      <c r="H5" s="1">
        <f>Main_!AC23</f>
        <v>89251</v>
      </c>
      <c r="I5" s="1">
        <f>Main_!AD23</f>
        <v>226290</v>
      </c>
      <c r="J5" s="1">
        <f>Main_!AE23</f>
        <v>304138</v>
      </c>
      <c r="K5" s="1">
        <f>Main_!AF23</f>
        <v>341435</v>
      </c>
      <c r="L5" s="1">
        <f>Main_!AG23</f>
        <v>390450</v>
      </c>
      <c r="M5" s="1">
        <f>Main_!AH23</f>
        <v>390450</v>
      </c>
      <c r="N5" s="1">
        <f>Main_!AI23</f>
        <v>437923</v>
      </c>
      <c r="O5" s="1">
        <f>Main_!AJ23</f>
        <v>437923</v>
      </c>
      <c r="P5" s="1">
        <f>Main_!AK23</f>
        <v>437923</v>
      </c>
      <c r="Q5" s="1">
        <f>Main_!AL23</f>
        <v>437923</v>
      </c>
      <c r="R5" s="1">
        <f>Main_!AM23</f>
        <v>437923</v>
      </c>
      <c r="S5" s="1">
        <f>Main_!AN23</f>
        <v>437923</v>
      </c>
      <c r="T5" s="1">
        <f>Main_!AO23</f>
        <v>437923</v>
      </c>
      <c r="U5" s="1">
        <f>Main_!AP23</f>
        <v>440000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 spans="1:60" x14ac:dyDescent="0.35">
      <c r="A6" s="19">
        <v>0.06</v>
      </c>
      <c r="B6" s="19">
        <v>0.06</v>
      </c>
      <c r="C6" s="19">
        <v>0.06</v>
      </c>
      <c r="D6" s="19">
        <v>0.06</v>
      </c>
      <c r="E6" s="19">
        <v>0.06</v>
      </c>
      <c r="F6" s="19">
        <v>0.06</v>
      </c>
      <c r="G6" s="19">
        <v>0.06</v>
      </c>
      <c r="H6" s="19">
        <v>0.06</v>
      </c>
      <c r="I6" s="19">
        <v>0.06</v>
      </c>
      <c r="J6" s="19">
        <v>0.06</v>
      </c>
      <c r="K6" s="19">
        <v>0.06</v>
      </c>
      <c r="L6" s="19">
        <v>0.06</v>
      </c>
      <c r="M6" s="21">
        <v>0.06</v>
      </c>
      <c r="N6" s="21">
        <v>0.06</v>
      </c>
      <c r="O6" s="21">
        <v>0.06</v>
      </c>
      <c r="P6" s="21">
        <v>0.06</v>
      </c>
      <c r="Q6" s="21">
        <v>0.06</v>
      </c>
      <c r="R6" s="21">
        <v>0.06</v>
      </c>
      <c r="S6" s="21">
        <v>0.06</v>
      </c>
      <c r="T6" s="21">
        <v>0.06</v>
      </c>
      <c r="U6" s="21">
        <v>0.06</v>
      </c>
      <c r="V6" s="21">
        <v>0.06</v>
      </c>
      <c r="W6" s="21">
        <v>0.06</v>
      </c>
      <c r="X6" s="21">
        <v>0.06</v>
      </c>
      <c r="Y6" s="21">
        <v>0.06</v>
      </c>
      <c r="Z6" s="21">
        <v>0.06</v>
      </c>
      <c r="AA6" s="21">
        <v>0.06</v>
      </c>
      <c r="AB6" s="21">
        <v>0.06</v>
      </c>
      <c r="AC6" s="21">
        <v>0.06</v>
      </c>
      <c r="AD6" s="21">
        <v>0.06</v>
      </c>
      <c r="AE6" s="21">
        <v>0.06</v>
      </c>
      <c r="AF6" s="21">
        <v>0.06</v>
      </c>
      <c r="AG6" s="21">
        <v>0.06</v>
      </c>
      <c r="AH6" s="21">
        <v>0.06</v>
      </c>
      <c r="AI6" s="21">
        <v>0.06</v>
      </c>
      <c r="AJ6" s="21">
        <v>0.06</v>
      </c>
      <c r="AK6" s="21">
        <v>0.06</v>
      </c>
      <c r="AL6" s="21">
        <v>0.06</v>
      </c>
      <c r="AM6" s="21">
        <v>0.06</v>
      </c>
      <c r="AN6" s="21">
        <v>0.06</v>
      </c>
      <c r="AO6" s="21">
        <v>0.06</v>
      </c>
      <c r="AP6" s="21">
        <v>0.06</v>
      </c>
      <c r="AQ6" s="21">
        <v>0.06</v>
      </c>
      <c r="AR6" s="21">
        <v>0.06</v>
      </c>
      <c r="AS6" s="21">
        <v>0.06</v>
      </c>
      <c r="AT6" s="21">
        <v>0.06</v>
      </c>
      <c r="AU6" s="21">
        <v>0.06</v>
      </c>
      <c r="AV6" s="21">
        <v>0.06</v>
      </c>
      <c r="AW6" s="21">
        <v>0.06</v>
      </c>
      <c r="AX6" s="21">
        <v>0.06</v>
      </c>
      <c r="AY6" s="21">
        <v>0.06</v>
      </c>
      <c r="AZ6" s="21">
        <v>0.06</v>
      </c>
      <c r="BA6" s="21">
        <v>0.06</v>
      </c>
      <c r="BB6" s="21">
        <v>0.06</v>
      </c>
      <c r="BC6" s="21">
        <v>0.06</v>
      </c>
      <c r="BD6" s="21">
        <v>0.06</v>
      </c>
      <c r="BE6" s="21">
        <v>0.06</v>
      </c>
      <c r="BF6" s="21">
        <v>0.06</v>
      </c>
      <c r="BG6" s="21">
        <v>0.06</v>
      </c>
      <c r="BH6" s="21">
        <v>0.06</v>
      </c>
    </row>
    <row r="7" spans="1:60" x14ac:dyDescent="0.35">
      <c r="A7" s="20">
        <f t="shared" ref="A7:AF7" si="0">A5*A6*A4/365</f>
        <v>1.0389041095890412</v>
      </c>
      <c r="B7" s="20">
        <f t="shared" si="0"/>
        <v>1.6103013698630138</v>
      </c>
      <c r="C7" s="20">
        <f t="shared" si="0"/>
        <v>1.5583561643835617</v>
      </c>
      <c r="D7" s="20">
        <f t="shared" si="0"/>
        <v>138.61331506849316</v>
      </c>
      <c r="E7" s="20">
        <f t="shared" si="0"/>
        <v>138.61331506849316</v>
      </c>
      <c r="F7" s="20">
        <f t="shared" si="0"/>
        <v>134.14191780821918</v>
      </c>
      <c r="G7" s="20">
        <f t="shared" si="0"/>
        <v>454.81331506849313</v>
      </c>
      <c r="H7" s="20">
        <f t="shared" si="0"/>
        <v>440.14191780821915</v>
      </c>
      <c r="I7" s="20">
        <f t="shared" si="0"/>
        <v>1153.1490410958904</v>
      </c>
      <c r="J7" s="20">
        <f t="shared" si="0"/>
        <v>1549.853917808219</v>
      </c>
      <c r="K7" s="20">
        <f t="shared" si="0"/>
        <v>1571.5364383561641</v>
      </c>
      <c r="L7" s="20">
        <f t="shared" si="0"/>
        <v>1925.5068493150684</v>
      </c>
      <c r="M7" s="22">
        <f t="shared" si="0"/>
        <v>1925.5068493150684</v>
      </c>
      <c r="N7" s="22">
        <f t="shared" si="0"/>
        <v>2159.6202739726023</v>
      </c>
      <c r="O7" s="22">
        <f t="shared" si="0"/>
        <v>2159.6202739726023</v>
      </c>
      <c r="P7" s="22">
        <f t="shared" si="0"/>
        <v>2159.6202739726023</v>
      </c>
      <c r="Q7" s="22">
        <f t="shared" si="0"/>
        <v>2159.6202739726023</v>
      </c>
      <c r="R7" s="22">
        <f t="shared" si="0"/>
        <v>2159.6202739726023</v>
      </c>
      <c r="S7" s="22">
        <f t="shared" si="0"/>
        <v>2159.6202739726023</v>
      </c>
      <c r="T7" s="22">
        <f t="shared" si="0"/>
        <v>2159.6202739726023</v>
      </c>
      <c r="U7" s="22">
        <f t="shared" si="0"/>
        <v>2169.8630136986303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  <c r="Z7" s="22">
        <f t="shared" si="0"/>
        <v>0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ref="AG7:BH7" si="1">AG5*AG6*AG4/365</f>
        <v>0</v>
      </c>
      <c r="AH7" s="22">
        <f t="shared" si="1"/>
        <v>0</v>
      </c>
      <c r="AI7" s="22">
        <f t="shared" si="1"/>
        <v>0</v>
      </c>
      <c r="AJ7" s="22">
        <f t="shared" si="1"/>
        <v>0</v>
      </c>
      <c r="AK7" s="22">
        <f t="shared" si="1"/>
        <v>0</v>
      </c>
      <c r="AL7" s="22">
        <f t="shared" si="1"/>
        <v>0</v>
      </c>
      <c r="AM7" s="22">
        <f t="shared" si="1"/>
        <v>0</v>
      </c>
      <c r="AN7" s="22">
        <f t="shared" si="1"/>
        <v>0</v>
      </c>
      <c r="AO7" s="22">
        <f t="shared" si="1"/>
        <v>0</v>
      </c>
      <c r="AP7" s="22">
        <f t="shared" si="1"/>
        <v>0</v>
      </c>
      <c r="AQ7" s="22">
        <f t="shared" si="1"/>
        <v>0</v>
      </c>
      <c r="AR7" s="22">
        <f t="shared" si="1"/>
        <v>0</v>
      </c>
      <c r="AS7" s="22">
        <f t="shared" si="1"/>
        <v>0</v>
      </c>
      <c r="AT7" s="22">
        <f t="shared" si="1"/>
        <v>0</v>
      </c>
      <c r="AU7" s="22">
        <f t="shared" si="1"/>
        <v>0</v>
      </c>
      <c r="AV7" s="22">
        <f t="shared" si="1"/>
        <v>0</v>
      </c>
      <c r="AW7" s="22">
        <f t="shared" si="1"/>
        <v>0</v>
      </c>
      <c r="AX7" s="22">
        <f t="shared" si="1"/>
        <v>0</v>
      </c>
      <c r="AY7" s="22">
        <f t="shared" si="1"/>
        <v>0</v>
      </c>
      <c r="AZ7" s="22">
        <f t="shared" si="1"/>
        <v>0</v>
      </c>
      <c r="BA7" s="22">
        <f t="shared" si="1"/>
        <v>0</v>
      </c>
      <c r="BB7" s="22">
        <f t="shared" si="1"/>
        <v>0</v>
      </c>
      <c r="BC7" s="22">
        <f t="shared" si="1"/>
        <v>0</v>
      </c>
      <c r="BD7" s="22">
        <f t="shared" si="1"/>
        <v>0</v>
      </c>
      <c r="BE7" s="22">
        <f t="shared" si="1"/>
        <v>0</v>
      </c>
      <c r="BF7" s="22">
        <f t="shared" si="1"/>
        <v>0</v>
      </c>
      <c r="BG7" s="22">
        <f t="shared" si="1"/>
        <v>0</v>
      </c>
      <c r="BH7" s="22">
        <f t="shared" si="1"/>
        <v>0</v>
      </c>
    </row>
    <row r="8" spans="1:60" x14ac:dyDescent="0.35">
      <c r="A8" t="s">
        <v>228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x14ac:dyDescent="0.35">
      <c r="B9" s="20">
        <f>A7</f>
        <v>1.0389041095890412</v>
      </c>
      <c r="C9" s="20">
        <f t="shared" ref="C9:L9" si="2">B9+B7</f>
        <v>2.6492054794520552</v>
      </c>
      <c r="D9" s="20">
        <f t="shared" si="2"/>
        <v>4.2075616438356169</v>
      </c>
      <c r="E9" s="20">
        <f t="shared" si="2"/>
        <v>142.82087671232878</v>
      </c>
      <c r="F9" s="20">
        <f t="shared" si="2"/>
        <v>281.43419178082195</v>
      </c>
      <c r="G9" s="20">
        <f t="shared" si="2"/>
        <v>415.57610958904115</v>
      </c>
      <c r="H9" s="20">
        <f t="shared" si="2"/>
        <v>870.38942465753428</v>
      </c>
      <c r="I9" s="20">
        <f t="shared" si="2"/>
        <v>1310.5313424657534</v>
      </c>
      <c r="J9" s="20">
        <f t="shared" si="2"/>
        <v>2463.6803835616438</v>
      </c>
      <c r="K9" s="20">
        <f t="shared" si="2"/>
        <v>4013.534301369863</v>
      </c>
      <c r="L9" s="20">
        <f t="shared" si="2"/>
        <v>5585.0707397260267</v>
      </c>
      <c r="M9" s="20">
        <f t="shared" ref="M9:BH9" si="3">L9+L7</f>
        <v>7510.5775890410951</v>
      </c>
      <c r="N9" s="20">
        <f t="shared" si="3"/>
        <v>9436.0844383561634</v>
      </c>
      <c r="O9" s="20">
        <f t="shared" si="3"/>
        <v>11595.704712328767</v>
      </c>
      <c r="P9" s="20">
        <f t="shared" si="3"/>
        <v>13755.32498630137</v>
      </c>
      <c r="Q9" s="20">
        <f t="shared" si="3"/>
        <v>15914.945260273973</v>
      </c>
      <c r="R9" s="20">
        <f t="shared" si="3"/>
        <v>18074.565534246576</v>
      </c>
      <c r="S9" s="20">
        <f t="shared" si="3"/>
        <v>20234.185808219179</v>
      </c>
      <c r="T9" s="20">
        <f t="shared" si="3"/>
        <v>22393.806082191782</v>
      </c>
      <c r="U9" s="20">
        <f t="shared" si="3"/>
        <v>24553.426356164386</v>
      </c>
      <c r="V9" s="20">
        <f t="shared" si="3"/>
        <v>26723.289369863014</v>
      </c>
      <c r="W9" s="20">
        <f t="shared" si="3"/>
        <v>26723.289369863014</v>
      </c>
      <c r="X9" s="20">
        <f t="shared" si="3"/>
        <v>26723.289369863014</v>
      </c>
      <c r="Y9" s="20">
        <f t="shared" si="3"/>
        <v>26723.289369863014</v>
      </c>
      <c r="Z9" s="20">
        <f t="shared" si="3"/>
        <v>26723.289369863014</v>
      </c>
      <c r="AA9" s="20">
        <f t="shared" si="3"/>
        <v>26723.289369863014</v>
      </c>
      <c r="AB9" s="20">
        <f t="shared" si="3"/>
        <v>26723.289369863014</v>
      </c>
      <c r="AC9" s="20">
        <f t="shared" si="3"/>
        <v>26723.289369863014</v>
      </c>
      <c r="AD9" s="20">
        <f t="shared" si="3"/>
        <v>26723.289369863014</v>
      </c>
      <c r="AE9" s="20">
        <f t="shared" si="3"/>
        <v>26723.289369863014</v>
      </c>
      <c r="AF9" s="20">
        <f t="shared" si="3"/>
        <v>26723.289369863014</v>
      </c>
      <c r="AG9" s="20">
        <f t="shared" si="3"/>
        <v>26723.289369863014</v>
      </c>
      <c r="AH9" s="20">
        <f t="shared" si="3"/>
        <v>26723.289369863014</v>
      </c>
      <c r="AI9" s="20">
        <f t="shared" si="3"/>
        <v>26723.289369863014</v>
      </c>
      <c r="AJ9" s="20">
        <f t="shared" si="3"/>
        <v>26723.289369863014</v>
      </c>
      <c r="AK9" s="20">
        <f t="shared" si="3"/>
        <v>26723.289369863014</v>
      </c>
      <c r="AL9" s="20">
        <f t="shared" si="3"/>
        <v>26723.289369863014</v>
      </c>
      <c r="AM9" s="20">
        <f t="shared" si="3"/>
        <v>26723.289369863014</v>
      </c>
      <c r="AN9" s="20">
        <f t="shared" si="3"/>
        <v>26723.289369863014</v>
      </c>
      <c r="AO9" s="20">
        <f t="shared" si="3"/>
        <v>26723.289369863014</v>
      </c>
      <c r="AP9" s="20">
        <f t="shared" si="3"/>
        <v>26723.289369863014</v>
      </c>
      <c r="AQ9" s="20">
        <f t="shared" si="3"/>
        <v>26723.289369863014</v>
      </c>
      <c r="AR9" s="20">
        <f t="shared" si="3"/>
        <v>26723.289369863014</v>
      </c>
      <c r="AS9" s="20">
        <f t="shared" si="3"/>
        <v>26723.289369863014</v>
      </c>
      <c r="AT9" s="20">
        <f t="shared" si="3"/>
        <v>26723.289369863014</v>
      </c>
      <c r="AU9" s="20">
        <f t="shared" si="3"/>
        <v>26723.289369863014</v>
      </c>
      <c r="AV9" s="20">
        <f t="shared" si="3"/>
        <v>26723.289369863014</v>
      </c>
      <c r="AW9" s="20">
        <f t="shared" si="3"/>
        <v>26723.289369863014</v>
      </c>
      <c r="AX9" s="20">
        <f t="shared" si="3"/>
        <v>26723.289369863014</v>
      </c>
      <c r="AY9" s="20">
        <f t="shared" si="3"/>
        <v>26723.289369863014</v>
      </c>
      <c r="AZ9" s="20">
        <f t="shared" si="3"/>
        <v>26723.289369863014</v>
      </c>
      <c r="BA9" s="20">
        <f t="shared" si="3"/>
        <v>26723.289369863014</v>
      </c>
      <c r="BB9" s="20">
        <f t="shared" si="3"/>
        <v>26723.289369863014</v>
      </c>
      <c r="BC9" s="20">
        <f t="shared" si="3"/>
        <v>26723.289369863014</v>
      </c>
      <c r="BD9" s="20">
        <f t="shared" si="3"/>
        <v>26723.289369863014</v>
      </c>
      <c r="BE9" s="20">
        <f t="shared" si="3"/>
        <v>26723.289369863014</v>
      </c>
      <c r="BF9" s="20">
        <f t="shared" si="3"/>
        <v>26723.289369863014</v>
      </c>
      <c r="BG9" s="20">
        <f t="shared" si="3"/>
        <v>26723.289369863014</v>
      </c>
      <c r="BH9" s="20">
        <f t="shared" si="3"/>
        <v>26723.289369863014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Main_</vt:lpstr>
      <vt:lpstr>rnwf_structure</vt:lpstr>
      <vt:lpstr>structure</vt:lpstr>
      <vt:lpstr>recepients</vt:lpstr>
      <vt:lpstr>income_rub</vt:lpstr>
      <vt:lpstr>infra_invest</vt:lpstr>
      <vt:lpstr>projects</vt:lpstr>
      <vt:lpstr>%% Усть-Луга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2026-06-04T09:29:14Z</dcterms:modified>
</cp:coreProperties>
</file>