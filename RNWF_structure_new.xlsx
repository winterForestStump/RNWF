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4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infra_invest!$A$1:$G$210</definedName>
    <definedName name="_xlnm._FilterDatabase" localSheetId="3" hidden="1">recepients!$A$1:$B$1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7" i="14"/>
  <c r="B16" i="14"/>
  <c r="B15" i="14"/>
  <c r="B13" i="14"/>
  <c r="B11" i="14"/>
  <c r="B9" i="14"/>
  <c r="B8" i="14"/>
  <c r="B7" i="14"/>
  <c r="B5" i="14"/>
  <c r="B3" i="14"/>
  <c r="B2" i="14"/>
  <c r="AM12" i="13"/>
  <c r="AM11" i="13"/>
  <c r="AM10" i="13"/>
  <c r="AM9" i="13"/>
  <c r="AM8" i="13"/>
  <c r="AM7" i="13"/>
  <c r="AM6" i="13"/>
  <c r="AM5" i="13"/>
  <c r="AM4" i="13"/>
  <c r="AM20" i="10"/>
  <c r="AM19" i="10"/>
  <c r="AM18" i="10"/>
  <c r="AM17" i="10"/>
  <c r="AM16" i="10"/>
  <c r="AM15" i="10"/>
  <c r="AM14" i="10"/>
  <c r="AM13" i="10"/>
  <c r="AM12" i="10"/>
  <c r="AM11" i="10"/>
  <c r="AM10" i="10"/>
  <c r="AM9" i="10"/>
  <c r="AM8" i="10"/>
  <c r="AM7" i="10"/>
  <c r="AM6" i="10"/>
  <c r="AM5" i="10"/>
  <c r="AM3" i="10"/>
  <c r="AM2" i="10"/>
  <c r="AN59" i="1"/>
  <c r="AO59" i="1" s="1"/>
  <c r="AN36" i="1"/>
  <c r="AN37" i="1"/>
  <c r="AO37" i="1" s="1"/>
  <c r="AN34" i="1"/>
  <c r="AO34" i="1" s="1"/>
  <c r="AN33" i="1"/>
  <c r="AP33" i="1" s="1"/>
  <c r="AN35" i="1"/>
  <c r="AP35" i="1" s="1"/>
  <c r="AN32" i="1"/>
  <c r="AP32" i="1" s="1"/>
  <c r="AN29" i="1"/>
  <c r="AN30" i="1"/>
  <c r="AP30" i="1" s="1"/>
  <c r="AN28" i="1"/>
  <c r="AP28" i="1" s="1"/>
  <c r="AN41" i="1"/>
  <c r="AO41" i="1" s="1"/>
  <c r="AN40" i="1"/>
  <c r="AP40" i="1" s="1"/>
  <c r="AN43" i="1"/>
  <c r="AO43" i="1" s="1"/>
  <c r="AN50" i="1"/>
  <c r="AO50" i="1" s="1"/>
  <c r="AN47" i="1"/>
  <c r="AO47" i="1" s="1"/>
  <c r="AN49" i="1"/>
  <c r="AP49" i="1" s="1"/>
  <c r="AN48" i="1"/>
  <c r="AN27" i="1"/>
  <c r="AP27" i="1" s="1"/>
  <c r="AN25" i="1"/>
  <c r="AO25" i="1" s="1"/>
  <c r="AN24" i="1"/>
  <c r="AN23" i="1"/>
  <c r="AP23" i="1" s="1"/>
  <c r="AN22" i="1"/>
  <c r="AP22" i="1" s="1"/>
  <c r="AN19" i="1"/>
  <c r="AN17" i="1"/>
  <c r="AN15" i="1"/>
  <c r="AO15" i="1" s="1"/>
  <c r="AN13" i="1"/>
  <c r="AN12" i="1"/>
  <c r="AN11" i="1"/>
  <c r="AN10" i="1"/>
  <c r="AN9" i="1"/>
  <c r="AN8" i="1"/>
  <c r="AN5" i="1"/>
  <c r="AO5" i="1" s="1"/>
  <c r="AN18" i="1"/>
  <c r="AN16" i="1"/>
  <c r="AO16" i="1" s="1"/>
  <c r="AN14" i="1"/>
  <c r="AP3" i="1"/>
  <c r="AP4" i="1"/>
  <c r="AP5" i="1"/>
  <c r="AP6" i="1"/>
  <c r="AP7" i="1"/>
  <c r="AP14" i="1"/>
  <c r="AP15" i="1"/>
  <c r="AP17" i="1"/>
  <c r="AP25" i="1"/>
  <c r="AP29" i="1"/>
  <c r="AP31" i="1"/>
  <c r="AP36" i="1"/>
  <c r="AP37" i="1"/>
  <c r="AP38" i="1"/>
  <c r="AP39" i="1"/>
  <c r="AP42" i="1"/>
  <c r="AP44" i="1"/>
  <c r="AP45" i="1"/>
  <c r="AP46" i="1"/>
  <c r="AP47" i="1"/>
  <c r="AP48" i="1"/>
  <c r="AP51" i="1"/>
  <c r="AP52" i="1"/>
  <c r="AP53" i="1"/>
  <c r="AP54" i="1"/>
  <c r="AP55" i="1"/>
  <c r="AP56" i="1"/>
  <c r="AP57" i="1"/>
  <c r="AP58" i="1"/>
  <c r="AP2" i="1"/>
  <c r="AO3" i="1"/>
  <c r="AO4" i="1"/>
  <c r="AO6" i="1"/>
  <c r="AO7" i="1"/>
  <c r="AO14" i="1"/>
  <c r="AO23" i="1"/>
  <c r="AO28" i="1"/>
  <c r="AO29" i="1"/>
  <c r="AO31" i="1"/>
  <c r="AO32" i="1"/>
  <c r="AO35" i="1"/>
  <c r="AO36" i="1"/>
  <c r="AO38" i="1"/>
  <c r="AO39" i="1"/>
  <c r="AO40" i="1"/>
  <c r="AO42" i="1"/>
  <c r="AO44" i="1"/>
  <c r="AO45" i="1"/>
  <c r="AO46" i="1"/>
  <c r="AO48" i="1"/>
  <c r="AO49" i="1"/>
  <c r="AO51" i="1"/>
  <c r="AO52" i="1"/>
  <c r="AO53" i="1"/>
  <c r="AO54" i="1"/>
  <c r="AO55" i="1"/>
  <c r="AO56" i="1"/>
  <c r="AO57" i="1"/>
  <c r="AO58" i="1"/>
  <c r="AO2" i="1"/>
  <c r="B10" i="14"/>
  <c r="B4" i="14"/>
  <c r="AN26" i="1"/>
  <c r="AP59" i="1" l="1"/>
  <c r="AP34" i="1"/>
  <c r="AO33" i="1"/>
  <c r="AO30" i="1"/>
  <c r="AP41" i="1"/>
  <c r="AP43" i="1"/>
  <c r="AP50" i="1"/>
  <c r="AO27" i="1"/>
  <c r="AP26" i="1"/>
  <c r="AO22" i="1"/>
  <c r="AP16" i="1"/>
  <c r="AL20" i="10"/>
  <c r="AL19" i="10"/>
  <c r="AL18" i="10"/>
  <c r="AL12" i="13" s="1"/>
  <c r="AL17" i="10"/>
  <c r="AL16" i="10"/>
  <c r="AL11" i="13" s="1"/>
  <c r="AL15" i="10"/>
  <c r="AL10" i="13" s="1"/>
  <c r="AL14" i="10"/>
  <c r="AL9" i="13" s="1"/>
  <c r="AL13" i="10"/>
  <c r="AL12" i="10"/>
  <c r="AL8" i="13" s="1"/>
  <c r="AL11" i="10"/>
  <c r="AL9" i="10"/>
  <c r="AL6" i="13" s="1"/>
  <c r="AL7" i="10"/>
  <c r="AL6" i="10"/>
  <c r="AL5" i="10"/>
  <c r="AL3" i="10"/>
  <c r="AL2" i="10"/>
  <c r="AL4" i="13" s="1"/>
  <c r="AM59" i="1"/>
  <c r="AM43" i="1"/>
  <c r="AM41" i="1"/>
  <c r="AM36" i="1"/>
  <c r="AM37" i="1"/>
  <c r="AM34" i="1"/>
  <c r="AM33" i="1"/>
  <c r="AM31" i="1"/>
  <c r="AM32" i="1"/>
  <c r="AM35" i="1"/>
  <c r="AM29" i="1"/>
  <c r="AM28" i="1"/>
  <c r="AM40" i="1"/>
  <c r="AM27" i="1"/>
  <c r="AM49" i="1"/>
  <c r="AM48" i="1"/>
  <c r="AM50" i="1"/>
  <c r="AM47" i="1"/>
  <c r="AM25" i="1"/>
  <c r="AM22" i="1"/>
  <c r="AM15" i="1"/>
  <c r="AM16" i="1"/>
  <c r="AM14" i="1"/>
  <c r="AM23" i="1"/>
  <c r="AM30" i="1"/>
  <c r="AO26" i="1" l="1"/>
  <c r="AL10" i="10"/>
  <c r="AL7" i="13" s="1"/>
  <c r="GI28" i="18"/>
  <c r="GC28" i="18"/>
  <c r="FW28" i="18"/>
  <c r="FP28" i="18"/>
  <c r="GI32" i="18" l="1"/>
  <c r="GL32" i="18"/>
  <c r="GF32" i="18"/>
  <c r="GJ32" i="18"/>
  <c r="GD32" i="18"/>
  <c r="GJ39" i="18" l="1"/>
  <c r="GI39" i="18"/>
  <c r="GJ40" i="18" l="1"/>
  <c r="GK37" i="18"/>
  <c r="GK38" i="18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13" i="10"/>
  <c r="AK12" i="10"/>
  <c r="AK11" i="10"/>
  <c r="AK9" i="10"/>
  <c r="AK6" i="13" s="1"/>
  <c r="AK7" i="10"/>
  <c r="AK6" i="10"/>
  <c r="AK5" i="10"/>
  <c r="AK3" i="10"/>
  <c r="AK2" i="10"/>
  <c r="AK4" i="13" s="1"/>
  <c r="AL59" i="1"/>
  <c r="AL58" i="1"/>
  <c r="AL36" i="1"/>
  <c r="AL37" i="1"/>
  <c r="AL34" i="1"/>
  <c r="AL33" i="1"/>
  <c r="AL35" i="1"/>
  <c r="AL32" i="1"/>
  <c r="AL29" i="1"/>
  <c r="AL30" i="1"/>
  <c r="AL28" i="1"/>
  <c r="AL41" i="1"/>
  <c r="AL40" i="1"/>
  <c r="AL43" i="1"/>
  <c r="AL49" i="1"/>
  <c r="AL48" i="1"/>
  <c r="AL50" i="1"/>
  <c r="AL47" i="1"/>
  <c r="AL27" i="1"/>
  <c r="AL25" i="1"/>
  <c r="AL22" i="1"/>
  <c r="AL15" i="1"/>
  <c r="AL16" i="1"/>
  <c r="AL14" i="1"/>
  <c r="AL23" i="1"/>
  <c r="AK8" i="13" l="1"/>
  <c r="GK39" i="18"/>
  <c r="AK10" i="10"/>
  <c r="AK7" i="13" s="1"/>
  <c r="H2" i="15"/>
  <c r="D2" i="15"/>
  <c r="AJ18" i="10"/>
  <c r="AJ12" i="13" s="1"/>
  <c r="AJ17" i="10"/>
  <c r="AJ16" i="10"/>
  <c r="AJ15" i="10"/>
  <c r="AJ10" i="13" s="1"/>
  <c r="AJ14" i="10"/>
  <c r="AJ9" i="13" s="1"/>
  <c r="AJ13" i="10"/>
  <c r="AJ12" i="10"/>
  <c r="AJ11" i="10"/>
  <c r="AJ9" i="10"/>
  <c r="AJ6" i="13" s="1"/>
  <c r="AJ7" i="10"/>
  <c r="AJ6" i="10"/>
  <c r="AJ5" i="10"/>
  <c r="AJ4" i="10"/>
  <c r="AJ3" i="10"/>
  <c r="AJ2" i="10"/>
  <c r="AJ4" i="13" s="1"/>
  <c r="AK59" i="1"/>
  <c r="AK36" i="1"/>
  <c r="AK34" i="1"/>
  <c r="AK33" i="1"/>
  <c r="AK35" i="1"/>
  <c r="AK32" i="1"/>
  <c r="AK29" i="1"/>
  <c r="AK30" i="1"/>
  <c r="AK28" i="1"/>
  <c r="AJ11" i="13" l="1"/>
  <c r="AJ8" i="13"/>
  <c r="AJ10" i="10"/>
  <c r="AJ7" i="13" s="1"/>
  <c r="AI19" i="10"/>
  <c r="AI18" i="10"/>
  <c r="AI12" i="13" s="1"/>
  <c r="AI7" i="10"/>
  <c r="AI6" i="10"/>
  <c r="AI5" i="10"/>
  <c r="AI4" i="10"/>
  <c r="AI3" i="10"/>
  <c r="AI2" i="10"/>
  <c r="AI4" i="13" s="1"/>
  <c r="AJ59" i="1"/>
  <c r="AJ36" i="1"/>
  <c r="AJ34" i="1"/>
  <c r="AJ33" i="1"/>
  <c r="AJ35" i="1"/>
  <c r="AJ25" i="1"/>
  <c r="AK25" i="1" l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59" i="1"/>
  <c r="AH20" i="10" s="1"/>
  <c r="AI28" i="1"/>
  <c r="AJ28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8" i="1" l="1"/>
  <c r="AK9" i="1"/>
  <c r="AL9" i="1" s="1"/>
  <c r="AM9" i="1" s="1"/>
  <c r="AO9" i="1" s="1"/>
  <c r="AK10" i="1"/>
  <c r="AL10" i="1" s="1"/>
  <c r="AM10" i="1" s="1"/>
  <c r="AO10" i="1" s="1"/>
  <c r="AK11" i="1"/>
  <c r="AL11" i="1" s="1"/>
  <c r="AM11" i="1" s="1"/>
  <c r="AO11" i="1" s="1"/>
  <c r="AK12" i="1"/>
  <c r="AL12" i="1" s="1"/>
  <c r="AM12" i="1" s="1"/>
  <c r="AO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59" i="1"/>
  <c r="AG20" i="10" s="1"/>
  <c r="AH41" i="1"/>
  <c r="AI41" i="1" s="1"/>
  <c r="AJ41" i="1" s="1"/>
  <c r="AK41" i="1" s="1"/>
  <c r="AM8" i="1" l="1"/>
  <c r="AG10" i="10"/>
  <c r="AF19" i="10"/>
  <c r="AF18" i="10"/>
  <c r="AF12" i="13" s="1"/>
  <c r="AF7" i="10"/>
  <c r="AF6" i="10"/>
  <c r="AF5" i="10"/>
  <c r="AF4" i="10"/>
  <c r="AF3" i="10"/>
  <c r="AF2" i="10"/>
  <c r="AF4" i="13" s="1"/>
  <c r="AG59" i="1"/>
  <c r="AF20" i="10" s="1"/>
  <c r="AG31" i="1"/>
  <c r="AO8" i="1" l="1"/>
  <c r="AF10" i="10"/>
  <c r="F4" i="15"/>
  <c r="E4" i="15"/>
  <c r="AE19" i="10" l="1"/>
  <c r="AE18" i="10"/>
  <c r="AE12" i="13" s="1"/>
  <c r="AE7" i="10"/>
  <c r="AE6" i="10"/>
  <c r="AE5" i="10"/>
  <c r="AE4" i="10"/>
  <c r="AE3" i="10"/>
  <c r="AE2" i="10"/>
  <c r="AE4" i="13" s="1"/>
  <c r="AF59" i="1"/>
  <c r="AE20" i="10" s="1"/>
  <c r="AF29" i="1"/>
  <c r="AG29" i="1" s="1"/>
  <c r="AF30" i="1"/>
  <c r="AG30" i="1" s="1"/>
  <c r="AH30" i="1" s="1"/>
  <c r="AI30" i="1" s="1"/>
  <c r="AJ30" i="1" s="1"/>
  <c r="AF28" i="1"/>
  <c r="AE12" i="10" s="1"/>
  <c r="AF47" i="1"/>
  <c r="AG47" i="1" s="1"/>
  <c r="AH47" i="1" l="1"/>
  <c r="AH29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O5" i="17"/>
  <c r="N5" i="17"/>
  <c r="M5" i="17"/>
  <c r="M7" i="17" s="1"/>
  <c r="N9" i="17" s="1"/>
  <c r="M9" i="17"/>
  <c r="L9" i="17"/>
  <c r="K7" i="17"/>
  <c r="L7" i="17"/>
  <c r="AE59" i="1"/>
  <c r="AD20" i="10" s="1"/>
  <c r="C9" i="17"/>
  <c r="D9" i="17" s="1"/>
  <c r="E9" i="17" s="1"/>
  <c r="F9" i="17" s="1"/>
  <c r="G9" i="17" s="1"/>
  <c r="H9" i="17" s="1"/>
  <c r="I9" i="17" s="1"/>
  <c r="J9" i="17" s="1"/>
  <c r="K9" i="17" s="1"/>
  <c r="B9" i="17"/>
  <c r="E7" i="17"/>
  <c r="A7" i="17"/>
  <c r="D7" i="17"/>
  <c r="C7" i="17"/>
  <c r="F7" i="17"/>
  <c r="G7" i="17"/>
  <c r="H7" i="17"/>
  <c r="I7" i="17"/>
  <c r="J7" i="17"/>
  <c r="B7" i="17"/>
  <c r="D5" i="17"/>
  <c r="E5" i="17" s="1"/>
  <c r="F5" i="17" s="1"/>
  <c r="G5" i="17" s="1"/>
  <c r="H5" i="17" s="1"/>
  <c r="I5" i="17" s="1"/>
  <c r="J5" i="17" s="1"/>
  <c r="C5" i="17"/>
  <c r="AI29" i="1" l="1"/>
  <c r="AG12" i="10"/>
  <c r="AI47" i="1"/>
  <c r="AD10" i="10"/>
  <c r="AC19" i="10"/>
  <c r="AC18" i="10"/>
  <c r="AC12" i="13" s="1"/>
  <c r="AC7" i="10"/>
  <c r="AC6" i="10"/>
  <c r="AC5" i="10"/>
  <c r="AC4" i="10"/>
  <c r="AC3" i="10"/>
  <c r="AC2" i="10"/>
  <c r="AC4" i="13" s="1"/>
  <c r="AD59" i="1"/>
  <c r="AC20" i="10" s="1"/>
  <c r="AD46" i="1"/>
  <c r="AD25" i="1"/>
  <c r="AE25" i="1" s="1"/>
  <c r="AJ47" i="1" l="1"/>
  <c r="AK47" i="1" s="1"/>
  <c r="AJ29" i="1"/>
  <c r="AH12" i="10"/>
  <c r="AF25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59" i="1"/>
  <c r="AB20" i="10" s="1"/>
  <c r="AI12" i="10" l="1"/>
  <c r="AG25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59" i="1"/>
  <c r="AA20" i="10" s="1"/>
  <c r="AB47" i="1"/>
  <c r="AC47" i="1" s="1"/>
  <c r="AF9" i="10" l="1"/>
  <c r="AF6" i="13" s="1"/>
  <c r="AH25" i="1"/>
  <c r="AG9" i="10" s="1"/>
  <c r="AG6" i="13" s="1"/>
  <c r="AD47" i="1"/>
  <c r="P9" i="17"/>
  <c r="P5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59" i="1"/>
  <c r="P7" i="17" l="1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59" i="1"/>
  <c r="Y20" i="10" s="1"/>
  <c r="Z19" i="1"/>
  <c r="AA19" i="1" s="1"/>
  <c r="AB19" i="1" s="1"/>
  <c r="Z18" i="1"/>
  <c r="AA18" i="1" s="1"/>
  <c r="AB18" i="1" s="1"/>
  <c r="Z49" i="1"/>
  <c r="AA49" i="1" s="1"/>
  <c r="AC18" i="1" l="1"/>
  <c r="AD18" i="1" s="1"/>
  <c r="AE18" i="1" s="1"/>
  <c r="AF18" i="1" s="1"/>
  <c r="AG18" i="1" s="1"/>
  <c r="AH18" i="1" s="1"/>
  <c r="AI18" i="1" s="1"/>
  <c r="AJ18" i="1" s="1"/>
  <c r="AP18" i="1"/>
  <c r="AC19" i="1"/>
  <c r="AD19" i="1" s="1"/>
  <c r="AE19" i="1" s="1"/>
  <c r="AF19" i="1" s="1"/>
  <c r="AG19" i="1" s="1"/>
  <c r="AH19" i="1" s="1"/>
  <c r="AI19" i="1" s="1"/>
  <c r="AJ19" i="1" s="1"/>
  <c r="AP19" i="1"/>
  <c r="Y17" i="10"/>
  <c r="AB49" i="1"/>
  <c r="Z17" i="10"/>
  <c r="AK18" i="1"/>
  <c r="AL18" i="1" s="1"/>
  <c r="AM18" i="1" s="1"/>
  <c r="AO18" i="1" s="1"/>
  <c r="AK19" i="1"/>
  <c r="AL19" i="1" s="1"/>
  <c r="AM19" i="1" s="1"/>
  <c r="AO19" i="1" s="1"/>
  <c r="Q5" i="17"/>
  <c r="X19" i="10"/>
  <c r="X18" i="10"/>
  <c r="X12" i="13" s="1"/>
  <c r="X7" i="10"/>
  <c r="X6" i="10"/>
  <c r="X5" i="10"/>
  <c r="X4" i="10"/>
  <c r="X3" i="10"/>
  <c r="X2" i="10"/>
  <c r="X4" i="13" s="1"/>
  <c r="X17" i="10"/>
  <c r="Y30" i="1"/>
  <c r="Y48" i="1"/>
  <c r="Y59" i="1"/>
  <c r="Z30" i="1" l="1"/>
  <c r="AA30" i="1" s="1"/>
  <c r="AB30" i="1" s="1"/>
  <c r="AC30" i="1" s="1"/>
  <c r="AD30" i="1" s="1"/>
  <c r="Z48" i="1"/>
  <c r="AA48" i="1" s="1"/>
  <c r="AC49" i="1"/>
  <c r="AA17" i="10"/>
  <c r="R5" i="17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59" i="1"/>
  <c r="W20" i="10" s="1"/>
  <c r="X50" i="1"/>
  <c r="Y50" i="1" s="1"/>
  <c r="X41" i="1"/>
  <c r="Y41" i="1" s="1"/>
  <c r="X40" i="1"/>
  <c r="Y40" i="1" s="1"/>
  <c r="X27" i="1"/>
  <c r="Y27" i="1" s="1"/>
  <c r="X25" i="1"/>
  <c r="Y25" i="1" s="1"/>
  <c r="W14" i="10" l="1"/>
  <c r="W9" i="13" s="1"/>
  <c r="Z41" i="1"/>
  <c r="AA41" i="1" s="1"/>
  <c r="AB41" i="1" s="1"/>
  <c r="AC41" i="1" s="1"/>
  <c r="AD41" i="1" s="1"/>
  <c r="AE41" i="1" s="1"/>
  <c r="AF41" i="1" s="1"/>
  <c r="AD49" i="1"/>
  <c r="AB17" i="10"/>
  <c r="Z40" i="1"/>
  <c r="AB48" i="1"/>
  <c r="Z50" i="1"/>
  <c r="AA50" i="1" s="1"/>
  <c r="AB50" i="1" s="1"/>
  <c r="AC50" i="1" s="1"/>
  <c r="AD50" i="1" s="1"/>
  <c r="AE50" i="1" s="1"/>
  <c r="AF50" i="1" s="1"/>
  <c r="AG50" i="1" s="1"/>
  <c r="AH50" i="1" s="1"/>
  <c r="AI50" i="1" s="1"/>
  <c r="AJ50" i="1" s="1"/>
  <c r="AK50" i="1" s="1"/>
  <c r="W9" i="10"/>
  <c r="W6" i="13" s="1"/>
  <c r="Z27" i="1"/>
  <c r="AA27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2" i="1"/>
  <c r="X22" i="1" s="1"/>
  <c r="Y22" i="1" s="1"/>
  <c r="W59" i="1"/>
  <c r="E95" i="8"/>
  <c r="Z16" i="10" l="1"/>
  <c r="Z11" i="13" s="1"/>
  <c r="AA40" i="1"/>
  <c r="Y14" i="10"/>
  <c r="Y9" i="13" s="1"/>
  <c r="AC48" i="1"/>
  <c r="AA16" i="10"/>
  <c r="AA11" i="13" s="1"/>
  <c r="AE49" i="1"/>
  <c r="AC17" i="10"/>
  <c r="Z22" i="1"/>
  <c r="AA22" i="1" s="1"/>
  <c r="AB22" i="1" s="1"/>
  <c r="AC22" i="1" s="1"/>
  <c r="AD22" i="1" s="1"/>
  <c r="AE22" i="1" s="1"/>
  <c r="AF22" i="1" s="1"/>
  <c r="AG22" i="1" s="1"/>
  <c r="AH22" i="1" s="1"/>
  <c r="AI22" i="1" s="1"/>
  <c r="Y11" i="10"/>
  <c r="Y7" i="13" s="1"/>
  <c r="AB27" i="1"/>
  <c r="Z11" i="10"/>
  <c r="Z7" i="13" s="1"/>
  <c r="S5" i="17"/>
  <c r="W7" i="13"/>
  <c r="X7" i="13"/>
  <c r="V10" i="10"/>
  <c r="V7" i="13" s="1"/>
  <c r="AD48" i="1" l="1"/>
  <c r="AB16" i="10"/>
  <c r="AB11" i="13" s="1"/>
  <c r="AF49" i="1"/>
  <c r="AD17" i="10"/>
  <c r="AJ22" i="1"/>
  <c r="F2" i="15"/>
  <c r="AB40" i="1"/>
  <c r="Z14" i="10"/>
  <c r="Z9" i="13" s="1"/>
  <c r="AC27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2" i="1" l="1"/>
  <c r="AC40" i="1"/>
  <c r="AA14" i="10"/>
  <c r="AA9" i="13" s="1"/>
  <c r="AG49" i="1"/>
  <c r="AE17" i="10"/>
  <c r="E2" i="15"/>
  <c r="AE48" i="1"/>
  <c r="AC16" i="10"/>
  <c r="AC11" i="13" s="1"/>
  <c r="AD27" i="1"/>
  <c r="AB11" i="10"/>
  <c r="AB7" i="13" s="1"/>
  <c r="T5" i="17"/>
  <c r="U10" i="10"/>
  <c r="V59" i="1"/>
  <c r="U20" i="10" s="1"/>
  <c r="V50" i="1"/>
  <c r="W50" i="1" s="1"/>
  <c r="AF48" i="1" l="1"/>
  <c r="AD16" i="10"/>
  <c r="AD11" i="13" s="1"/>
  <c r="AH49" i="1"/>
  <c r="AF17" i="10"/>
  <c r="AD40" i="1"/>
  <c r="AB14" i="10"/>
  <c r="AB9" i="13" s="1"/>
  <c r="AE27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59" i="1"/>
  <c r="T20" i="10" s="1"/>
  <c r="S26" i="1"/>
  <c r="U8" i="1"/>
  <c r="V8" i="1" s="1"/>
  <c r="AE40" i="1" l="1"/>
  <c r="AC14" i="10"/>
  <c r="AC9" i="13" s="1"/>
  <c r="AI49" i="1"/>
  <c r="AG17" i="10"/>
  <c r="AG48" i="1"/>
  <c r="AE16" i="10"/>
  <c r="AE11" i="13" s="1"/>
  <c r="AF27" i="1"/>
  <c r="AD11" i="10"/>
  <c r="AD7" i="13" s="1"/>
  <c r="U5" i="17"/>
  <c r="W8" i="1"/>
  <c r="S19" i="10"/>
  <c r="S18" i="10"/>
  <c r="S12" i="13" s="1"/>
  <c r="S7" i="10"/>
  <c r="S6" i="10"/>
  <c r="S5" i="10"/>
  <c r="S4" i="10"/>
  <c r="S3" i="10"/>
  <c r="S2" i="10"/>
  <c r="S4" i="13" s="1"/>
  <c r="T59" i="1"/>
  <c r="S20" i="10" s="1"/>
  <c r="T41" i="1"/>
  <c r="U41" i="1" s="1"/>
  <c r="V41" i="1" s="1"/>
  <c r="T40" i="1"/>
  <c r="U40" i="1" s="1"/>
  <c r="AH48" i="1" l="1"/>
  <c r="AF16" i="10"/>
  <c r="AF11" i="13" s="1"/>
  <c r="AJ49" i="1"/>
  <c r="AK49" i="1" s="1"/>
  <c r="AH17" i="10"/>
  <c r="AF40" i="1"/>
  <c r="AD14" i="10"/>
  <c r="AD9" i="13" s="1"/>
  <c r="AG27" i="1"/>
  <c r="AE11" i="10"/>
  <c r="AE7" i="13" s="1"/>
  <c r="V5" i="17"/>
  <c r="U7" i="17"/>
  <c r="V9" i="17" s="1"/>
  <c r="V40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2" i="1"/>
  <c r="R14" i="10" s="1"/>
  <c r="R9" i="13" s="1"/>
  <c r="S47" i="1"/>
  <c r="T47" i="1" s="1"/>
  <c r="S50" i="1"/>
  <c r="T50" i="1" s="1"/>
  <c r="S48" i="1"/>
  <c r="T48" i="1" s="1"/>
  <c r="U48" i="1" s="1"/>
  <c r="V48" i="1" s="1"/>
  <c r="W48" i="1" s="1"/>
  <c r="S27" i="1"/>
  <c r="T27" i="1" s="1"/>
  <c r="S59" i="1"/>
  <c r="R20" i="10" s="1"/>
  <c r="AI48" i="1" l="1"/>
  <c r="AG16" i="10"/>
  <c r="AG11" i="13" s="1"/>
  <c r="AG40" i="1"/>
  <c r="AE14" i="10"/>
  <c r="AE9" i="13" s="1"/>
  <c r="AI17" i="10"/>
  <c r="AH27" i="1"/>
  <c r="AI27" i="1" s="1"/>
  <c r="AF11" i="10"/>
  <c r="AF7" i="13" s="1"/>
  <c r="V7" i="17"/>
  <c r="W9" i="17" s="1"/>
  <c r="Z8" i="1"/>
  <c r="U47" i="1"/>
  <c r="S16" i="10"/>
  <c r="S11" i="13" s="1"/>
  <c r="U27" i="1"/>
  <c r="S11" i="10"/>
  <c r="S7" i="13" s="1"/>
  <c r="R16" i="10"/>
  <c r="R11" i="13" s="1"/>
  <c r="R11" i="10"/>
  <c r="R10" i="10"/>
  <c r="AH40" i="1" l="1"/>
  <c r="AF14" i="10"/>
  <c r="AF9" i="13" s="1"/>
  <c r="AJ48" i="1"/>
  <c r="AK48" i="1" s="1"/>
  <c r="AH16" i="10"/>
  <c r="AH11" i="13" s="1"/>
  <c r="AJ27" i="1"/>
  <c r="AK27" i="1" s="1"/>
  <c r="AH11" i="10"/>
  <c r="AH7" i="13" s="1"/>
  <c r="AG11" i="10"/>
  <c r="AG7" i="13" s="1"/>
  <c r="W5" i="17"/>
  <c r="AA8" i="1"/>
  <c r="R7" i="13"/>
  <c r="V27" i="1"/>
  <c r="U11" i="10" s="1"/>
  <c r="U7" i="13" s="1"/>
  <c r="T11" i="10"/>
  <c r="T7" i="13" s="1"/>
  <c r="V47" i="1"/>
  <c r="T16" i="10"/>
  <c r="T11" i="13" s="1"/>
  <c r="AI16" i="10" l="1"/>
  <c r="AI11" i="13" s="1"/>
  <c r="AI40" i="1"/>
  <c r="AG14" i="10"/>
  <c r="AG9" i="13" s="1"/>
  <c r="AI11" i="10"/>
  <c r="AI7" i="13" s="1"/>
  <c r="W7" i="17"/>
  <c r="X9" i="17" s="1"/>
  <c r="AB8" i="1"/>
  <c r="AP8" i="1" s="1"/>
  <c r="W47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12" i="14"/>
  <c r="B20" i="14"/>
  <c r="B14" i="14"/>
  <c r="B6" i="14"/>
  <c r="AJ40" i="1" l="1"/>
  <c r="AK40" i="1" s="1"/>
  <c r="AH14" i="10"/>
  <c r="AH9" i="13" s="1"/>
  <c r="X5" i="17"/>
  <c r="AC8" i="1"/>
  <c r="X47" i="1"/>
  <c r="Y47" i="1" s="1"/>
  <c r="V16" i="10"/>
  <c r="V11" i="13" s="1"/>
  <c r="R59" i="1"/>
  <c r="Q20" i="10" s="1"/>
  <c r="Q59" i="1"/>
  <c r="R32" i="1"/>
  <c r="R29" i="1"/>
  <c r="S29" i="1" s="1"/>
  <c r="T29" i="1" s="1"/>
  <c r="U29" i="1" s="1"/>
  <c r="V29" i="1" s="1"/>
  <c r="R30" i="1"/>
  <c r="S30" i="1" s="1"/>
  <c r="T30" i="1" s="1"/>
  <c r="U30" i="1" s="1"/>
  <c r="V30" i="1" s="1"/>
  <c r="R28" i="1"/>
  <c r="R40" i="1"/>
  <c r="Q14" i="10" s="1"/>
  <c r="Q9" i="13" s="1"/>
  <c r="R43" i="1"/>
  <c r="C119" i="8"/>
  <c r="C118" i="8"/>
  <c r="R25" i="1"/>
  <c r="R24" i="1"/>
  <c r="S24" i="1" s="1"/>
  <c r="T24" i="1" s="1"/>
  <c r="U24" i="1" s="1"/>
  <c r="V24" i="1" s="1"/>
  <c r="W24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AG17" i="1" s="1"/>
  <c r="AH17" i="1" s="1"/>
  <c r="AI17" i="1" s="1"/>
  <c r="AJ17" i="1" s="1"/>
  <c r="AK17" i="1" s="1"/>
  <c r="AL17" i="1" s="1"/>
  <c r="AM17" i="1" s="1"/>
  <c r="AO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0" i="1"/>
  <c r="S20" i="1" s="1"/>
  <c r="T20" i="1" s="1"/>
  <c r="U20" i="1" s="1"/>
  <c r="V20" i="1" s="1"/>
  <c r="W20" i="1" s="1"/>
  <c r="Z47" i="1" l="1"/>
  <c r="Y16" i="10" s="1"/>
  <c r="Y11" i="13" s="1"/>
  <c r="AI14" i="10"/>
  <c r="AI9" i="13" s="1"/>
  <c r="X24" i="1"/>
  <c r="Y24" i="1" s="1"/>
  <c r="X13" i="1"/>
  <c r="Y13" i="1" s="1"/>
  <c r="Z13" i="1" s="1"/>
  <c r="AA13" i="1" s="1"/>
  <c r="AB13" i="1" s="1"/>
  <c r="X20" i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W29" i="1"/>
  <c r="W12" i="1"/>
  <c r="W11" i="1"/>
  <c r="W10" i="1"/>
  <c r="W30" i="1"/>
  <c r="X7" i="17"/>
  <c r="Y9" i="17" s="1"/>
  <c r="AD8" i="1"/>
  <c r="S25" i="1"/>
  <c r="Q9" i="10"/>
  <c r="Q6" i="13" s="1"/>
  <c r="S32" i="1"/>
  <c r="Q13" i="10"/>
  <c r="S43" i="1"/>
  <c r="Q15" i="10"/>
  <c r="Q10" i="13" s="1"/>
  <c r="S28" i="1"/>
  <c r="Q12" i="10"/>
  <c r="X16" i="10"/>
  <c r="X11" i="13" s="1"/>
  <c r="W16" i="10"/>
  <c r="W11" i="13" s="1"/>
  <c r="S9" i="1"/>
  <c r="Q8" i="10"/>
  <c r="Q5" i="13" s="1"/>
  <c r="Q10" i="10"/>
  <c r="Q7" i="13" s="1"/>
  <c r="C210" i="8"/>
  <c r="E209" i="8"/>
  <c r="E208" i="8"/>
  <c r="E207" i="8"/>
  <c r="E206" i="8"/>
  <c r="E205" i="8"/>
  <c r="E204" i="8"/>
  <c r="E202" i="8"/>
  <c r="E201" i="8"/>
  <c r="E200" i="8"/>
  <c r="E199" i="8"/>
  <c r="E198" i="8"/>
  <c r="E197" i="8"/>
  <c r="AP20" i="1" l="1"/>
  <c r="AO20" i="1"/>
  <c r="AC13" i="1"/>
  <c r="AD13" i="1" s="1"/>
  <c r="AE13" i="1" s="1"/>
  <c r="AF13" i="1" s="1"/>
  <c r="AG13" i="1" s="1"/>
  <c r="AH13" i="1" s="1"/>
  <c r="AI13" i="1" s="1"/>
  <c r="AP13" i="1"/>
  <c r="AJ13" i="1"/>
  <c r="AK13" i="1" s="1"/>
  <c r="Z24" i="1"/>
  <c r="AA24" i="1" s="1"/>
  <c r="AB24" i="1" s="1"/>
  <c r="X29" i="1"/>
  <c r="Y29" i="1" s="1"/>
  <c r="X10" i="1"/>
  <c r="Y10" i="1" s="1"/>
  <c r="X12" i="1"/>
  <c r="Y12" i="1" s="1"/>
  <c r="X11" i="1"/>
  <c r="Y11" i="1" s="1"/>
  <c r="Y5" i="17"/>
  <c r="AE8" i="1"/>
  <c r="Q8" i="13"/>
  <c r="T43" i="1"/>
  <c r="R15" i="10"/>
  <c r="R10" i="13" s="1"/>
  <c r="T28" i="1"/>
  <c r="R12" i="10"/>
  <c r="T32" i="1"/>
  <c r="R13" i="10"/>
  <c r="T25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L13" i="1" l="1"/>
  <c r="AC24" i="1"/>
  <c r="AD24" i="1" s="1"/>
  <c r="AE24" i="1" s="1"/>
  <c r="AF24" i="1" s="1"/>
  <c r="AG24" i="1" s="1"/>
  <c r="AH24" i="1" s="1"/>
  <c r="AI24" i="1" s="1"/>
  <c r="AJ24" i="1" s="1"/>
  <c r="AI8" i="10" s="1"/>
  <c r="AI5" i="13" s="1"/>
  <c r="AP24" i="1"/>
  <c r="AK24" i="1"/>
  <c r="AL24" i="1" s="1"/>
  <c r="AM24" i="1" s="1"/>
  <c r="AO24" i="1" s="1"/>
  <c r="AH8" i="10"/>
  <c r="AH5" i="13" s="1"/>
  <c r="Z29" i="1"/>
  <c r="AA29" i="1" s="1"/>
  <c r="AB29" i="1" s="1"/>
  <c r="AC29" i="1" s="1"/>
  <c r="AD29" i="1" s="1"/>
  <c r="Z10" i="1"/>
  <c r="AA10" i="1" s="1"/>
  <c r="AB10" i="1" s="1"/>
  <c r="AG8" i="10"/>
  <c r="AG5" i="13" s="1"/>
  <c r="Z11" i="1"/>
  <c r="AA11" i="1" s="1"/>
  <c r="AB11" i="1" s="1"/>
  <c r="Z12" i="1"/>
  <c r="AA12" i="1" s="1"/>
  <c r="AB12" i="1" s="1"/>
  <c r="AF8" i="1"/>
  <c r="Y7" i="17"/>
  <c r="Z9" i="17" s="1"/>
  <c r="U25" i="1"/>
  <c r="T9" i="10" s="1"/>
  <c r="T6" i="13" s="1"/>
  <c r="S9" i="10"/>
  <c r="S6" i="13" s="1"/>
  <c r="U32" i="1"/>
  <c r="S13" i="10"/>
  <c r="R8" i="13"/>
  <c r="U28" i="1"/>
  <c r="S12" i="10"/>
  <c r="U43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C10" i="1" l="1"/>
  <c r="AD10" i="1" s="1"/>
  <c r="AE10" i="1" s="1"/>
  <c r="AF10" i="1" s="1"/>
  <c r="AG10" i="1" s="1"/>
  <c r="AP10" i="1"/>
  <c r="AC12" i="1"/>
  <c r="AD12" i="1" s="1"/>
  <c r="AE12" i="1" s="1"/>
  <c r="AF12" i="1" s="1"/>
  <c r="AG12" i="1" s="1"/>
  <c r="AP12" i="1"/>
  <c r="AC11" i="1"/>
  <c r="AD11" i="1" s="1"/>
  <c r="AE11" i="1" s="1"/>
  <c r="AF11" i="1" s="1"/>
  <c r="AG11" i="1" s="1"/>
  <c r="AP11" i="1"/>
  <c r="AJ8" i="10"/>
  <c r="AJ5" i="13" s="1"/>
  <c r="AM13" i="1"/>
  <c r="AK8" i="10"/>
  <c r="AK5" i="13" s="1"/>
  <c r="AG8" i="1"/>
  <c r="S8" i="13"/>
  <c r="Z5" i="17"/>
  <c r="V32" i="1"/>
  <c r="T13" i="10"/>
  <c r="V43" i="1"/>
  <c r="T15" i="10"/>
  <c r="T10" i="13" s="1"/>
  <c r="V28" i="1"/>
  <c r="T12" i="10"/>
  <c r="W9" i="1"/>
  <c r="U8" i="10"/>
  <c r="U5" i="13" s="1"/>
  <c r="T8" i="10"/>
  <c r="T5" i="13" s="1"/>
  <c r="A1" i="13"/>
  <c r="AO13" i="1" l="1"/>
  <c r="AL8" i="10"/>
  <c r="AL5" i="13" s="1"/>
  <c r="Z7" i="17"/>
  <c r="AA9" i="17" s="1"/>
  <c r="T8" i="13"/>
  <c r="W28" i="1"/>
  <c r="U12" i="10"/>
  <c r="W43" i="1"/>
  <c r="U15" i="10"/>
  <c r="U10" i="13" s="1"/>
  <c r="W32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6" i="1"/>
  <c r="P10" i="10" s="1"/>
  <c r="AA5" i="17" l="1"/>
  <c r="X32" i="1"/>
  <c r="V13" i="10"/>
  <c r="X28" i="1"/>
  <c r="V12" i="10"/>
  <c r="X43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V8" i="13" l="1"/>
  <c r="AA7" i="17"/>
  <c r="AB9" i="17" s="1"/>
  <c r="AA9" i="1"/>
  <c r="Y8" i="10"/>
  <c r="Y5" i="13" s="1"/>
  <c r="Y43" i="1"/>
  <c r="W15" i="10"/>
  <c r="W10" i="13" s="1"/>
  <c r="Y28" i="1"/>
  <c r="W12" i="10"/>
  <c r="Y32" i="1"/>
  <c r="W13" i="10"/>
  <c r="K8" i="10"/>
  <c r="K5" i="13" s="1"/>
  <c r="M8" i="10"/>
  <c r="M5" i="13" s="1"/>
  <c r="O14" i="1"/>
  <c r="N8" i="10" s="1"/>
  <c r="N5" i="13" s="1"/>
  <c r="P24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3" i="1" l="1"/>
  <c r="Z32" i="1"/>
  <c r="Z28" i="1"/>
  <c r="AA28" i="1" s="1"/>
  <c r="AB5" i="17"/>
  <c r="AB9" i="1"/>
  <c r="AP9" i="1" s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0" i="1"/>
  <c r="O59" i="1"/>
  <c r="N20" i="10" s="1"/>
  <c r="P59" i="1"/>
  <c r="O20" i="10" s="1"/>
  <c r="O8" i="10" l="1"/>
  <c r="O5" i="13" s="1"/>
  <c r="AA32" i="1"/>
  <c r="Y13" i="10"/>
  <c r="AA43" i="1"/>
  <c r="Y15" i="10"/>
  <c r="Y10" i="13" s="1"/>
  <c r="Y12" i="10"/>
  <c r="Y8" i="13" s="1"/>
  <c r="AB28" i="1"/>
  <c r="Z12" i="10"/>
  <c r="AB7" i="17"/>
  <c r="AC9" i="17" s="1"/>
  <c r="AC9" i="1"/>
  <c r="AA8" i="10"/>
  <c r="AA5" i="13" s="1"/>
  <c r="X8" i="13"/>
  <c r="C59" i="1"/>
  <c r="B20" i="10" s="1"/>
  <c r="M16" i="1"/>
  <c r="M20" i="1"/>
  <c r="M14" i="1"/>
  <c r="L8" i="10" s="1"/>
  <c r="L5" i="13" s="1"/>
  <c r="D59" i="1"/>
  <c r="C20" i="10" s="1"/>
  <c r="E59" i="1"/>
  <c r="D20" i="10" s="1"/>
  <c r="F59" i="1"/>
  <c r="E20" i="10" s="1"/>
  <c r="I59" i="1"/>
  <c r="H20" i="10" s="1"/>
  <c r="J59" i="1"/>
  <c r="I20" i="10" s="1"/>
  <c r="K59" i="1"/>
  <c r="J20" i="10" s="1"/>
  <c r="M59" i="1"/>
  <c r="L20" i="10" s="1"/>
  <c r="N59" i="1"/>
  <c r="M20" i="10" s="1"/>
  <c r="AB43" i="1" l="1"/>
  <c r="Z15" i="10"/>
  <c r="Z10" i="13" s="1"/>
  <c r="AB32" i="1"/>
  <c r="Z13" i="10"/>
  <c r="Z8" i="13" s="1"/>
  <c r="AC28" i="1"/>
  <c r="AA12" i="10"/>
  <c r="AC5" i="17"/>
  <c r="AD9" i="1"/>
  <c r="AB8" i="10"/>
  <c r="AB5" i="13" s="1"/>
  <c r="G59" i="1"/>
  <c r="F20" i="10" s="1"/>
  <c r="H59" i="1"/>
  <c r="G20" i="10" s="1"/>
  <c r="L59" i="1"/>
  <c r="K20" i="10" s="1"/>
  <c r="AC32" i="1" l="1"/>
  <c r="AA13" i="10"/>
  <c r="AA8" i="13" s="1"/>
  <c r="AC43" i="1"/>
  <c r="AA15" i="10"/>
  <c r="AA10" i="13" s="1"/>
  <c r="AD28" i="1"/>
  <c r="AC12" i="10" s="1"/>
  <c r="AB12" i="10"/>
  <c r="AC7" i="17"/>
  <c r="AD9" i="17" s="1"/>
  <c r="AE9" i="1"/>
  <c r="AC8" i="10"/>
  <c r="AC5" i="13" s="1"/>
  <c r="AD43" i="1" l="1"/>
  <c r="AB15" i="10"/>
  <c r="AB10" i="13" s="1"/>
  <c r="AD32" i="1"/>
  <c r="AB13" i="10"/>
  <c r="AB8" i="13" s="1"/>
  <c r="AF9" i="1"/>
  <c r="AD8" i="10"/>
  <c r="AD5" i="13" s="1"/>
  <c r="AD5" i="17"/>
  <c r="AE32" i="1" l="1"/>
  <c r="AC13" i="10"/>
  <c r="AC8" i="13" s="1"/>
  <c r="AE43" i="1"/>
  <c r="AC15" i="10"/>
  <c r="AC10" i="13" s="1"/>
  <c r="AG9" i="1"/>
  <c r="AE8" i="10"/>
  <c r="AE5" i="13" s="1"/>
  <c r="AD7" i="17"/>
  <c r="AE9" i="17" s="1"/>
  <c r="AF43" i="1" l="1"/>
  <c r="AD15" i="10"/>
  <c r="AD10" i="13" s="1"/>
  <c r="AF32" i="1"/>
  <c r="AD13" i="10"/>
  <c r="AD8" i="13" s="1"/>
  <c r="AF8" i="10"/>
  <c r="AF5" i="13" s="1"/>
  <c r="AE5" i="17"/>
  <c r="AG32" i="1" l="1"/>
  <c r="AE13" i="10"/>
  <c r="AE8" i="13" s="1"/>
  <c r="AG43" i="1"/>
  <c r="AE15" i="10"/>
  <c r="AE10" i="13" s="1"/>
  <c r="AE7" i="17"/>
  <c r="AF9" i="17" s="1"/>
  <c r="AH43" i="1" l="1"/>
  <c r="AF15" i="10"/>
  <c r="AF10" i="13" s="1"/>
  <c r="AH32" i="1"/>
  <c r="AF13" i="10"/>
  <c r="AF8" i="13" s="1"/>
  <c r="AF5" i="17"/>
  <c r="AI43" i="1" l="1"/>
  <c r="AG15" i="10"/>
  <c r="AG10" i="13" s="1"/>
  <c r="AI32" i="1"/>
  <c r="AG13" i="10"/>
  <c r="AG8" i="13" s="1"/>
  <c r="AF7" i="17"/>
  <c r="AG9" i="17" s="1"/>
  <c r="AJ43" i="1" l="1"/>
  <c r="AK43" i="1" s="1"/>
  <c r="AH15" i="10"/>
  <c r="AH10" i="13" s="1"/>
  <c r="AJ32" i="1"/>
  <c r="AH13" i="10"/>
  <c r="AH8" i="13" s="1"/>
  <c r="AG5" i="17"/>
  <c r="AI13" i="10" l="1"/>
  <c r="AI8" i="13" s="1"/>
  <c r="AI15" i="10"/>
  <c r="AI10" i="13" s="1"/>
  <c r="AG7" i="17"/>
  <c r="AH9" i="17" s="1"/>
  <c r="AH5" i="17" l="1"/>
  <c r="AH7" i="17" l="1"/>
  <c r="AI9" i="17" s="1"/>
  <c r="AI5" i="17" l="1"/>
  <c r="AI7" i="17" l="1"/>
  <c r="AJ9" i="17" s="1"/>
  <c r="AJ5" i="17" l="1"/>
  <c r="AJ7" i="17" l="1"/>
  <c r="AK9" i="17" s="1"/>
  <c r="AK5" i="17" l="1"/>
  <c r="AL5" i="17" l="1"/>
  <c r="AK7" i="17"/>
  <c r="AL9" i="17" s="1"/>
  <c r="AM5" i="17" l="1"/>
  <c r="AL7" i="17"/>
  <c r="AM9" i="17" s="1"/>
  <c r="AN5" i="17" l="1"/>
  <c r="AM7" i="17"/>
  <c r="AN9" i="17" s="1"/>
  <c r="AO5" i="17" l="1"/>
  <c r="AN7" i="17"/>
  <c r="AO9" i="17" s="1"/>
  <c r="AP5" i="17" l="1"/>
  <c r="AO7" i="17"/>
  <c r="AP9" i="17" s="1"/>
  <c r="AP7" i="17" l="1"/>
  <c r="AQ9" i="17" s="1"/>
  <c r="AQ5" i="17" l="1"/>
  <c r="AQ7" i="17" l="1"/>
  <c r="AR9" i="17" s="1"/>
  <c r="AR5" i="17" l="1"/>
  <c r="AR7" i="17" l="1"/>
  <c r="AS9" i="17" s="1"/>
  <c r="AS5" i="17" l="1"/>
  <c r="AS7" i="17" l="1"/>
  <c r="AT9" i="17" s="1"/>
  <c r="AT5" i="17" l="1"/>
  <c r="AU5" i="17" l="1"/>
  <c r="AT7" i="17"/>
  <c r="AU9" i="17" s="1"/>
  <c r="AU7" i="17" l="1"/>
  <c r="AV9" i="17" s="1"/>
  <c r="AV5" i="17" l="1"/>
  <c r="AV7" i="17" l="1"/>
  <c r="AW9" i="17" s="1"/>
  <c r="AW5" i="17" l="1"/>
  <c r="AW7" i="17" l="1"/>
  <c r="AX9" i="17" s="1"/>
  <c r="AX5" i="17" l="1"/>
  <c r="AX7" i="17" l="1"/>
  <c r="AY9" i="17" s="1"/>
  <c r="AY5" i="17" l="1"/>
  <c r="AY7" i="17" l="1"/>
  <c r="AZ9" i="17" s="1"/>
  <c r="AZ5" i="17" l="1"/>
  <c r="AZ7" i="17" l="1"/>
  <c r="BA9" i="17" s="1"/>
  <c r="BA5" i="17" l="1"/>
  <c r="BA7" i="17" l="1"/>
  <c r="BB9" i="17" s="1"/>
  <c r="BB5" i="17" l="1"/>
  <c r="BB7" i="17" l="1"/>
  <c r="BC9" i="17" s="1"/>
  <c r="BC5" i="17" l="1"/>
  <c r="BC7" i="17" l="1"/>
  <c r="BD9" i="17" s="1"/>
  <c r="BD5" i="17" l="1"/>
  <c r="BD7" i="17" l="1"/>
  <c r="BE9" i="17" s="1"/>
  <c r="BE5" i="17" l="1"/>
  <c r="BE7" i="17" l="1"/>
  <c r="BF9" i="17" s="1"/>
  <c r="BF5" i="17" l="1"/>
  <c r="BF7" i="17" l="1"/>
  <c r="BG9" i="17" s="1"/>
  <c r="BG5" i="17" l="1"/>
  <c r="BG7" i="17" l="1"/>
  <c r="BH9" i="17" s="1"/>
  <c r="BH5" i="17" l="1"/>
  <c r="BH7" i="17" s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<sst xmlns="http://schemas.openxmlformats.org/spreadsheetml/2006/main" count="1623" uniqueCount="434">
  <si>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</si>
  <si>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</si>
  <si>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</si>
  <si>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</si>
  <si>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</si>
  <si>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</si>
  <si>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</si>
  <si>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</si>
  <si>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</si>
  <si>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</si>
  <si>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</si>
  <si>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</si>
  <si>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</si>
  <si>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</si>
  <si>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</si>
  <si>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</si>
  <si>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</si>
  <si>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</si>
  <si>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</si>
  <si>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</si>
  <si>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</si>
  <si>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</si>
  <si>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</si>
  <si>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</si>
  <si>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</si>
  <si>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</si>
  <si>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</si>
  <si>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</si>
  <si>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</si>
  <si>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</si>
  <si>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</si>
  <si>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</si>
  <si>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</si>
  <si>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</si>
  <si>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</si>
  <si>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</si>
  <si>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</si>
  <si>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</si>
  <si>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</si>
  <si>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</si>
  <si>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</si>
  <si>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</si>
  <si>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</si>
  <si>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</si>
  <si>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</si>
  <si>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</si>
  <si>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</si>
  <si>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</si>
  <si>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</si>
  <si>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</si>
  <si>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</si>
  <si>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</si>
  <si>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</si>
  <si>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</si>
  <si>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</si>
  <si>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</si>
  <si>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</si>
  <si>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</si>
  <si>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</si>
  <si>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</si>
  <si>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</si>
  <si>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</si>
  <si>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</si>
  <si>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</si>
  <si>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</si>
  <si>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</si>
  <si>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</si>
  <si>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</si>
  <si>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</si>
  <si>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</si>
  <si>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</si>
  <si>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</si>
  <si>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</si>
  <si>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</si>
  <si>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</si>
  <si>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</si>
  <si>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</si>
  <si>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</si>
  <si>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</si>
  <si>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</si>
  <si>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</si>
  <si>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</si>
  <si>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</si>
  <si>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</si>
  <si>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</si>
  <si>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</si>
  <si>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</si>
  <si>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</si>
  <si>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</si>
  <si>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</si>
  <si>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</si>
  <si>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</si>
  <si>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</si>
  <si>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</si>
  <si>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</si>
  <si>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</si>
  <si>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</si>
  <si>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</si>
  <si>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</si>
  <si>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</si>
  <si>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</si>
  <si>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</si>
  <si>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</si>
  <si>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</si>
  <si>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</si>
  <si>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</si>
  <si>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</si>
  <si>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</si>
  <si>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</si>
  <si>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</si>
  <si>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</si>
  <si>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</si>
  <si>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</si>
  <si>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</si>
  <si>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</si>
  <si>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</si>
  <si>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</si>
  <si>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</si>
  <si>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</si>
  <si>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</si>
  <si>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</si>
  <si>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</si>
  <si>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</si>
  <si>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</si>
  <si>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</si>
  <si>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</si>
  <si>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</si>
  <si>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</si>
  <si>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</si>
  <si>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</si>
  <si>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</si>
  <si>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</si>
  <si>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</si>
  <si>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</si>
  <si>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</si>
  <si>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</si>
  <si>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</si>
  <si>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</si>
  <si>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</si>
  <si>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</si>
  <si>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</si>
  <si>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</si>
  <si>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</si>
  <si>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</si>
  <si>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</si>
  <si>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</si>
  <si>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</si>
  <si>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</si>
  <si>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</si>
  <si>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</si>
  <si>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</si>
  <si>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</si>
  <si>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</si>
  <si>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</si>
  <si>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</si>
  <si>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</si>
  <si>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</si>
  <si>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</si>
  <si>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</si>
  <si>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</si>
  <si>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</si>
  <si>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</si>
  <si>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</si>
  <si>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</si>
  <si>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</si>
  <si>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</si>
  <si>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</si>
  <si>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</si>
  <si>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</si>
  <si>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</si>
  <si>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</si>
  <si>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</si>
  <si>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</si>
  <si>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</si>
  <si>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</si>
  <si>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</si>
  <si>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</si>
  <si>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</si>
  <si>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</si>
  <si>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</si>
  <si>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</si>
  <si>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</si>
  <si>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</si>
  <si>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</si>
  <si>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</si>
  <si>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</si>
  <si>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</si>
  <si>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</si>
  <si>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</si>
  <si>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</si>
  <si>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</si>
  <si>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</si>
  <si>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</si>
  <si>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</si>
  <si>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</si>
  <si>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</si>
  <si>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</si>
  <si>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</si>
  <si>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</si>
  <si>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</si>
  <si>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</si>
  <si>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</si>
  <si>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</si>
  <si>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</si>
  <si>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</si>
  <si>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</si>
  <si>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</si>
  <si>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</si>
  <si>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</si>
  <si>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</si>
  <si>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</si>
  <si>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</si>
  <si>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</si>
  <si>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</si>
  <si>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</si>
  <si>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</si>
  <si>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</si>
  <si>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</si>
  <si>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</si>
  <si>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</si>
  <si>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</si>
  <si>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</si>
  <si>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</si>
  <si>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</si>
  <si>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</si>
  <si>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</si>
  <si>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</si>
  <si>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</si>
  <si>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апрель 2024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</si>
  <si>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</si>
  <si>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</si>
  <si>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</si>
  <si>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</si>
  <si>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</si>
  <si>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</si>
  <si>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</si>
  <si>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</si>
  <si>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</si>
  <si>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</si>
  <si>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</si>
  <si>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</si>
  <si>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</si>
  <si>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</si>
  <si>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</si>
  <si>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</si>
  <si>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</si>
  <si>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</si>
  <si>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</si>
  <si>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</si>
  <si>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</si>
  <si>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</si>
  <si>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</si>
  <si>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</si>
  <si>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</si>
  <si>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</si>
  <si>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</si>
  <si>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</si>
  <si>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</si>
  <si>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</si>
  <si>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</si>
  <si>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маяк</t>
  </si>
  <si>
    <t>Banks</t>
  </si>
  <si>
    <t>ДОЛЛ</t>
  </si>
  <si>
    <t>РУБ</t>
  </si>
  <si>
    <t>КУРС</t>
  </si>
  <si>
    <t>РАЗНИЦА</t>
  </si>
  <si>
    <t>ПОГАШ</t>
  </si>
  <si>
    <t>ВЫДАЧ</t>
  </si>
  <si>
    <t>23,2 млн долл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</si>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</sst>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2" borderId="0" xfId="0" applyFill="1" applyAlignment="1">
      <alignment horizontal="left"/>
    </xf>
  </cellXfs>
  <cellStyles count="2">
    <cellStyle name="Гиперссылка" xfId="1" builtinId="8"/>
    <cellStyle name="Обычный" xfId="0" builtinId="0"/>
  </cellStyles>
  <dxfs count="127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5974.356821759262" createdVersion="6" refreshedVersion="6" minRefreshableVersion="3" recordCount="210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5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АО «ГТЛК»"/>
        <s v="ГК «Российские автомобильные дороги»"/>
        <s v="ООО «НЛК-Финанс»"/>
        <s v="ППК «Фонд развития территорий»"/>
        <s v="ООО «Авиакапитал-Сервис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0">
  <r>
    <n v="2025"/>
    <s v="Октябрь"/>
    <n v="-482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1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2"/>
    <m/>
  </r>
  <r>
    <n v="2025"/>
    <s v="Октябрь"/>
    <n v="347.3"/>
    <x v="0"/>
    <m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0"/>
    <s v="«Программа льготного лизинга гражданских судов водного транспорта»"/>
  </r>
  <r>
    <n v="2025"/>
    <s v="Сентябрь"/>
    <n v="-239.8"/>
    <x v="0"/>
    <m/>
    <x v="4"/>
    <m/>
  </r>
  <r>
    <n v="2025"/>
    <s v="Сентябрь"/>
    <n v="-94.3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0"/>
    <s v="«Программа льготного лизинга гражданских судов водного транспорта»"/>
  </r>
  <r>
    <n v="2025"/>
    <s v="Сентябрь"/>
    <n v="-220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1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1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2"/>
    <m/>
  </r>
  <r>
    <n v="2025"/>
    <s v="Сентябрь"/>
    <n v="156.9"/>
    <x v="0"/>
    <m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1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0"/>
    <s v="«Программа льготного лизинга гражданских судов водного транспорта»"/>
  </r>
  <r>
    <n v="2025"/>
    <s v="Август"/>
    <n v="-181.3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2"/>
    <m/>
  </r>
  <r>
    <n v="2025"/>
    <s v="Август"/>
    <n v="1230.9000000000001"/>
    <x v="0"/>
    <m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2"/>
    <m/>
  </r>
  <r>
    <n v="2025"/>
    <s v="Июнь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0"/>
    <s v="«Программа льготного лизинга гражданских судов водного транспорта»"/>
  </r>
  <r>
    <n v="2025"/>
    <s v="Июнь"/>
    <n v="-76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2"/>
    <m/>
  </r>
  <r>
    <n v="2025"/>
    <s v="Июнь"/>
    <n v="3371.7"/>
    <x v="0"/>
    <m/>
    <x v="0"/>
    <s v="«Программа льготного лизинга гражданских судов водного транспорта»"/>
  </r>
  <r>
    <n v="2025"/>
    <s v="Май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2"/>
    <m/>
  </r>
  <r>
    <n v="2025"/>
    <s v="Май"/>
    <n v="660.2"/>
    <x v="0"/>
    <m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2"/>
    <m/>
  </r>
  <r>
    <n v="2025"/>
    <s v="Апрель"/>
    <n v="374"/>
    <x v="0"/>
    <m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0"/>
    <s v="«Программа льготного лизинга гражданских судов водного транспорта»"/>
  </r>
  <r>
    <n v="2025"/>
    <s v="Март"/>
    <n v="-128.1999999999999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2"/>
    <m/>
  </r>
  <r>
    <n v="2025"/>
    <s v="Март"/>
    <n v="2563"/>
    <x v="0"/>
    <m/>
    <x v="0"/>
    <s v="«Программа льготного лизинга гражданских судов водного транспорта»"/>
  </r>
  <r>
    <n v="2025"/>
    <s v="Февраль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2"/>
    <m/>
  </r>
  <r>
    <n v="2025"/>
    <s v="Январь"/>
    <n v="-25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2"/>
    <m/>
  </r>
  <r>
    <n v="2024"/>
    <s v="Декабрь"/>
    <n v="-5.4"/>
    <x v="0"/>
    <m/>
    <x v="0"/>
    <s v="«Программа льготного лизинга гражданских судов водного транспорта»"/>
  </r>
  <r>
    <n v="2024"/>
    <s v="Декабрь"/>
    <n v="-126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2"/>
    <m/>
  </r>
  <r>
    <n v="2024"/>
    <s v="Декабрь"/>
    <n v="347.4"/>
    <x v="0"/>
    <n v="347398"/>
    <x v="0"/>
    <s v="«Программа льготного лизинга гражданских судов водного транспорта»"/>
  </r>
  <r>
    <n v="2024"/>
    <s v="Декабрь"/>
    <n v="564.4"/>
    <x v="0"/>
    <n v="564369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1"/>
    <s v="«Центральная кольцевая автомобильная дорога (Московская область)»"/>
  </r>
  <r>
    <n v="2024"/>
    <s v="Декабрь"/>
    <n v="6286.5"/>
    <x v="0"/>
    <n v="628653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1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2"/>
    <m/>
  </r>
  <r>
    <n v="2024"/>
    <s v="Ноябрь"/>
    <n v="2093.4"/>
    <x v="0"/>
    <n v="2093362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0"/>
    <s v="«Программа льготного лизинга гражданских судов водного транспорта»"/>
  </r>
  <r>
    <n v="2024"/>
    <s v="Ноябрь"/>
    <n v="6400"/>
    <x v="0"/>
    <n v="64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0"/>
    <m/>
  </r>
  <r>
    <n v="2024"/>
    <s v="Октябрь"/>
    <n v="-804.7"/>
    <x v="0"/>
    <m/>
    <x v="2"/>
    <m/>
  </r>
  <r>
    <n v="2024"/>
    <s v="Октябрь"/>
    <n v="6613"/>
    <x v="0"/>
    <n v="6613007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0"/>
    <m/>
  </r>
  <r>
    <n v="2024"/>
    <s v="Сентябрь"/>
    <n v="-3086.3"/>
    <x v="0"/>
    <m/>
    <x v="2"/>
    <m/>
  </r>
  <r>
    <n v="2024"/>
    <s v="Сентябрь"/>
    <n v="400"/>
    <x v="0"/>
    <n v="400000"/>
    <x v="1"/>
    <s v="«Центральная кольцевая автомобильная дорога (Московская область)»"/>
  </r>
  <r>
    <n v="2024"/>
    <s v="Сентябрь"/>
    <n v="810.7"/>
    <x v="0"/>
    <n v="810724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1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0"/>
    <s v="«Программа льготного лизинга гражданских судов водного транспорта»"/>
  </r>
  <r>
    <n v="2024"/>
    <s v="Август"/>
    <n v="-49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2"/>
    <m/>
  </r>
  <r>
    <n v="2024"/>
    <s v="Август"/>
    <n v="1066.8"/>
    <x v="0"/>
    <n v="1066780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1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2"/>
    <m/>
  </r>
  <r>
    <n v="2024"/>
    <s v="Июль"/>
    <n v="500"/>
    <x v="0"/>
    <n v="500000"/>
    <x v="1"/>
    <s v="«Центральная кольцевая автомобильная дорога (Московская область)»"/>
  </r>
  <r>
    <n v="2024"/>
    <s v="Июль"/>
    <n v="914.2"/>
    <x v="0"/>
    <n v="914206"/>
    <x v="0"/>
    <s v="«Программа льготного лизинга гражданских судов водного транспорта»"/>
  </r>
  <r>
    <n v="2024"/>
    <s v="Июль"/>
    <n v="3873.6"/>
    <x v="0"/>
    <n v="3873626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2"/>
    <s v="Приобретение облигаций, апрель 2023 года"/>
  </r>
  <r>
    <n v="2024"/>
    <s v="Июнь"/>
    <n v="494.7"/>
    <x v="0"/>
    <n v="494731"/>
    <x v="0"/>
    <s v="«Программа льготного лизинга гражданских судов водного транспорта»"/>
  </r>
  <r>
    <n v="2024"/>
    <s v="Июнь"/>
    <n v="500"/>
    <x v="0"/>
    <n v="500000"/>
    <x v="1"/>
    <s v="«Центральная кольцевая автомобильная дорога (Московская область)»"/>
  </r>
  <r>
    <n v="2024"/>
    <s v="Июнь"/>
    <n v="6948.3"/>
    <x v="0"/>
    <n v="6948286"/>
    <x v="3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1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2"/>
    <s v="Приобретение облигаций, апрель 2023 года"/>
  </r>
  <r>
    <n v="2024"/>
    <s v="Май"/>
    <n v="798.8"/>
    <x v="0"/>
    <n v="798819"/>
    <x v="0"/>
    <s v="«Программа льготного лизинга гражданских судов водного транспорта»"/>
  </r>
  <r>
    <n v="2024"/>
    <s v="Май"/>
    <n v="5408.4"/>
    <x v="0"/>
    <n v="5408378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0"/>
    <s v="«Программа льготного лизинга гражданских судов водного транспорта»"/>
  </r>
  <r>
    <n v="2024"/>
    <s v="Март"/>
    <n v="1893"/>
    <x v="0"/>
    <n v="1893011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1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0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1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4"/>
    <s v="«Проект льготного лизинга отечественных воздушных судов»"/>
  </r>
  <r>
    <n v="2023"/>
    <s v="Декабрь"/>
    <n v="2286.6999999999998"/>
    <x v="0"/>
    <n v="228672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1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1"/>
    <s v="«Центральная кольцевая автомобильная дорога (Московская область)»"/>
  </r>
  <r>
    <n v="2023"/>
    <s v="Декабрь"/>
    <n v="8720.7000000000007"/>
    <x v="0"/>
    <n v="8720735"/>
    <x v="0"/>
    <s v="«Программа льготного лизинга гражданских судов водного транспорта»"/>
  </r>
  <r>
    <n v="2024"/>
    <s v="Январь"/>
    <n v="-6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1"/>
    <m/>
  </r>
  <r>
    <n v="2023"/>
    <s v="Декабрь"/>
    <n v="-48.665200000003097"/>
    <x v="0"/>
    <m/>
    <x v="0"/>
    <m/>
  </r>
  <r>
    <n v="2023"/>
    <s v="Ноябрь"/>
    <n v="10797.1"/>
    <x v="0"/>
    <n v="1079714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1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1"/>
    <s v="«Центральная кольцевая автомобильная дорога (Московская область)»"/>
  </r>
  <r>
    <n v="2023"/>
    <s v="Октябрь"/>
    <n v="500"/>
    <x v="0"/>
    <n v="5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1"/>
    <s v="«Центральная кольцевая автомобильная дорога (Московская область)»"/>
  </r>
  <r>
    <n v="2023"/>
    <s v="Сентябрь"/>
    <n v="1100"/>
    <x v="0"/>
    <n v="1100000"/>
    <x v="1"/>
    <s v="«Центральная кольцевая автомобильная дорога (Московская область)»"/>
  </r>
  <r>
    <n v="2023"/>
    <s v="Сентябрь"/>
    <n v="13767"/>
    <x v="0"/>
    <n v="13766983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1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0"/>
    <s v="«Программа льготного лизинга гражданских судов водного транспорта»"/>
  </r>
  <r>
    <n v="2023"/>
    <s v="Август"/>
    <n v="2241.6"/>
    <x v="0"/>
    <n v="2241607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1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4"/>
    <s v="«Проект льготного лизинга отечественных воздушных судов»"/>
  </r>
  <r>
    <n v="2023"/>
    <s v="Август"/>
    <n v="12766"/>
    <x v="0"/>
    <n v="12766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1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4"/>
    <s v="«Проект льготного лизинга отечественных воздушных судов»"/>
  </r>
  <r>
    <n v="2023"/>
    <s v="Июнь"/>
    <n v="1578.2"/>
    <x v="0"/>
    <n v="157824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1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3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1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1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1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1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1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1"/>
    <s v="«Центральная кольцевая автомобильная дорога (Московская область)»"/>
  </r>
  <r>
    <n v="2020"/>
    <s v="Февраль"/>
    <n v="6000"/>
    <x v="0"/>
    <n v="6000000"/>
    <x v="1"/>
    <s v="«Центральная кольцевая автомобильная дорога (Московская область)»"/>
  </r>
  <r>
    <n v="2019"/>
    <s v="Ноябрь"/>
    <n v="4000"/>
    <x v="0"/>
    <n v="4000000"/>
    <x v="1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1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1"/>
    <s v="«Центральная кольцевая автомобильная дорога (Московская область)»"/>
  </r>
  <r>
    <n v="2019"/>
    <s v="Июль"/>
    <n v="500"/>
    <x v="0"/>
    <n v="500000"/>
    <x v="1"/>
    <s v="«Центральная кольцевая автомобильная дорога (Московская область)»"/>
  </r>
  <r>
    <n v="2019"/>
    <s v="Июнь"/>
    <n v="2000"/>
    <x v="0"/>
    <n v="2000000"/>
    <x v="1"/>
    <s v="«Центральная кольцевая автомобильная дорога (Московская область)»"/>
  </r>
  <r>
    <n v="2019"/>
    <s v="Май"/>
    <n v="3000"/>
    <x v="0"/>
    <n v="3000000"/>
    <x v="1"/>
    <s v="«Центральная кольцевая автомобильная дорога (Московская область)»"/>
  </r>
  <r>
    <n v="2019"/>
    <s v="Январь"/>
    <n v="2000"/>
    <x v="0"/>
    <n v="2000000"/>
    <x v="1"/>
    <s v="«Центральная кольцевая автомобильная дорога (Московская область)»"/>
  </r>
  <r>
    <n v="2018"/>
    <s v="Декабрь"/>
    <n v="12240.8"/>
    <x v="0"/>
    <n v="12240800"/>
    <x v="1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1"/>
    <s v="«Центральная кольцевая автомобильная дорога (Московская область)»"/>
  </r>
  <r>
    <n v="2018"/>
    <s v="Октябрь"/>
    <n v="2000"/>
    <x v="0"/>
    <n v="2000000"/>
    <x v="1"/>
    <s v="«Центральная кольцевая автомобильная дорога (Московская область)»"/>
  </r>
  <r>
    <n v="2018"/>
    <s v="Сентябрь"/>
    <n v="2000"/>
    <x v="0"/>
    <n v="2000000"/>
    <x v="1"/>
    <s v="«Центральная кольцевая автомобильная дорога (Московская область)»"/>
  </r>
  <r>
    <n v="2017"/>
    <s v="Август"/>
    <n v="16710"/>
    <x v="0"/>
    <n v="16710000"/>
    <x v="1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2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0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2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17:N35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0"/>
        <item x="1"/>
        <item x="7"/>
        <item x="6"/>
        <item x="9"/>
        <item x="4"/>
        <item x="8"/>
        <item x="11"/>
        <item x="12"/>
        <item x="3"/>
        <item x="15"/>
        <item m="1" x="16"/>
        <item x="2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27">
    <format dxfId="126">
      <pivotArea dataOnly="0" labelOnly="1" fieldPosition="0">
        <references count="1">
          <reference field="5" count="1">
            <x v="2"/>
          </reference>
        </references>
      </pivotArea>
    </format>
    <format dxfId="125">
      <pivotArea dataOnly="0" labelOnly="1" fieldPosition="0">
        <references count="1">
          <reference field="5" count="1">
            <x v="6"/>
          </reference>
        </references>
      </pivotArea>
    </format>
    <format dxfId="124">
      <pivotArea dataOnly="0" labelOnly="1" fieldPosition="0">
        <references count="1">
          <reference field="5" count="1">
            <x v="1"/>
          </reference>
        </references>
      </pivotArea>
    </format>
    <format dxfId="123">
      <pivotArea dataOnly="0" labelOnly="1" fieldPosition="0">
        <references count="1">
          <reference field="5" count="1">
            <x v="9"/>
          </reference>
        </references>
      </pivotArea>
    </format>
    <format dxfId="122">
      <pivotArea dataOnly="0" labelOnly="1" fieldPosition="0">
        <references count="1">
          <reference field="5" count="1">
            <x v="10"/>
          </reference>
        </references>
      </pivotArea>
    </format>
    <format dxfId="121">
      <pivotArea dataOnly="0" labelOnly="1" fieldPosition="0">
        <references count="1">
          <reference field="5" count="1">
            <x v="3"/>
          </reference>
        </references>
      </pivotArea>
    </format>
    <format dxfId="120">
      <pivotArea dataOnly="0" labelOnly="1" fieldPosition="0">
        <references count="1">
          <reference field="5" count="1">
            <x v="4"/>
          </reference>
        </references>
      </pivotArea>
    </format>
    <format dxfId="119">
      <pivotArea dataOnly="0" labelOnly="1" fieldPosition="0">
        <references count="1">
          <reference field="5" count="1">
            <x v="0"/>
          </reference>
        </references>
      </pivotArea>
    </format>
    <format dxfId="118">
      <pivotArea dataOnly="0" labelOnly="1" fieldPosition="0">
        <references count="1">
          <reference field="5" count="0"/>
        </references>
      </pivotArea>
    </format>
    <format dxfId="117">
      <pivotArea dataOnly="0" labelOnly="1" fieldPosition="0">
        <references count="1">
          <reference field="5" count="1">
            <x v="1"/>
          </reference>
        </references>
      </pivotArea>
    </format>
    <format dxfId="116">
      <pivotArea dataOnly="0" labelOnly="1" fieldPosition="0">
        <references count="1">
          <reference field="5" count="1">
            <x v="2"/>
          </reference>
        </references>
      </pivotArea>
    </format>
    <format dxfId="115">
      <pivotArea dataOnly="0" labelOnly="1" fieldPosition="0">
        <references count="1">
          <reference field="5" count="1">
            <x v="3"/>
          </reference>
        </references>
      </pivotArea>
    </format>
    <format dxfId="114">
      <pivotArea dataOnly="0" labelOnly="1" fieldPosition="0">
        <references count="1">
          <reference field="5" count="1">
            <x v="10"/>
          </reference>
        </references>
      </pivotArea>
    </format>
    <format dxfId="113">
      <pivotArea dataOnly="0" labelOnly="1" fieldPosition="0">
        <references count="1">
          <reference field="5" count="1">
            <x v="6"/>
          </reference>
        </references>
      </pivotArea>
    </format>
    <format dxfId="112">
      <pivotArea dataOnly="0" labelOnly="1" fieldPosition="0">
        <references count="1">
          <reference field="5" count="1">
            <x v="9"/>
          </reference>
        </references>
      </pivotArea>
    </format>
    <format dxfId="111">
      <pivotArea dataOnly="0" labelOnly="1" fieldPosition="0">
        <references count="1">
          <reference field="5" count="1">
            <x v="4"/>
          </reference>
        </references>
      </pivotArea>
    </format>
    <format dxfId="110">
      <pivotArea dataOnly="0" labelOnly="1" fieldPosition="0">
        <references count="1">
          <reference field="5" count="1">
            <x v="0"/>
          </reference>
        </references>
      </pivotArea>
    </format>
    <format dxfId="10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0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07">
      <pivotArea dataOnly="0" labelOnly="1" fieldPosition="0">
        <references count="1">
          <reference field="5" count="1">
            <x v="2"/>
          </reference>
        </references>
      </pivotArea>
    </format>
    <format dxfId="106">
      <pivotArea dataOnly="0" labelOnly="1" fieldPosition="0">
        <references count="1">
          <reference field="5" count="1">
            <x v="2"/>
          </reference>
        </references>
      </pivotArea>
    </format>
    <format dxfId="105">
      <pivotArea dataOnly="0" labelOnly="1" fieldPosition="0">
        <references count="1">
          <reference field="5" count="1">
            <x v="6"/>
          </reference>
        </references>
      </pivotArea>
    </format>
    <format dxfId="104">
      <pivotArea dataOnly="0" labelOnly="1" fieldPosition="0">
        <references count="1">
          <reference field="5" count="1">
            <x v="3"/>
          </reference>
        </references>
      </pivotArea>
    </format>
    <format dxfId="103">
      <pivotArea dataOnly="0" labelOnly="1" fieldPosition="0">
        <references count="1">
          <reference field="5" count="1">
            <x v="10"/>
          </reference>
        </references>
      </pivotArea>
    </format>
    <format dxfId="102">
      <pivotArea dataOnly="0" labelOnly="1" fieldPosition="0">
        <references count="1">
          <reference field="5" count="1">
            <x v="1"/>
          </reference>
        </references>
      </pivotArea>
    </format>
    <format dxfId="101">
      <pivotArea dataOnly="0" labelOnly="1" fieldPosition="0">
        <references count="1">
          <reference field="5" count="1">
            <x v="9"/>
          </reference>
        </references>
      </pivotArea>
    </format>
    <format dxfId="100">
      <pivotArea dataOnly="0" labelOnly="1" fieldPosition="0">
        <references count="1">
          <reference field="5" count="1">
            <x v="4"/>
          </reference>
        </references>
      </pivotArea>
    </format>
    <format dxfId="99">
      <pivotArea dataOnly="0" labelOnly="1" fieldPosition="0">
        <references count="1">
          <reference field="5" count="1">
            <x v="0"/>
          </reference>
        </references>
      </pivotArea>
    </format>
    <format dxfId="9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7">
      <pivotArea dataOnly="0" labelOnly="1" fieldPosition="0">
        <references count="1">
          <reference field="5" count="1">
            <x v="2"/>
          </reference>
        </references>
      </pivotArea>
    </format>
    <format dxfId="96">
      <pivotArea dataOnly="0" labelOnly="1" fieldPosition="0">
        <references count="1">
          <reference field="5" count="1">
            <x v="6"/>
          </reference>
        </references>
      </pivotArea>
    </format>
    <format dxfId="95">
      <pivotArea dataOnly="0" labelOnly="1" fieldPosition="0">
        <references count="1">
          <reference field="5" count="1">
            <x v="10"/>
          </reference>
        </references>
      </pivotArea>
    </format>
    <format dxfId="94">
      <pivotArea dataOnly="0" labelOnly="1" fieldPosition="0">
        <references count="1">
          <reference field="5" count="1">
            <x v="3"/>
          </reference>
        </references>
      </pivotArea>
    </format>
    <format dxfId="93">
      <pivotArea dataOnly="0" labelOnly="1" fieldPosition="0">
        <references count="1">
          <reference field="5" count="1">
            <x v="1"/>
          </reference>
        </references>
      </pivotArea>
    </format>
    <format dxfId="92">
      <pivotArea dataOnly="0" labelOnly="1" fieldPosition="0">
        <references count="1">
          <reference field="5" count="1">
            <x v="9"/>
          </reference>
        </references>
      </pivotArea>
    </format>
    <format dxfId="91">
      <pivotArea dataOnly="0" labelOnly="1" fieldPosition="0">
        <references count="1">
          <reference field="5" count="1">
            <x v="4"/>
          </reference>
        </references>
      </pivotArea>
    </format>
    <format dxfId="90">
      <pivotArea dataOnly="0" labelOnly="1" fieldPosition="0">
        <references count="1">
          <reference field="5" count="1">
            <x v="0"/>
          </reference>
        </references>
      </pivotArea>
    </format>
    <format dxfId="8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88">
      <pivotArea dataOnly="0" labelOnly="1" fieldPosition="0">
        <references count="1">
          <reference field="5" count="1">
            <x v="4"/>
          </reference>
        </references>
      </pivotArea>
    </format>
    <format dxfId="87">
      <pivotArea dataOnly="0" labelOnly="1" fieldPosition="0">
        <references count="1">
          <reference field="5" count="1">
            <x v="6"/>
          </reference>
        </references>
      </pivotArea>
    </format>
    <format dxfId="86">
      <pivotArea dataOnly="0" labelOnly="1" fieldPosition="0">
        <references count="1">
          <reference field="5" count="1">
            <x v="3"/>
          </reference>
        </references>
      </pivotArea>
    </format>
    <format dxfId="85">
      <pivotArea dataOnly="0" labelOnly="1" fieldPosition="0">
        <references count="1">
          <reference field="5" count="1">
            <x v="10"/>
          </reference>
        </references>
      </pivotArea>
    </format>
    <format dxfId="84">
      <pivotArea dataOnly="0" labelOnly="1" fieldPosition="0">
        <references count="1">
          <reference field="5" count="1">
            <x v="1"/>
          </reference>
        </references>
      </pivotArea>
    </format>
    <format dxfId="83">
      <pivotArea dataOnly="0" labelOnly="1" fieldPosition="0">
        <references count="1">
          <reference field="5" count="1">
            <x v="9"/>
          </reference>
        </references>
      </pivotArea>
    </format>
    <format dxfId="82">
      <pivotArea dataOnly="0" labelOnly="1" fieldPosition="0">
        <references count="1">
          <reference field="5" count="1">
            <x v="0"/>
          </reference>
        </references>
      </pivotArea>
    </format>
    <format dxfId="81">
      <pivotArea dataOnly="0" labelOnly="1" fieldPosition="0">
        <references count="1">
          <reference field="5" count="0"/>
        </references>
      </pivotArea>
    </format>
    <format dxfId="80">
      <pivotArea dataOnly="0" labelOnly="1" fieldPosition="0">
        <references count="1">
          <reference field="5" count="1">
            <x v="2"/>
          </reference>
        </references>
      </pivotArea>
    </format>
    <format dxfId="79">
      <pivotArea dataOnly="0" labelOnly="1" fieldPosition="0">
        <references count="1">
          <reference field="5" count="1">
            <x v="6"/>
          </reference>
        </references>
      </pivotArea>
    </format>
    <format dxfId="78">
      <pivotArea dataOnly="0" labelOnly="1" fieldPosition="0">
        <references count="1">
          <reference field="5" count="1">
            <x v="10"/>
          </reference>
        </references>
      </pivotArea>
    </format>
    <format dxfId="77">
      <pivotArea dataOnly="0" labelOnly="1" fieldPosition="0">
        <references count="1">
          <reference field="5" count="1">
            <x v="3"/>
          </reference>
        </references>
      </pivotArea>
    </format>
    <format dxfId="76">
      <pivotArea dataOnly="0" labelOnly="1" fieldPosition="0">
        <references count="1">
          <reference field="5" count="1">
            <x v="1"/>
          </reference>
        </references>
      </pivotArea>
    </format>
    <format dxfId="75">
      <pivotArea dataOnly="0" labelOnly="1" fieldPosition="0">
        <references count="1">
          <reference field="5" count="1">
            <x v="9"/>
          </reference>
        </references>
      </pivotArea>
    </format>
    <format dxfId="74">
      <pivotArea dataOnly="0" labelOnly="1" fieldPosition="0">
        <references count="1">
          <reference field="5" count="1">
            <x v="4"/>
          </reference>
        </references>
      </pivotArea>
    </format>
    <format dxfId="73">
      <pivotArea dataOnly="0" labelOnly="1" fieldPosition="0">
        <references count="1">
          <reference field="5" count="1">
            <x v="0"/>
          </reference>
        </references>
      </pivotArea>
    </format>
    <format dxfId="7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1">
      <pivotArea dataOnly="0" labelOnly="1" fieldPosition="0">
        <references count="1">
          <reference field="5" count="1">
            <x v="2"/>
          </reference>
        </references>
      </pivotArea>
    </format>
    <format dxfId="70">
      <pivotArea dataOnly="0" labelOnly="1" fieldPosition="0">
        <references count="1">
          <reference field="5" count="1">
            <x v="6"/>
          </reference>
        </references>
      </pivotArea>
    </format>
    <format dxfId="69">
      <pivotArea dataOnly="0" labelOnly="1" fieldPosition="0">
        <references count="1">
          <reference field="5" count="1">
            <x v="10"/>
          </reference>
        </references>
      </pivotArea>
    </format>
    <format dxfId="68">
      <pivotArea dataOnly="0" labelOnly="1" fieldPosition="0">
        <references count="1">
          <reference field="5" count="1">
            <x v="3"/>
          </reference>
        </references>
      </pivotArea>
    </format>
    <format dxfId="67">
      <pivotArea dataOnly="0" labelOnly="1" fieldPosition="0">
        <references count="1">
          <reference field="5" count="1">
            <x v="1"/>
          </reference>
        </references>
      </pivotArea>
    </format>
    <format dxfId="66">
      <pivotArea dataOnly="0" labelOnly="1" fieldPosition="0">
        <references count="1">
          <reference field="5" count="1">
            <x v="9"/>
          </reference>
        </references>
      </pivotArea>
    </format>
    <format dxfId="65">
      <pivotArea dataOnly="0" labelOnly="1" fieldPosition="0">
        <references count="1">
          <reference field="5" count="1">
            <x v="4"/>
          </reference>
        </references>
      </pivotArea>
    </format>
    <format dxfId="64">
      <pivotArea dataOnly="0" labelOnly="1" fieldPosition="0">
        <references count="1">
          <reference field="5" count="1">
            <x v="0"/>
          </reference>
        </references>
      </pivotArea>
    </format>
    <format dxfId="63">
      <pivotArea type="origin" dataOnly="0" labelOnly="1" outline="0" fieldPosition="0"/>
    </format>
    <format dxfId="62">
      <pivotArea field="5" type="button" dataOnly="0" labelOnly="1" outline="0" axis="axisRow" fieldPosition="0"/>
    </format>
    <format dxfId="6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60">
      <pivotArea dataOnly="0" labelOnly="1" fieldPosition="0">
        <references count="1">
          <reference field="5" count="1">
            <x v="2"/>
          </reference>
        </references>
      </pivotArea>
    </format>
    <format dxfId="59">
      <pivotArea dataOnly="0" labelOnly="1" fieldPosition="0">
        <references count="1">
          <reference field="5" count="1">
            <x v="2"/>
          </reference>
        </references>
      </pivotArea>
    </format>
    <format dxfId="58">
      <pivotArea dataOnly="0" labelOnly="1" fieldPosition="0">
        <references count="1">
          <reference field="5" count="1">
            <x v="6"/>
          </reference>
        </references>
      </pivotArea>
    </format>
    <format dxfId="57">
      <pivotArea dataOnly="0" labelOnly="1" fieldPosition="0">
        <references count="1">
          <reference field="5" count="1">
            <x v="10"/>
          </reference>
        </references>
      </pivotArea>
    </format>
    <format dxfId="56">
      <pivotArea dataOnly="0" labelOnly="1" fieldPosition="0">
        <references count="1">
          <reference field="5" count="1">
            <x v="3"/>
          </reference>
        </references>
      </pivotArea>
    </format>
    <format dxfId="55">
      <pivotArea dataOnly="0" labelOnly="1" fieldPosition="0">
        <references count="1">
          <reference field="5" count="1">
            <x v="1"/>
          </reference>
        </references>
      </pivotArea>
    </format>
    <format dxfId="54">
      <pivotArea dataOnly="0" labelOnly="1" fieldPosition="0">
        <references count="1">
          <reference field="5" count="1">
            <x v="9"/>
          </reference>
        </references>
      </pivotArea>
    </format>
    <format dxfId="53">
      <pivotArea dataOnly="0" labelOnly="1" fieldPosition="0">
        <references count="1">
          <reference field="5" count="1">
            <x v="4"/>
          </reference>
        </references>
      </pivotArea>
    </format>
    <format dxfId="52">
      <pivotArea dataOnly="0" labelOnly="1" fieldPosition="0">
        <references count="1">
          <reference field="5" count="1">
            <x v="0"/>
          </reference>
        </references>
      </pivotArea>
    </format>
    <format dxfId="51">
      <pivotArea dataOnly="0" labelOnly="1" fieldPosition="0">
        <references count="1">
          <reference field="5" count="0"/>
        </references>
      </pivotArea>
    </format>
    <format dxfId="50">
      <pivotArea dataOnly="0" labelOnly="1" fieldPosition="0">
        <references count="1">
          <reference field="5" count="1">
            <x v="2"/>
          </reference>
        </references>
      </pivotArea>
    </format>
    <format dxfId="49">
      <pivotArea dataOnly="0" labelOnly="1" fieldPosition="0">
        <references count="1">
          <reference field="5" count="1">
            <x v="6"/>
          </reference>
        </references>
      </pivotArea>
    </format>
    <format dxfId="48">
      <pivotArea dataOnly="0" labelOnly="1" fieldPosition="0">
        <references count="1">
          <reference field="5" count="1">
            <x v="3"/>
          </reference>
        </references>
      </pivotArea>
    </format>
    <format dxfId="47">
      <pivotArea dataOnly="0" labelOnly="1" fieldPosition="0">
        <references count="1">
          <reference field="5" count="1">
            <x v="10"/>
          </reference>
        </references>
      </pivotArea>
    </format>
    <format dxfId="46">
      <pivotArea dataOnly="0" labelOnly="1" fieldPosition="0">
        <references count="1">
          <reference field="5" count="1">
            <x v="1"/>
          </reference>
        </references>
      </pivotArea>
    </format>
    <format dxfId="45">
      <pivotArea dataOnly="0" labelOnly="1" fieldPosition="0">
        <references count="1">
          <reference field="5" count="1">
            <x v="9"/>
          </reference>
        </references>
      </pivotArea>
    </format>
    <format dxfId="44">
      <pivotArea dataOnly="0" labelOnly="1" fieldPosition="0">
        <references count="1">
          <reference field="5" count="1">
            <x v="4"/>
          </reference>
        </references>
      </pivotArea>
    </format>
    <format dxfId="43">
      <pivotArea dataOnly="0" labelOnly="1" fieldPosition="0">
        <references count="1">
          <reference field="5" count="1">
            <x v="0"/>
          </reference>
        </references>
      </pivotArea>
    </format>
    <format dxfId="4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1">
      <pivotArea dataOnly="0" labelOnly="1" fieldPosition="0">
        <references count="1">
          <reference field="5" count="1">
            <x v="2"/>
          </reference>
        </references>
      </pivotArea>
    </format>
    <format dxfId="40">
      <pivotArea dataOnly="0" labelOnly="1" fieldPosition="0">
        <references count="1">
          <reference field="5" count="1">
            <x v="6"/>
          </reference>
        </references>
      </pivotArea>
    </format>
    <format dxfId="39">
      <pivotArea dataOnly="0" labelOnly="1" fieldPosition="0">
        <references count="1">
          <reference field="5" count="1">
            <x v="9"/>
          </reference>
        </references>
      </pivotArea>
    </format>
    <format dxfId="38">
      <pivotArea dataOnly="0" labelOnly="1" fieldPosition="0">
        <references count="1">
          <reference field="5" count="1">
            <x v="4"/>
          </reference>
        </references>
      </pivotArea>
    </format>
    <format dxfId="37">
      <pivotArea dataOnly="0" labelOnly="1" fieldPosition="0">
        <references count="1">
          <reference field="5" count="1">
            <x v="0"/>
          </reference>
        </references>
      </pivotArea>
    </format>
    <format dxfId="36">
      <pivotArea dataOnly="0" labelOnly="1" fieldPosition="0">
        <references count="1">
          <reference field="5" count="1">
            <x v="10"/>
          </reference>
        </references>
      </pivotArea>
    </format>
    <format dxfId="35">
      <pivotArea dataOnly="0" labelOnly="1" fieldPosition="0">
        <references count="1">
          <reference field="5" count="1">
            <x v="3"/>
          </reference>
        </references>
      </pivotArea>
    </format>
    <format dxfId="34">
      <pivotArea dataOnly="0" labelOnly="1" fieldPosition="0">
        <references count="1">
          <reference field="5" count="1">
            <x v="1"/>
          </reference>
        </references>
      </pivotArea>
    </format>
    <format dxfId="3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2">
      <pivotArea dataOnly="0" labelOnly="1" fieldPosition="0">
        <references count="1">
          <reference field="5" count="1">
            <x v="2"/>
          </reference>
        </references>
      </pivotArea>
    </format>
    <format dxfId="31">
      <pivotArea dataOnly="0" labelOnly="1" fieldPosition="0">
        <references count="1">
          <reference field="5" count="1">
            <x v="6"/>
          </reference>
        </references>
      </pivotArea>
    </format>
    <format dxfId="30">
      <pivotArea dataOnly="0" labelOnly="1" fieldPosition="0">
        <references count="1">
          <reference field="5" count="1">
            <x v="3"/>
          </reference>
        </references>
      </pivotArea>
    </format>
    <format dxfId="29">
      <pivotArea dataOnly="0" labelOnly="1" fieldPosition="0">
        <references count="1">
          <reference field="5" count="1">
            <x v="10"/>
          </reference>
        </references>
      </pivotArea>
    </format>
    <format dxfId="28">
      <pivotArea dataOnly="0" labelOnly="1" fieldPosition="0">
        <references count="1">
          <reference field="5" count="1">
            <x v="1"/>
          </reference>
        </references>
      </pivotArea>
    </format>
    <format dxfId="27">
      <pivotArea dataOnly="0" labelOnly="1" fieldPosition="0">
        <references count="1">
          <reference field="5" count="1">
            <x v="9"/>
          </reference>
        </references>
      </pivotArea>
    </format>
    <format dxfId="26">
      <pivotArea dataOnly="0" labelOnly="1" fieldPosition="0">
        <references count="1">
          <reference field="5" count="1">
            <x v="4"/>
          </reference>
        </references>
      </pivotArea>
    </format>
    <format dxfId="25">
      <pivotArea dataOnly="0" labelOnly="1" fieldPosition="0">
        <references count="1">
          <reference field="5" count="1">
            <x v="0"/>
          </reference>
        </references>
      </pivotArea>
    </format>
    <format dxfId="2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">
      <pivotArea dataOnly="0" labelOnly="1" fieldPosition="0">
        <references count="1">
          <reference field="5" count="1">
            <x v="2"/>
          </reference>
        </references>
      </pivotArea>
    </format>
    <format dxfId="22">
      <pivotArea dataOnly="0" labelOnly="1" fieldPosition="0">
        <references count="1">
          <reference field="5" count="1">
            <x v="6"/>
          </reference>
        </references>
      </pivotArea>
    </format>
    <format dxfId="21">
      <pivotArea dataOnly="0" labelOnly="1" fieldPosition="0">
        <references count="1">
          <reference field="5" count="1">
            <x v="1"/>
          </reference>
        </references>
      </pivotArea>
    </format>
    <format dxfId="20">
      <pivotArea dataOnly="0" labelOnly="1" fieldPosition="0">
        <references count="1">
          <reference field="5" count="1">
            <x v="9"/>
          </reference>
        </references>
      </pivotArea>
    </format>
    <format dxfId="19">
      <pivotArea dataOnly="0" labelOnly="1" fieldPosition="0">
        <references count="1">
          <reference field="5" count="1">
            <x v="4"/>
          </reference>
        </references>
      </pivotArea>
    </format>
    <format dxfId="18">
      <pivotArea dataOnly="0" labelOnly="1" fieldPosition="0">
        <references count="1">
          <reference field="5" count="1">
            <x v="0"/>
          </reference>
        </references>
      </pivotArea>
    </format>
    <format dxfId="17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6">
      <pivotArea dataOnly="0" labelOnly="1" fieldPosition="0">
        <references count="1">
          <reference field="5" count="1">
            <x v="2"/>
          </reference>
        </references>
      </pivotArea>
    </format>
    <format dxfId="15">
      <pivotArea dataOnly="0" labelOnly="1" fieldPosition="0">
        <references count="1">
          <reference field="5" count="1">
            <x v="6"/>
          </reference>
        </references>
      </pivotArea>
    </format>
    <format dxfId="14">
      <pivotArea dataOnly="0" labelOnly="1" fieldPosition="0">
        <references count="1">
          <reference field="5" count="1">
            <x v="3"/>
          </reference>
        </references>
      </pivotArea>
    </format>
    <format dxfId="13">
      <pivotArea dataOnly="0" labelOnly="1" fieldPosition="0">
        <references count="1">
          <reference field="5" count="1">
            <x v="10"/>
          </reference>
        </references>
      </pivotArea>
    </format>
    <format dxfId="12">
      <pivotArea dataOnly="0" labelOnly="1" fieldPosition="0">
        <references count="1">
          <reference field="5" count="1">
            <x v="1"/>
          </reference>
        </references>
      </pivotArea>
    </format>
    <format dxfId="11">
      <pivotArea dataOnly="0" labelOnly="1" fieldPosition="0">
        <references count="1">
          <reference field="5" count="1">
            <x v="9"/>
          </reference>
        </references>
      </pivotArea>
    </format>
    <format dxfId="10">
      <pivotArea dataOnly="0" labelOnly="1" fieldPosition="0">
        <references count="1">
          <reference field="5" count="1">
            <x v="4"/>
          </reference>
        </references>
      </pivotArea>
    </format>
    <format dxfId="9">
      <pivotArea dataOnly="0" labelOnly="1" fieldPosition="0">
        <references count="1">
          <reference field="5" count="1">
            <x v="0"/>
          </reference>
        </references>
      </pivotArea>
    </format>
    <format dxfId="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">
      <pivotArea dataOnly="0" labelOnly="1" fieldPosition="0">
        <references count="1">
          <reference field="5" count="1">
            <x v="2"/>
          </reference>
        </references>
      </pivotArea>
    </format>
    <format dxfId="6">
      <pivotArea dataOnly="0" labelOnly="1" fieldPosition="0">
        <references count="1">
          <reference field="5" count="1">
            <x v="6"/>
          </reference>
        </references>
      </pivotArea>
    </format>
    <format dxfId="5">
      <pivotArea dataOnly="0" labelOnly="1" fieldPosition="0">
        <references count="1">
          <reference field="5" count="1">
            <x v="10"/>
          </reference>
        </references>
      </pivotArea>
    </format>
    <format dxfId="4">
      <pivotArea dataOnly="0" labelOnly="1" fieldPosition="0">
        <references count="1">
          <reference field="5" count="1">
            <x v="3"/>
          </reference>
        </references>
      </pivotArea>
    </format>
    <format dxfId="3">
      <pivotArea dataOnly="0" labelOnly="1" fieldPosition="0">
        <references count="1">
          <reference field="5" count="1">
            <x v="1"/>
          </reference>
        </references>
      </pivotArea>
    </format>
    <format dxfId="2">
      <pivotArea dataOnly="0" labelOnly="1" fieldPosition="0">
        <references count="1">
          <reference field="5" count="1">
            <x v="9"/>
          </reference>
        </references>
      </pivotArea>
    </format>
    <format dxfId="1">
      <pivotArea dataOnly="0" labelOnly="1" fieldPosition="0">
        <references count="1">
          <reference field="5" count="1">
            <x v="4"/>
          </reference>
        </references>
      </pivotArea>
    </format>
    <format dxfId="0">
      <pivotArea dataOnly="0" labelOnly="1" fieldPosition="0">
        <references count="1"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U86"/>
  <sheetViews>
    <sheetView zoomScale="55" zoomScaleNormal="55" workbookViewId="0">
      <pane xSplit="2" ySplit="1" topLeftCell="AG18" activePane="bottomRight" state="frozen"/>
      <selection pane="topRight" activeCell="C1" sqref="C1"/>
      <selection pane="bottomLeft" activeCell="A2" sqref="A2"/>
      <selection pane="bottomRight" activeCell="A8" sqref="A8:A24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0" width="11.453125" customWidth="1"/>
    <col min="41" max="41" width="12.1796875" bestFit="1" customWidth="1"/>
    <col min="42" max="42" width="16.81640625" bestFit="1" customWidth="1"/>
    <col min="43" max="43" width="15.81640625" bestFit="1" customWidth="1"/>
  </cols>
  <sheetData>
    <row r="1" spans="1:73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231</v>
      </c>
      <c r="AG1" s="7" t="s">
        <v>236</v>
      </c>
      <c r="AH1" s="7" t="s">
        <v>237</v>
      </c>
      <c r="AI1" s="7" t="s">
        <v>241</v>
      </c>
      <c r="AJ1" s="7" t="s">
        <v>246</v>
      </c>
      <c r="AK1" s="7" t="s">
        <v>247</v>
      </c>
      <c r="AL1" s="7" t="s">
        <v>249</v>
      </c>
      <c r="AM1" s="7" t="s">
        <v>428</v>
      </c>
      <c r="AN1" s="7" t="s">
        <v>431</v>
      </c>
      <c r="AO1" s="7" t="s">
        <v>226</v>
      </c>
      <c r="AP1" s="7" t="s">
        <v>225</v>
      </c>
    </row>
    <row r="2" spans="1:73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7">
        <f>AN2-AM2</f>
        <v>0</v>
      </c>
      <c r="AP2" s="17">
        <f>AN2-AB2</f>
        <v>0</v>
      </c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</row>
    <row r="3" spans="1:73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7">
        <f t="shared" ref="AO3:AO59" si="0">AN3-AM3</f>
        <v>0</v>
      </c>
      <c r="AP3" s="17">
        <f t="shared" ref="AP3:AP59" si="1">AN3-AB3</f>
        <v>0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</row>
    <row r="4" spans="1:73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7">
        <f t="shared" si="0"/>
        <v>0</v>
      </c>
      <c r="AP4" s="17">
        <f t="shared" si="1"/>
        <v>0</v>
      </c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7">
        <f t="shared" si="0"/>
        <v>0</v>
      </c>
      <c r="AP5" s="17">
        <f t="shared" si="1"/>
        <v>-11380.600000000006</v>
      </c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</row>
    <row r="6" spans="1:73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7">
        <f t="shared" si="0"/>
        <v>-7</v>
      </c>
      <c r="AP6" s="17">
        <f t="shared" si="1"/>
        <v>-110472.69999999998</v>
      </c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</row>
    <row r="7" spans="1:73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7">
        <f t="shared" si="0"/>
        <v>-473.7</v>
      </c>
      <c r="AP7" s="17">
        <f t="shared" si="1"/>
        <v>-410.2</v>
      </c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</row>
    <row r="8" spans="1:73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>AM8</f>
        <v>50000</v>
      </c>
      <c r="AO8" s="17">
        <f t="shared" si="0"/>
        <v>0</v>
      </c>
      <c r="AP8" s="17">
        <f t="shared" si="1"/>
        <v>0</v>
      </c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</row>
    <row r="9" spans="1:73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4">R9</f>
        <v>30000</v>
      </c>
      <c r="T9" s="1">
        <f t="shared" si="14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5">AB9</f>
        <v>30000</v>
      </c>
      <c r="AD9" s="1">
        <f t="shared" si="15"/>
        <v>30000</v>
      </c>
      <c r="AE9" s="1">
        <f t="shared" ref="AE9:AF13" si="16">AD9</f>
        <v>30000</v>
      </c>
      <c r="AF9" s="1">
        <f t="shared" si="16"/>
        <v>30000</v>
      </c>
      <c r="AG9" s="1">
        <f t="shared" ref="AG9:AH13" si="17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>AM9</f>
        <v>30000</v>
      </c>
      <c r="AO9" s="17">
        <f t="shared" si="0"/>
        <v>0</v>
      </c>
      <c r="AP9" s="17">
        <f t="shared" si="1"/>
        <v>0</v>
      </c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</row>
    <row r="10" spans="1:73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4"/>
        <v>40000</v>
      </c>
      <c r="T10" s="1">
        <f t="shared" si="14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5"/>
        <v>40000</v>
      </c>
      <c r="AD10" s="1">
        <f t="shared" si="15"/>
        <v>40000</v>
      </c>
      <c r="AE10" s="1">
        <f t="shared" si="16"/>
        <v>40000</v>
      </c>
      <c r="AF10" s="1">
        <f t="shared" si="16"/>
        <v>40000</v>
      </c>
      <c r="AG10" s="1">
        <f t="shared" si="17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>AM10</f>
        <v>40000</v>
      </c>
      <c r="AO10" s="17">
        <f t="shared" si="0"/>
        <v>0</v>
      </c>
      <c r="AP10" s="17">
        <f t="shared" si="1"/>
        <v>0</v>
      </c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</row>
    <row r="11" spans="1:73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4"/>
        <v>138830</v>
      </c>
      <c r="T11" s="1">
        <f t="shared" si="14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5"/>
        <v>138830</v>
      </c>
      <c r="AD11" s="1">
        <f t="shared" si="15"/>
        <v>138830</v>
      </c>
      <c r="AE11" s="1">
        <f t="shared" si="16"/>
        <v>138830</v>
      </c>
      <c r="AF11" s="1">
        <f t="shared" si="16"/>
        <v>138830</v>
      </c>
      <c r="AG11" s="1">
        <f t="shared" si="17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>AM11</f>
        <v>138830</v>
      </c>
      <c r="AO11" s="17">
        <f t="shared" si="0"/>
        <v>0</v>
      </c>
      <c r="AP11" s="17">
        <f t="shared" si="1"/>
        <v>0</v>
      </c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</row>
    <row r="12" spans="1:73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4"/>
        <v>197580</v>
      </c>
      <c r="T12" s="1">
        <f t="shared" si="14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5"/>
        <v>197580</v>
      </c>
      <c r="AD12" s="1">
        <f t="shared" si="15"/>
        <v>197580</v>
      </c>
      <c r="AE12" s="1">
        <f t="shared" si="16"/>
        <v>197580</v>
      </c>
      <c r="AF12" s="1">
        <f t="shared" si="16"/>
        <v>197580</v>
      </c>
      <c r="AG12" s="1">
        <f t="shared" si="17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>AM12</f>
        <v>197580</v>
      </c>
      <c r="AO12" s="17">
        <f t="shared" si="0"/>
        <v>0</v>
      </c>
      <c r="AP12" s="17">
        <f t="shared" si="1"/>
        <v>0</v>
      </c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</row>
    <row r="13" spans="1:73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4"/>
        <v>16240</v>
      </c>
      <c r="T13" s="1">
        <f t="shared" si="14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5"/>
        <v>16240</v>
      </c>
      <c r="AD13" s="1">
        <f t="shared" si="15"/>
        <v>16240</v>
      </c>
      <c r="AE13" s="1">
        <f t="shared" si="16"/>
        <v>16240</v>
      </c>
      <c r="AF13" s="1">
        <f t="shared" si="16"/>
        <v>16240</v>
      </c>
      <c r="AG13" s="1">
        <f t="shared" si="17"/>
        <v>16240</v>
      </c>
      <c r="AH13" s="1">
        <f t="shared" si="17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>AM13</f>
        <v>16240</v>
      </c>
      <c r="AO13" s="17">
        <f t="shared" si="0"/>
        <v>0</v>
      </c>
      <c r="AP13" s="17">
        <f t="shared" si="1"/>
        <v>0</v>
      </c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</row>
    <row r="14" spans="1:73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7">
        <f t="shared" si="0"/>
        <v>-170.29999999999927</v>
      </c>
      <c r="AP14" s="17">
        <f t="shared" si="1"/>
        <v>-1946.3999999999996</v>
      </c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</row>
    <row r="15" spans="1:73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7">
        <f t="shared" si="0"/>
        <v>0</v>
      </c>
      <c r="AP15" s="17">
        <f t="shared" si="1"/>
        <v>-640.79999999999927</v>
      </c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</row>
    <row r="16" spans="1:73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7">
        <f t="shared" si="0"/>
        <v>-183.09999999999854</v>
      </c>
      <c r="AP16" s="17">
        <f t="shared" si="1"/>
        <v>-1938.7999999999993</v>
      </c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</row>
    <row r="17" spans="1:73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18">Q17</f>
        <v>154.9</v>
      </c>
      <c r="S17" s="1">
        <f t="shared" si="18"/>
        <v>154.9</v>
      </c>
      <c r="T17" s="1">
        <f t="shared" si="18"/>
        <v>154.9</v>
      </c>
      <c r="U17" s="1">
        <f t="shared" si="18"/>
        <v>154.9</v>
      </c>
      <c r="V17" s="1">
        <f t="shared" si="18"/>
        <v>154.9</v>
      </c>
      <c r="W17" s="1">
        <f t="shared" si="18"/>
        <v>154.9</v>
      </c>
      <c r="X17" s="1">
        <f t="shared" ref="X17:AC17" si="19">W17</f>
        <v>154.9</v>
      </c>
      <c r="Y17" s="1">
        <f t="shared" si="19"/>
        <v>154.9</v>
      </c>
      <c r="Z17" s="1">
        <f t="shared" si="19"/>
        <v>154.9</v>
      </c>
      <c r="AA17" s="1">
        <f t="shared" si="19"/>
        <v>154.9</v>
      </c>
      <c r="AB17" s="1">
        <f t="shared" si="19"/>
        <v>154.9</v>
      </c>
      <c r="AC17" s="1">
        <f t="shared" si="19"/>
        <v>154.9</v>
      </c>
      <c r="AD17" s="1">
        <f t="shared" ref="AD17:AE19" si="20">AC17</f>
        <v>154.9</v>
      </c>
      <c r="AE17" s="1">
        <f t="shared" si="20"/>
        <v>154.9</v>
      </c>
      <c r="AF17" s="1">
        <f t="shared" ref="AF17:AK17" si="21">AE17</f>
        <v>154.9</v>
      </c>
      <c r="AG17" s="1">
        <f t="shared" si="21"/>
        <v>154.9</v>
      </c>
      <c r="AH17" s="1">
        <f t="shared" si="21"/>
        <v>154.9</v>
      </c>
      <c r="AI17" s="1">
        <f t="shared" si="21"/>
        <v>154.9</v>
      </c>
      <c r="AJ17" s="1">
        <f t="shared" si="21"/>
        <v>154.9</v>
      </c>
      <c r="AK17" s="1">
        <f t="shared" si="21"/>
        <v>154.9</v>
      </c>
      <c r="AL17" s="1">
        <f t="shared" ref="AL17:AM19" si="22">AK17</f>
        <v>154.9</v>
      </c>
      <c r="AM17" s="1">
        <f t="shared" si="22"/>
        <v>154.9</v>
      </c>
      <c r="AN17" s="1">
        <f>AM17</f>
        <v>154.9</v>
      </c>
      <c r="AO17" s="17">
        <f t="shared" si="0"/>
        <v>0</v>
      </c>
      <c r="AP17" s="17">
        <f t="shared" si="1"/>
        <v>0</v>
      </c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</row>
    <row r="18" spans="1:73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3">Y18</f>
        <v>300.5</v>
      </c>
      <c r="AA18" s="1">
        <f t="shared" si="23"/>
        <v>300.5</v>
      </c>
      <c r="AB18" s="1">
        <f t="shared" si="23"/>
        <v>300.5</v>
      </c>
      <c r="AC18" s="1">
        <f>AB18</f>
        <v>300.5</v>
      </c>
      <c r="AD18" s="1">
        <f t="shared" si="20"/>
        <v>300.5</v>
      </c>
      <c r="AE18" s="1">
        <f t="shared" si="20"/>
        <v>300.5</v>
      </c>
      <c r="AF18" s="1">
        <f>AE18</f>
        <v>300.5</v>
      </c>
      <c r="AG18" s="1">
        <f t="shared" ref="AG18:AH20" si="24">AF18</f>
        <v>300.5</v>
      </c>
      <c r="AH18" s="1">
        <f t="shared" si="24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2"/>
        <v>297.8</v>
      </c>
      <c r="AM18" s="1">
        <f t="shared" si="22"/>
        <v>297.8</v>
      </c>
      <c r="AN18" s="1">
        <f>AM18-2.7</f>
        <v>295.10000000000002</v>
      </c>
      <c r="AO18" s="17">
        <f t="shared" si="0"/>
        <v>-2.6999999999999886</v>
      </c>
      <c r="AP18" s="17">
        <f t="shared" si="1"/>
        <v>-5.3999999999999773</v>
      </c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</row>
    <row r="19" spans="1:73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3"/>
        <v>939.5</v>
      </c>
      <c r="AA19" s="1">
        <f t="shared" si="23"/>
        <v>939.5</v>
      </c>
      <c r="AB19" s="1">
        <f t="shared" si="23"/>
        <v>939.5</v>
      </c>
      <c r="AC19" s="1">
        <f>AB19</f>
        <v>939.5</v>
      </c>
      <c r="AD19" s="1">
        <f t="shared" si="20"/>
        <v>939.5</v>
      </c>
      <c r="AE19" s="1">
        <f t="shared" si="20"/>
        <v>939.5</v>
      </c>
      <c r="AF19" s="1">
        <f>AE19</f>
        <v>939.5</v>
      </c>
      <c r="AG19" s="1">
        <f t="shared" si="24"/>
        <v>939.5</v>
      </c>
      <c r="AH19" s="1">
        <f t="shared" si="24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2"/>
        <v>939.5</v>
      </c>
      <c r="AM19" s="1">
        <f t="shared" si="22"/>
        <v>939.5</v>
      </c>
      <c r="AN19" s="1">
        <f>AM19</f>
        <v>939.5</v>
      </c>
      <c r="AO19" s="17">
        <f t="shared" si="0"/>
        <v>0</v>
      </c>
      <c r="AP19" s="17">
        <f t="shared" si="1"/>
        <v>0</v>
      </c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</row>
    <row r="20" spans="1:73" x14ac:dyDescent="0.35">
      <c r="A20" t="s">
        <v>24</v>
      </c>
      <c r="B20" t="s">
        <v>57</v>
      </c>
      <c r="C20" s="1"/>
      <c r="D20" s="1"/>
      <c r="E20" s="1"/>
      <c r="F20" s="1"/>
      <c r="G20" s="1">
        <v>2170</v>
      </c>
      <c r="H20" s="1"/>
      <c r="I20" s="1"/>
      <c r="J20" s="1"/>
      <c r="K20" s="1"/>
      <c r="L20" s="5">
        <v>7130</v>
      </c>
      <c r="M20" s="5">
        <f>L20+2405.9</f>
        <v>9535.9</v>
      </c>
      <c r="N20" s="5">
        <v>11170</v>
      </c>
      <c r="O20" s="1">
        <v>12020</v>
      </c>
      <c r="P20" s="1">
        <f>O20+842.4</f>
        <v>12862.4</v>
      </c>
      <c r="Q20" s="1">
        <v>13700</v>
      </c>
      <c r="R20" s="1">
        <f>Q20+870.5</f>
        <v>14570.5</v>
      </c>
      <c r="S20" s="1">
        <f t="shared" ref="S20:T25" si="25">R20</f>
        <v>14570.5</v>
      </c>
      <c r="T20" s="1">
        <f t="shared" si="25"/>
        <v>14570.5</v>
      </c>
      <c r="U20" s="1">
        <f>T20</f>
        <v>14570.5</v>
      </c>
      <c r="V20" s="1">
        <f>U20+1786.7</f>
        <v>16357.2</v>
      </c>
      <c r="W20" s="1">
        <f>V20+893.3</f>
        <v>17250.5</v>
      </c>
      <c r="X20" s="1">
        <f>W20+917.7</f>
        <v>18168.2</v>
      </c>
      <c r="Y20" s="1">
        <f>X20+917.7</f>
        <v>19085.900000000001</v>
      </c>
      <c r="Z20" s="1">
        <f>Y20+917.7</f>
        <v>20003.600000000002</v>
      </c>
      <c r="AA20" s="1">
        <f>Z20+938</f>
        <v>20941.600000000002</v>
      </c>
      <c r="AB20" s="1">
        <f>AA20</f>
        <v>20941.600000000002</v>
      </c>
      <c r="AC20" s="1">
        <f>AB20</f>
        <v>20941.600000000002</v>
      </c>
      <c r="AD20" s="1">
        <f>AC20+2832.8</f>
        <v>23774.400000000001</v>
      </c>
      <c r="AE20" s="1">
        <f>AD20</f>
        <v>23774.400000000001</v>
      </c>
      <c r="AF20" s="1">
        <f>AE20</f>
        <v>23774.400000000001</v>
      </c>
      <c r="AG20" s="1">
        <f t="shared" si="24"/>
        <v>23774.400000000001</v>
      </c>
      <c r="AH20" s="1">
        <f>AG20+1950.2</f>
        <v>25724.600000000002</v>
      </c>
      <c r="AI20" s="1">
        <f>AH20+975.1</f>
        <v>26699.7</v>
      </c>
      <c r="AJ20" s="1">
        <f>AI20+995.7</f>
        <v>27695.4</v>
      </c>
      <c r="AK20" s="1">
        <f>AJ20+995.7</f>
        <v>28691.100000000002</v>
      </c>
      <c r="AL20" s="1">
        <f>AK20+995.7</f>
        <v>29686.800000000003</v>
      </c>
      <c r="AM20" s="1">
        <f>AL20+991.7</f>
        <v>30678.500000000004</v>
      </c>
      <c r="AN20" s="1">
        <f>AM20+991.7</f>
        <v>31670.200000000004</v>
      </c>
      <c r="AO20" s="17">
        <f t="shared" si="0"/>
        <v>991.70000000000073</v>
      </c>
      <c r="AP20" s="17">
        <f t="shared" si="1"/>
        <v>10728.600000000002</v>
      </c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</row>
    <row r="21" spans="1:73" x14ac:dyDescent="0.35">
      <c r="A21" t="s">
        <v>24</v>
      </c>
      <c r="B21" t="s">
        <v>432</v>
      </c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>
        <v>461.6</v>
      </c>
      <c r="AO21" s="17"/>
      <c r="AP21" s="17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</row>
    <row r="22" spans="1:73" x14ac:dyDescent="0.35">
      <c r="A22" t="s">
        <v>24</v>
      </c>
      <c r="B22" t="s">
        <v>430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>
        <v>316</v>
      </c>
      <c r="W22" s="1">
        <f>V22</f>
        <v>316</v>
      </c>
      <c r="X22" s="1">
        <f>W22</f>
        <v>316</v>
      </c>
      <c r="Y22" s="1">
        <f>X22+26885</f>
        <v>27201</v>
      </c>
      <c r="Z22" s="1">
        <f>Y22</f>
        <v>27201</v>
      </c>
      <c r="AA22" s="1">
        <f>Z22</f>
        <v>27201</v>
      </c>
      <c r="AB22" s="1">
        <f>AA22+62050</f>
        <v>89251</v>
      </c>
      <c r="AC22" s="1">
        <f>AB22</f>
        <v>89251</v>
      </c>
      <c r="AD22" s="1">
        <f>AC22+137039</f>
        <v>226290</v>
      </c>
      <c r="AE22" s="1">
        <f>AD22+77848</f>
        <v>304138</v>
      </c>
      <c r="AF22" s="1">
        <f>AE22+37297</f>
        <v>341435</v>
      </c>
      <c r="AG22" s="1">
        <f>AF22+49015</f>
        <v>390450</v>
      </c>
      <c r="AH22" s="1">
        <f>AG22</f>
        <v>390450</v>
      </c>
      <c r="AI22" s="1">
        <f>AH22+47473</f>
        <v>437923</v>
      </c>
      <c r="AJ22" s="1">
        <f>AI22</f>
        <v>437923</v>
      </c>
      <c r="AK22" s="1">
        <f>AJ22</f>
        <v>437923</v>
      </c>
      <c r="AL22" s="1">
        <f>AK22</f>
        <v>437923</v>
      </c>
      <c r="AM22" s="1">
        <f>AL22</f>
        <v>437923</v>
      </c>
      <c r="AN22" s="1">
        <f>AM22</f>
        <v>437923</v>
      </c>
      <c r="AO22" s="17">
        <f t="shared" si="0"/>
        <v>0</v>
      </c>
      <c r="AP22" s="17">
        <f t="shared" si="1"/>
        <v>348672</v>
      </c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</row>
    <row r="23" spans="1:73" x14ac:dyDescent="0.35">
      <c r="A23" t="s">
        <v>24</v>
      </c>
      <c r="B23" t="s">
        <v>429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133424</v>
      </c>
      <c r="AL23" s="1">
        <f>AK23+18524</f>
        <v>151948</v>
      </c>
      <c r="AM23" s="1">
        <f>AL23+25452</f>
        <v>177400</v>
      </c>
      <c r="AN23" s="1">
        <f>AM23</f>
        <v>177400</v>
      </c>
      <c r="AO23" s="17">
        <f t="shared" si="0"/>
        <v>0</v>
      </c>
      <c r="AP23" s="17">
        <f t="shared" si="1"/>
        <v>177400</v>
      </c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</row>
    <row r="24" spans="1:73" x14ac:dyDescent="0.35">
      <c r="A24" t="s">
        <v>24</v>
      </c>
      <c r="B24" t="s">
        <v>58</v>
      </c>
      <c r="C24" s="1"/>
      <c r="D24" s="1"/>
      <c r="E24" s="1"/>
      <c r="F24" s="1"/>
      <c r="G24" s="1">
        <v>120000</v>
      </c>
      <c r="H24" s="1"/>
      <c r="I24" s="1"/>
      <c r="J24" s="1"/>
      <c r="K24" s="1"/>
      <c r="L24" s="5">
        <v>120000</v>
      </c>
      <c r="M24" s="5">
        <v>120000</v>
      </c>
      <c r="N24" s="5">
        <v>120000</v>
      </c>
      <c r="O24" s="1">
        <v>120000</v>
      </c>
      <c r="P24" s="1">
        <f>O24</f>
        <v>120000</v>
      </c>
      <c r="Q24" s="1">
        <v>120000</v>
      </c>
      <c r="R24" s="1">
        <f>Q24</f>
        <v>120000</v>
      </c>
      <c r="S24" s="1">
        <f t="shared" si="25"/>
        <v>120000</v>
      </c>
      <c r="T24" s="1">
        <f t="shared" si="25"/>
        <v>120000</v>
      </c>
      <c r="U24" s="1">
        <f t="shared" ref="U24:AE24" si="26">T24</f>
        <v>120000</v>
      </c>
      <c r="V24" s="1">
        <f t="shared" si="26"/>
        <v>120000</v>
      </c>
      <c r="W24" s="1">
        <f t="shared" si="26"/>
        <v>120000</v>
      </c>
      <c r="X24" s="1">
        <f t="shared" si="26"/>
        <v>120000</v>
      </c>
      <c r="Y24" s="1">
        <f t="shared" si="26"/>
        <v>120000</v>
      </c>
      <c r="Z24" s="1">
        <f t="shared" si="26"/>
        <v>120000</v>
      </c>
      <c r="AA24" s="1">
        <f t="shared" si="26"/>
        <v>120000</v>
      </c>
      <c r="AB24" s="1">
        <f t="shared" si="26"/>
        <v>120000</v>
      </c>
      <c r="AC24" s="1">
        <f t="shared" si="26"/>
        <v>120000</v>
      </c>
      <c r="AD24" s="1">
        <f t="shared" si="26"/>
        <v>120000</v>
      </c>
      <c r="AE24" s="1">
        <f t="shared" si="26"/>
        <v>120000</v>
      </c>
      <c r="AF24" s="1">
        <f t="shared" ref="AF24:AH25" si="27">AE24</f>
        <v>120000</v>
      </c>
      <c r="AG24" s="1">
        <f t="shared" si="27"/>
        <v>120000</v>
      </c>
      <c r="AH24" s="1">
        <f t="shared" si="27"/>
        <v>120000</v>
      </c>
      <c r="AI24" s="1">
        <f>AH24</f>
        <v>120000</v>
      </c>
      <c r="AJ24" s="1">
        <f>AI24</f>
        <v>120000</v>
      </c>
      <c r="AK24" s="1">
        <f>AJ24</f>
        <v>120000</v>
      </c>
      <c r="AL24" s="1">
        <f>AK24</f>
        <v>120000</v>
      </c>
      <c r="AM24" s="1">
        <f>AL24</f>
        <v>120000</v>
      </c>
      <c r="AN24" s="1">
        <f>AM24</f>
        <v>120000</v>
      </c>
      <c r="AO24" s="17">
        <f t="shared" si="0"/>
        <v>0</v>
      </c>
      <c r="AP24" s="17">
        <f t="shared" si="1"/>
        <v>0</v>
      </c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</row>
    <row r="25" spans="1:73" x14ac:dyDescent="0.35">
      <c r="A25" t="s">
        <v>35</v>
      </c>
      <c r="B25" t="s">
        <v>6</v>
      </c>
      <c r="C25" s="1">
        <v>3000</v>
      </c>
      <c r="D25" s="1">
        <v>3000</v>
      </c>
      <c r="E25" s="1">
        <v>3000</v>
      </c>
      <c r="F25" s="1">
        <v>3000</v>
      </c>
      <c r="G25" s="1">
        <v>3000</v>
      </c>
      <c r="H25" s="1">
        <v>3000</v>
      </c>
      <c r="I25" s="1">
        <v>3000</v>
      </c>
      <c r="J25" s="1">
        <v>3000</v>
      </c>
      <c r="K25" s="1">
        <v>3000</v>
      </c>
      <c r="L25" s="5">
        <v>3000</v>
      </c>
      <c r="M25" s="5">
        <v>3000</v>
      </c>
      <c r="N25" s="5">
        <v>3000</v>
      </c>
      <c r="O25" s="1">
        <v>3000</v>
      </c>
      <c r="P25" s="1">
        <v>3000</v>
      </c>
      <c r="Q25" s="1">
        <v>3000</v>
      </c>
      <c r="R25" s="1">
        <f>Q25</f>
        <v>3000</v>
      </c>
      <c r="S25" s="1">
        <f t="shared" si="25"/>
        <v>3000</v>
      </c>
      <c r="T25" s="1">
        <f t="shared" si="25"/>
        <v>3000</v>
      </c>
      <c r="U25" s="1">
        <f>T25</f>
        <v>3000</v>
      </c>
      <c r="V25" s="1">
        <v>3000</v>
      </c>
      <c r="W25" s="1">
        <v>3000</v>
      </c>
      <c r="X25" s="1">
        <f>W25</f>
        <v>3000</v>
      </c>
      <c r="Y25" s="1">
        <f>X25</f>
        <v>3000</v>
      </c>
      <c r="Z25" s="1">
        <v>3000</v>
      </c>
      <c r="AA25" s="1">
        <v>3000</v>
      </c>
      <c r="AB25" s="1">
        <v>3000</v>
      </c>
      <c r="AC25" s="1">
        <v>3000</v>
      </c>
      <c r="AD25" s="1">
        <f>AC25</f>
        <v>3000</v>
      </c>
      <c r="AE25" s="1">
        <f>AD25</f>
        <v>3000</v>
      </c>
      <c r="AF25" s="1">
        <f t="shared" si="27"/>
        <v>3000</v>
      </c>
      <c r="AG25" s="1">
        <f t="shared" si="27"/>
        <v>3000</v>
      </c>
      <c r="AH25" s="1">
        <f t="shared" si="27"/>
        <v>3000</v>
      </c>
      <c r="AI25" s="1">
        <v>3000</v>
      </c>
      <c r="AJ25" s="1">
        <f>AI25</f>
        <v>3000</v>
      </c>
      <c r="AK25" s="1">
        <f>AJ25</f>
        <v>3000</v>
      </c>
      <c r="AL25" s="1">
        <f>AK25</f>
        <v>3000</v>
      </c>
      <c r="AM25" s="1">
        <f>AL25</f>
        <v>3000</v>
      </c>
      <c r="AN25" s="1">
        <f>AM25</f>
        <v>3000</v>
      </c>
      <c r="AO25" s="17">
        <f t="shared" si="0"/>
        <v>0</v>
      </c>
      <c r="AP25" s="17">
        <f t="shared" si="1"/>
        <v>0</v>
      </c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</row>
    <row r="26" spans="1:73" x14ac:dyDescent="0.35">
      <c r="A26" t="s">
        <v>36</v>
      </c>
      <c r="B26" t="s">
        <v>7</v>
      </c>
      <c r="C26" s="1">
        <v>314357.40000000002</v>
      </c>
      <c r="D26" s="1">
        <v>319388.7</v>
      </c>
      <c r="E26" s="1">
        <v>385146.2</v>
      </c>
      <c r="F26" s="1">
        <v>583710</v>
      </c>
      <c r="G26" s="1">
        <v>583710</v>
      </c>
      <c r="H26" s="1">
        <v>583710</v>
      </c>
      <c r="I26" s="1">
        <v>595596</v>
      </c>
      <c r="J26" s="1">
        <v>603639.1</v>
      </c>
      <c r="K26" s="1">
        <v>619314.4</v>
      </c>
      <c r="L26" s="5">
        <v>697875.5</v>
      </c>
      <c r="M26" s="5">
        <v>703010.4</v>
      </c>
      <c r="N26" s="5">
        <v>862315.2</v>
      </c>
      <c r="O26" s="1">
        <v>918404.2</v>
      </c>
      <c r="P26" s="1">
        <v>940395.4</v>
      </c>
      <c r="Q26" s="1">
        <f>386744.9+140891.8+117073.5+88556.5+4050+178300+57500</f>
        <v>973116.7</v>
      </c>
      <c r="R26" s="1">
        <v>1157407</v>
      </c>
      <c r="S26" s="1">
        <f>R26</f>
        <v>1157407</v>
      </c>
      <c r="T26" s="1">
        <v>1163373</v>
      </c>
      <c r="U26" s="1">
        <v>1179302</v>
      </c>
      <c r="V26" s="1">
        <v>1182890</v>
      </c>
      <c r="W26" s="1">
        <v>1213962.3</v>
      </c>
      <c r="X26" s="1">
        <v>1231367.6000000001</v>
      </c>
      <c r="Y26" s="1">
        <v>1236574.6000000001</v>
      </c>
      <c r="Z26" s="1">
        <v>1262976</v>
      </c>
      <c r="AA26" s="1">
        <v>1270394.2</v>
      </c>
      <c r="AB26" s="1">
        <v>1283924.3999999999</v>
      </c>
      <c r="AC26" s="1">
        <v>1296899.4000000001</v>
      </c>
      <c r="AD26" s="1">
        <v>1339327.2</v>
      </c>
      <c r="AE26" s="1">
        <v>1339073.0999999999</v>
      </c>
      <c r="AF26" s="1">
        <v>1338488.3</v>
      </c>
      <c r="AG26" s="1">
        <v>1340916</v>
      </c>
      <c r="AH26" s="1">
        <v>1340825.6000000001</v>
      </c>
      <c r="AI26" s="1">
        <v>1347272.4</v>
      </c>
      <c r="AJ26" s="1">
        <v>1350046.2</v>
      </c>
      <c r="AK26" s="1">
        <v>1349572.0999999999</v>
      </c>
      <c r="AL26" s="1">
        <v>1349460.9000000001</v>
      </c>
      <c r="AM26" s="1">
        <v>1347890.4</v>
      </c>
      <c r="AN26" s="1">
        <f>GETPIVOTDATA("Сумма, млн. руб",infra_invest!$J$17,"Получатель","АО «Атомэнергопром»")+GETPIVOTDATA("Сумма, млн. руб",infra_invest!$J$17,"Получатель","АО «ГТЛК»")+GETPIVOTDATA("Сумма, млн. руб",infra_invest!$J$17,"Получатель","ГК «Российские автомобильные дороги»")+GETPIVOTDATA("Сумма, млн. руб",infra_invest!$J$17,"Получатель","ГК Фонд содействия реформированию жилищно-коммунального хозяйства")+GETPIVOTDATA("Сумма, млн. руб",infra_invest!$J$17,"Получатель","ООО «Авиакапитал-Сервис»")+GETPIVOTDATA("Сумма, млн. руб",infra_invest!$J$17,"Получатель","ООО «Инфраструктурные инвестиции - 4»")+GETPIVOTDATA("Сумма, млн. руб",infra_invest!$J$17,"Получатель","ППК «Фонд развития территорий»")+GETPIVOTDATA("Сумма, млн. руб",infra_invest!$J$17,"Получатель","ОАО «РЖД»")</f>
        <v>1348143.9000000001</v>
      </c>
      <c r="AO26" s="17">
        <f t="shared" si="0"/>
        <v>253.50000000023283</v>
      </c>
      <c r="AP26" s="17">
        <f t="shared" si="1"/>
        <v>64219.500000000233</v>
      </c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</row>
    <row r="27" spans="1:73" x14ac:dyDescent="0.35">
      <c r="A27" t="s">
        <v>36</v>
      </c>
      <c r="B27" t="s">
        <v>8</v>
      </c>
      <c r="C27" s="1">
        <v>2221.4</v>
      </c>
      <c r="D27" s="1">
        <v>2221.4</v>
      </c>
      <c r="E27" s="1">
        <v>2221.4</v>
      </c>
      <c r="F27" s="1">
        <v>2153.4</v>
      </c>
      <c r="G27" s="1">
        <v>2153.4</v>
      </c>
      <c r="H27" s="1">
        <v>2082.4</v>
      </c>
      <c r="I27" s="1">
        <v>2082.4</v>
      </c>
      <c r="J27" s="1">
        <v>2082.4</v>
      </c>
      <c r="K27" s="1">
        <v>2082.4</v>
      </c>
      <c r="L27" s="5">
        <v>2014.4</v>
      </c>
      <c r="M27" s="5">
        <v>2014.4</v>
      </c>
      <c r="N27" s="5">
        <v>1943.5</v>
      </c>
      <c r="O27" s="1">
        <v>1943.5</v>
      </c>
      <c r="P27" s="1">
        <v>1943.5</v>
      </c>
      <c r="Q27" s="1">
        <v>1943.5</v>
      </c>
      <c r="R27" s="1">
        <v>1875.5</v>
      </c>
      <c r="S27" s="1">
        <f t="shared" ref="S27:T30" si="28">R27</f>
        <v>1875.5</v>
      </c>
      <c r="T27" s="1">
        <f t="shared" si="28"/>
        <v>1875.5</v>
      </c>
      <c r="U27" s="1">
        <f t="shared" ref="U27:V30" si="29">T27</f>
        <v>1875.5</v>
      </c>
      <c r="V27" s="1">
        <f t="shared" si="29"/>
        <v>1875.5</v>
      </c>
      <c r="W27" s="1">
        <v>1875.4</v>
      </c>
      <c r="X27" s="1">
        <f t="shared" ref="X27:Y29" si="30">W27</f>
        <v>1875.4</v>
      </c>
      <c r="Y27" s="1">
        <f t="shared" si="30"/>
        <v>1875.4</v>
      </c>
      <c r="Z27" s="1">
        <f t="shared" ref="Z27:AA30" si="31">Y27</f>
        <v>1875.4</v>
      </c>
      <c r="AA27" s="1">
        <f t="shared" ref="AA27:AF27" si="32">Z27</f>
        <v>1875.4</v>
      </c>
      <c r="AB27" s="1">
        <f t="shared" si="32"/>
        <v>1875.4</v>
      </c>
      <c r="AC27" s="1">
        <f t="shared" si="32"/>
        <v>1875.4</v>
      </c>
      <c r="AD27" s="1">
        <f t="shared" si="32"/>
        <v>1875.4</v>
      </c>
      <c r="AE27" s="1">
        <f t="shared" si="32"/>
        <v>1875.4</v>
      </c>
      <c r="AF27" s="1">
        <f t="shared" si="32"/>
        <v>1875.4</v>
      </c>
      <c r="AG27" s="1">
        <f t="shared" ref="AG27:AL27" si="33">AF27</f>
        <v>1875.4</v>
      </c>
      <c r="AH27" s="1">
        <f t="shared" si="33"/>
        <v>1875.4</v>
      </c>
      <c r="AI27" s="1">
        <f t="shared" si="33"/>
        <v>1875.4</v>
      </c>
      <c r="AJ27" s="1">
        <f t="shared" si="33"/>
        <v>1875.4</v>
      </c>
      <c r="AK27" s="1">
        <f t="shared" si="33"/>
        <v>1875.4</v>
      </c>
      <c r="AL27" s="1">
        <f t="shared" si="33"/>
        <v>1875.4</v>
      </c>
      <c r="AM27" s="1">
        <f>AL27</f>
        <v>1875.4</v>
      </c>
      <c r="AN27" s="1">
        <f>AM27</f>
        <v>1875.4</v>
      </c>
      <c r="AO27" s="17">
        <f t="shared" si="0"/>
        <v>0</v>
      </c>
      <c r="AP27" s="17">
        <f t="shared" si="1"/>
        <v>0</v>
      </c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</row>
    <row r="28" spans="1:73" x14ac:dyDescent="0.35">
      <c r="A28" t="s">
        <v>9</v>
      </c>
      <c r="B28" t="s">
        <v>30</v>
      </c>
      <c r="C28" s="1">
        <v>214037.9</v>
      </c>
      <c r="D28" s="1">
        <v>214037.9</v>
      </c>
      <c r="E28" s="1">
        <v>214037.9</v>
      </c>
      <c r="F28" s="1">
        <v>214037.9</v>
      </c>
      <c r="G28" s="1">
        <v>214037.9</v>
      </c>
      <c r="H28" s="1">
        <v>214037.9</v>
      </c>
      <c r="I28" s="1">
        <v>214037.9</v>
      </c>
      <c r="J28" s="1">
        <v>214037.9</v>
      </c>
      <c r="K28" s="1">
        <v>214037.9</v>
      </c>
      <c r="L28" s="5">
        <v>214037.9</v>
      </c>
      <c r="M28" s="5">
        <v>214037.9</v>
      </c>
      <c r="N28" s="5">
        <v>214037.9</v>
      </c>
      <c r="O28" s="5">
        <v>214037.9</v>
      </c>
      <c r="P28" s="5">
        <v>214037.9</v>
      </c>
      <c r="Q28" s="5">
        <v>214037.9</v>
      </c>
      <c r="R28" s="1">
        <f>Q28</f>
        <v>214037.9</v>
      </c>
      <c r="S28" s="1">
        <f t="shared" si="28"/>
        <v>214037.9</v>
      </c>
      <c r="T28" s="1">
        <f t="shared" si="28"/>
        <v>214037.9</v>
      </c>
      <c r="U28" s="1">
        <f t="shared" si="29"/>
        <v>214037.9</v>
      </c>
      <c r="V28" s="1">
        <f t="shared" si="29"/>
        <v>214037.9</v>
      </c>
      <c r="W28" s="1">
        <f>V28</f>
        <v>214037.9</v>
      </c>
      <c r="X28" s="1">
        <f t="shared" si="30"/>
        <v>214037.9</v>
      </c>
      <c r="Y28" s="1">
        <f t="shared" si="30"/>
        <v>214037.9</v>
      </c>
      <c r="Z28" s="1">
        <f t="shared" si="31"/>
        <v>214037.9</v>
      </c>
      <c r="AA28" s="1">
        <f t="shared" si="31"/>
        <v>214037.9</v>
      </c>
      <c r="AB28" s="1">
        <f t="shared" ref="AB28:AC30" si="34">AA28</f>
        <v>214037.9</v>
      </c>
      <c r="AC28" s="1">
        <f t="shared" si="34"/>
        <v>214037.9</v>
      </c>
      <c r="AD28" s="1">
        <f>AC28</f>
        <v>214037.9</v>
      </c>
      <c r="AE28" s="1">
        <v>214038</v>
      </c>
      <c r="AF28" s="1">
        <f>AE28</f>
        <v>214038</v>
      </c>
      <c r="AG28" s="1">
        <v>214038</v>
      </c>
      <c r="AH28" s="1">
        <v>214038</v>
      </c>
      <c r="AI28" s="1">
        <f t="shared" ref="AI28:AJ30" si="35">AH28</f>
        <v>214038</v>
      </c>
      <c r="AJ28" s="1">
        <f t="shared" si="35"/>
        <v>214038</v>
      </c>
      <c r="AK28" s="1">
        <f t="shared" ref="AK28:AL30" si="36">AJ28</f>
        <v>214038</v>
      </c>
      <c r="AL28" s="1">
        <f t="shared" si="36"/>
        <v>214038</v>
      </c>
      <c r="AM28" s="1">
        <f>AL28</f>
        <v>214038</v>
      </c>
      <c r="AN28" s="1">
        <f>AM28</f>
        <v>214038</v>
      </c>
      <c r="AO28" s="17">
        <f t="shared" si="0"/>
        <v>0</v>
      </c>
      <c r="AP28" s="17">
        <f t="shared" si="1"/>
        <v>0.10000000000582077</v>
      </c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</row>
    <row r="29" spans="1:73" x14ac:dyDescent="0.35">
      <c r="A29" t="s">
        <v>9</v>
      </c>
      <c r="B29" t="s">
        <v>31</v>
      </c>
      <c r="C29" s="1">
        <v>25000</v>
      </c>
      <c r="D29" s="1">
        <v>25000</v>
      </c>
      <c r="E29" s="1">
        <v>25000</v>
      </c>
      <c r="F29" s="1">
        <v>25000</v>
      </c>
      <c r="G29" s="1">
        <v>25000</v>
      </c>
      <c r="H29" s="1">
        <v>25000</v>
      </c>
      <c r="I29" s="1">
        <v>25000</v>
      </c>
      <c r="J29" s="1">
        <v>25000</v>
      </c>
      <c r="K29" s="1">
        <v>25000</v>
      </c>
      <c r="L29" s="5">
        <v>25000</v>
      </c>
      <c r="M29" s="5">
        <v>25000</v>
      </c>
      <c r="N29" s="5">
        <v>25000</v>
      </c>
      <c r="O29" s="5">
        <v>25000</v>
      </c>
      <c r="P29" s="5">
        <v>25000</v>
      </c>
      <c r="Q29" s="5">
        <v>25000</v>
      </c>
      <c r="R29" s="1">
        <f>Q29</f>
        <v>25000</v>
      </c>
      <c r="S29" s="1">
        <f t="shared" si="28"/>
        <v>25000</v>
      </c>
      <c r="T29" s="1">
        <f t="shared" si="28"/>
        <v>25000</v>
      </c>
      <c r="U29" s="1">
        <f t="shared" si="29"/>
        <v>25000</v>
      </c>
      <c r="V29" s="1">
        <f t="shared" si="29"/>
        <v>25000</v>
      </c>
      <c r="W29" s="1">
        <f>V29</f>
        <v>25000</v>
      </c>
      <c r="X29" s="1">
        <f t="shared" si="30"/>
        <v>25000</v>
      </c>
      <c r="Y29" s="1">
        <f t="shared" si="30"/>
        <v>25000</v>
      </c>
      <c r="Z29" s="1">
        <f t="shared" si="31"/>
        <v>25000</v>
      </c>
      <c r="AA29" s="1">
        <f t="shared" si="31"/>
        <v>25000</v>
      </c>
      <c r="AB29" s="1">
        <f t="shared" si="34"/>
        <v>25000</v>
      </c>
      <c r="AC29" s="1">
        <f t="shared" si="34"/>
        <v>25000</v>
      </c>
      <c r="AD29" s="1">
        <f>AC29</f>
        <v>25000</v>
      </c>
      <c r="AE29" s="1">
        <v>25000</v>
      </c>
      <c r="AF29" s="1">
        <f>AE29</f>
        <v>25000</v>
      </c>
      <c r="AG29" s="1">
        <f>AF29</f>
        <v>25000</v>
      </c>
      <c r="AH29" s="1">
        <f>AG29</f>
        <v>25000</v>
      </c>
      <c r="AI29" s="1">
        <f t="shared" si="35"/>
        <v>25000</v>
      </c>
      <c r="AJ29" s="1">
        <f t="shared" si="35"/>
        <v>25000</v>
      </c>
      <c r="AK29" s="1">
        <f t="shared" si="36"/>
        <v>25000</v>
      </c>
      <c r="AL29" s="1">
        <f t="shared" si="36"/>
        <v>25000</v>
      </c>
      <c r="AM29" s="1">
        <f>AL29</f>
        <v>25000</v>
      </c>
      <c r="AN29" s="1">
        <f>AM29</f>
        <v>25000</v>
      </c>
      <c r="AO29" s="17">
        <f t="shared" si="0"/>
        <v>0</v>
      </c>
      <c r="AP29" s="17">
        <f t="shared" si="1"/>
        <v>0</v>
      </c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</row>
    <row r="30" spans="1:73" x14ac:dyDescent="0.35">
      <c r="A30" t="s">
        <v>9</v>
      </c>
      <c r="B30" t="s">
        <v>32</v>
      </c>
      <c r="C30" s="1">
        <v>89954</v>
      </c>
      <c r="D30" s="1">
        <v>89954</v>
      </c>
      <c r="E30" s="1">
        <v>89954</v>
      </c>
      <c r="F30" s="1">
        <v>89954</v>
      </c>
      <c r="G30" s="1">
        <v>89954</v>
      </c>
      <c r="H30" s="1">
        <v>89954</v>
      </c>
      <c r="I30" s="1">
        <v>89954</v>
      </c>
      <c r="J30" s="1">
        <v>89954</v>
      </c>
      <c r="K30" s="1">
        <v>89954</v>
      </c>
      <c r="L30" s="5">
        <v>89954</v>
      </c>
      <c r="M30" s="5">
        <v>89954</v>
      </c>
      <c r="N30" s="5">
        <v>89954</v>
      </c>
      <c r="O30" s="5">
        <v>89954</v>
      </c>
      <c r="P30" s="5">
        <v>89954</v>
      </c>
      <c r="Q30" s="5">
        <v>89954</v>
      </c>
      <c r="R30" s="1">
        <f>Q30</f>
        <v>89954</v>
      </c>
      <c r="S30" s="1">
        <f t="shared" si="28"/>
        <v>89954</v>
      </c>
      <c r="T30" s="1">
        <f t="shared" si="28"/>
        <v>89954</v>
      </c>
      <c r="U30" s="1">
        <f t="shared" si="29"/>
        <v>89954</v>
      </c>
      <c r="V30" s="1">
        <f t="shared" si="29"/>
        <v>89954</v>
      </c>
      <c r="W30" s="1">
        <f>V30</f>
        <v>89954</v>
      </c>
      <c r="X30" s="1">
        <v>164954</v>
      </c>
      <c r="Y30" s="1">
        <f>X30</f>
        <v>164954</v>
      </c>
      <c r="Z30" s="1">
        <f t="shared" si="31"/>
        <v>164954</v>
      </c>
      <c r="AA30" s="1">
        <f t="shared" si="31"/>
        <v>164954</v>
      </c>
      <c r="AB30" s="1">
        <f t="shared" si="34"/>
        <v>164954</v>
      </c>
      <c r="AC30" s="1">
        <f t="shared" si="34"/>
        <v>164954</v>
      </c>
      <c r="AD30" s="1">
        <f>AC30</f>
        <v>164954</v>
      </c>
      <c r="AE30" s="1">
        <v>164954</v>
      </c>
      <c r="AF30" s="1">
        <f>AE30</f>
        <v>164954</v>
      </c>
      <c r="AG30" s="1">
        <f>AF30</f>
        <v>164954</v>
      </c>
      <c r="AH30" s="1">
        <f>AG30</f>
        <v>164954</v>
      </c>
      <c r="AI30" s="1">
        <f t="shared" si="35"/>
        <v>164954</v>
      </c>
      <c r="AJ30" s="1">
        <f t="shared" si="35"/>
        <v>164954</v>
      </c>
      <c r="AK30" s="1">
        <f t="shared" si="36"/>
        <v>164954</v>
      </c>
      <c r="AL30" s="1">
        <f t="shared" si="36"/>
        <v>164954</v>
      </c>
      <c r="AM30" s="1">
        <f>AL30+30000</f>
        <v>194954</v>
      </c>
      <c r="AN30" s="1">
        <f>AM30</f>
        <v>194954</v>
      </c>
      <c r="AO30" s="17">
        <f t="shared" si="0"/>
        <v>0</v>
      </c>
      <c r="AP30" s="17">
        <f t="shared" si="1"/>
        <v>30000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</row>
    <row r="31" spans="1:73" x14ac:dyDescent="0.35">
      <c r="A31" t="s">
        <v>38</v>
      </c>
      <c r="B31" t="s">
        <v>10</v>
      </c>
      <c r="C31" s="1">
        <v>138433.9</v>
      </c>
      <c r="D31" s="1">
        <v>138433.9</v>
      </c>
      <c r="E31" s="1">
        <v>138433.9</v>
      </c>
      <c r="F31" s="1">
        <v>138433.9</v>
      </c>
      <c r="G31" s="1">
        <v>138433.9</v>
      </c>
      <c r="H31" s="1">
        <v>138433.9</v>
      </c>
      <c r="I31" s="1">
        <v>0</v>
      </c>
      <c r="J31" s="1">
        <v>0</v>
      </c>
      <c r="K31" s="1">
        <v>0</v>
      </c>
      <c r="L31" s="5">
        <v>0</v>
      </c>
      <c r="M31" s="5">
        <v>0</v>
      </c>
      <c r="N31" s="5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f>AF31</f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f t="shared" ref="AM31:AM37" si="37">AL31</f>
        <v>0</v>
      </c>
      <c r="AN31" s="1">
        <v>0</v>
      </c>
      <c r="AO31" s="17">
        <f t="shared" si="0"/>
        <v>0</v>
      </c>
      <c r="AP31" s="17">
        <f t="shared" si="1"/>
        <v>0</v>
      </c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</row>
    <row r="32" spans="1:73" x14ac:dyDescent="0.35">
      <c r="A32" t="s">
        <v>38</v>
      </c>
      <c r="B32" t="s">
        <v>122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38433.9</v>
      </c>
      <c r="J32" s="1">
        <v>38433.9</v>
      </c>
      <c r="K32" s="1">
        <v>38433.9</v>
      </c>
      <c r="L32" s="5">
        <v>38433.9</v>
      </c>
      <c r="M32" s="5">
        <v>38433.9</v>
      </c>
      <c r="N32" s="5">
        <v>38433.9</v>
      </c>
      <c r="O32" s="1">
        <v>38433.9</v>
      </c>
      <c r="P32" s="1">
        <v>38433.9</v>
      </c>
      <c r="Q32" s="1">
        <v>38433.9</v>
      </c>
      <c r="R32" s="1">
        <f t="shared" ref="R32:W32" si="38">Q32</f>
        <v>38433.9</v>
      </c>
      <c r="S32" s="1">
        <f t="shared" si="38"/>
        <v>38433.9</v>
      </c>
      <c r="T32" s="1">
        <f t="shared" si="38"/>
        <v>38433.9</v>
      </c>
      <c r="U32" s="1">
        <f t="shared" si="38"/>
        <v>38433.9</v>
      </c>
      <c r="V32" s="1">
        <f t="shared" si="38"/>
        <v>38433.9</v>
      </c>
      <c r="W32" s="1">
        <f t="shared" si="38"/>
        <v>38433.9</v>
      </c>
      <c r="X32" s="1">
        <f t="shared" ref="X32:AC32" si="39">W32</f>
        <v>38433.9</v>
      </c>
      <c r="Y32" s="1">
        <f t="shared" si="39"/>
        <v>38433.9</v>
      </c>
      <c r="Z32" s="1">
        <f t="shared" si="39"/>
        <v>38433.9</v>
      </c>
      <c r="AA32" s="1">
        <f t="shared" si="39"/>
        <v>38433.9</v>
      </c>
      <c r="AB32" s="1">
        <f t="shared" si="39"/>
        <v>38433.9</v>
      </c>
      <c r="AC32" s="1">
        <f t="shared" si="39"/>
        <v>38433.9</v>
      </c>
      <c r="AD32" s="1">
        <f>AC32</f>
        <v>38433.9</v>
      </c>
      <c r="AE32" s="1">
        <f>AD32</f>
        <v>38433.9</v>
      </c>
      <c r="AF32" s="1">
        <f>AE32</f>
        <v>38433.9</v>
      </c>
      <c r="AG32" s="1">
        <f>AF32</f>
        <v>38433.9</v>
      </c>
      <c r="AH32" s="1">
        <f>AG32</f>
        <v>38433.9</v>
      </c>
      <c r="AI32" s="1">
        <f>AH32</f>
        <v>38433.9</v>
      </c>
      <c r="AJ32" s="1">
        <f>AI32</f>
        <v>38433.9</v>
      </c>
      <c r="AK32" s="1">
        <f>AJ32</f>
        <v>38433.9</v>
      </c>
      <c r="AL32" s="1">
        <f>AK32</f>
        <v>38433.9</v>
      </c>
      <c r="AM32" s="1">
        <f t="shared" si="37"/>
        <v>38433.9</v>
      </c>
      <c r="AN32" s="1">
        <f>AM32</f>
        <v>38433.9</v>
      </c>
      <c r="AO32" s="17">
        <f t="shared" si="0"/>
        <v>0</v>
      </c>
      <c r="AP32" s="17">
        <f t="shared" si="1"/>
        <v>0</v>
      </c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</row>
    <row r="33" spans="1:73" x14ac:dyDescent="0.35">
      <c r="A33" t="s">
        <v>38</v>
      </c>
      <c r="B33" t="s">
        <v>239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5">
        <v>0</v>
      </c>
      <c r="M33" s="5">
        <v>0</v>
      </c>
      <c r="N33" s="5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94200</v>
      </c>
      <c r="AJ33" s="1">
        <f t="shared" ref="AJ33:AK36" si="40">AI33</f>
        <v>94200</v>
      </c>
      <c r="AK33" s="1">
        <f t="shared" si="40"/>
        <v>94200</v>
      </c>
      <c r="AL33" s="1">
        <f>AK33</f>
        <v>94200</v>
      </c>
      <c r="AM33" s="1">
        <f t="shared" si="37"/>
        <v>94200</v>
      </c>
      <c r="AN33" s="1">
        <f>AM33</f>
        <v>94200</v>
      </c>
      <c r="AO33" s="17">
        <f t="shared" si="0"/>
        <v>0</v>
      </c>
      <c r="AP33" s="17">
        <f t="shared" si="1"/>
        <v>94200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</row>
    <row r="34" spans="1:73" x14ac:dyDescent="0.35">
      <c r="A34" t="s">
        <v>38</v>
      </c>
      <c r="B34" t="s">
        <v>242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93180</v>
      </c>
      <c r="AJ34" s="1">
        <f t="shared" si="40"/>
        <v>93180</v>
      </c>
      <c r="AK34" s="1">
        <f t="shared" si="40"/>
        <v>93180</v>
      </c>
      <c r="AL34" s="1">
        <f>AK34</f>
        <v>93180</v>
      </c>
      <c r="AM34" s="1">
        <f t="shared" si="37"/>
        <v>93180</v>
      </c>
      <c r="AN34" s="1">
        <f>AM34</f>
        <v>93180</v>
      </c>
      <c r="AO34" s="17">
        <f t="shared" si="0"/>
        <v>0</v>
      </c>
      <c r="AP34" s="17">
        <f t="shared" si="1"/>
        <v>93180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</row>
    <row r="35" spans="1:73" x14ac:dyDescent="0.35">
      <c r="A35" t="s">
        <v>38</v>
      </c>
      <c r="B35" t="s">
        <v>243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83055</v>
      </c>
      <c r="AJ35" s="1">
        <f t="shared" si="40"/>
        <v>83055</v>
      </c>
      <c r="AK35" s="1">
        <f t="shared" si="40"/>
        <v>83055</v>
      </c>
      <c r="AL35" s="1">
        <f>AK35</f>
        <v>83055</v>
      </c>
      <c r="AM35" s="1">
        <f t="shared" si="37"/>
        <v>83055</v>
      </c>
      <c r="AN35" s="1">
        <f>AM35</f>
        <v>83055</v>
      </c>
      <c r="AO35" s="17">
        <f t="shared" si="0"/>
        <v>0</v>
      </c>
      <c r="AP35" s="17">
        <f t="shared" si="1"/>
        <v>83055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</row>
    <row r="36" spans="1:73" x14ac:dyDescent="0.35">
      <c r="A36" t="s">
        <v>38</v>
      </c>
      <c r="B36" t="s">
        <v>244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29565</v>
      </c>
      <c r="AJ36" s="1">
        <f t="shared" si="40"/>
        <v>29565</v>
      </c>
      <c r="AK36" s="1">
        <f t="shared" si="40"/>
        <v>29565</v>
      </c>
      <c r="AL36" s="1">
        <f>AK36</f>
        <v>29565</v>
      </c>
      <c r="AM36" s="1">
        <f t="shared" si="37"/>
        <v>29565</v>
      </c>
      <c r="AN36" s="1">
        <f>AM36</f>
        <v>29565</v>
      </c>
      <c r="AO36" s="17">
        <f t="shared" si="0"/>
        <v>0</v>
      </c>
      <c r="AP36" s="17">
        <f t="shared" si="1"/>
        <v>29565</v>
      </c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</row>
    <row r="37" spans="1:73" x14ac:dyDescent="0.35">
      <c r="A37" t="s">
        <v>38</v>
      </c>
      <c r="B37" t="s">
        <v>248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200000</v>
      </c>
      <c r="AL37" s="1">
        <f>AK37</f>
        <v>200000</v>
      </c>
      <c r="AM37" s="1">
        <f t="shared" si="37"/>
        <v>200000</v>
      </c>
      <c r="AN37" s="1">
        <f>AM37</f>
        <v>200000</v>
      </c>
      <c r="AO37" s="17">
        <f t="shared" si="0"/>
        <v>0</v>
      </c>
      <c r="AP37" s="17">
        <f t="shared" si="1"/>
        <v>200000</v>
      </c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</row>
    <row r="38" spans="1:73" x14ac:dyDescent="0.35">
      <c r="A38" t="s">
        <v>37</v>
      </c>
      <c r="B38" t="s">
        <v>120</v>
      </c>
      <c r="C38" s="1">
        <v>1231892.1000000001</v>
      </c>
      <c r="D38" s="1">
        <v>1432125.4</v>
      </c>
      <c r="E38" s="1">
        <v>1534896.1</v>
      </c>
      <c r="F38" s="1">
        <v>1590911.7</v>
      </c>
      <c r="G38" s="1">
        <v>1758281</v>
      </c>
      <c r="H38" s="1">
        <v>1920003.5</v>
      </c>
      <c r="I38" s="1">
        <v>2420417.2999999998</v>
      </c>
      <c r="J38" s="1">
        <v>2708739.7</v>
      </c>
      <c r="K38" s="1">
        <v>2756172.3</v>
      </c>
      <c r="L38" s="5">
        <v>2705012.9</v>
      </c>
      <c r="M38" s="5">
        <v>2931447</v>
      </c>
      <c r="N38" s="5">
        <v>2997062.1</v>
      </c>
      <c r="O38" s="1">
        <v>2944773.3</v>
      </c>
      <c r="P38" s="1">
        <v>3028345.1</v>
      </c>
      <c r="Q38" s="1">
        <v>3110787.4</v>
      </c>
      <c r="R38" s="1">
        <v>3067646.3</v>
      </c>
      <c r="S38" s="1">
        <v>3113497.8</v>
      </c>
      <c r="T38" s="1">
        <v>3303115.3</v>
      </c>
      <c r="U38" s="1">
        <v>3373360.7</v>
      </c>
      <c r="V38" s="1">
        <v>3483246.2</v>
      </c>
      <c r="W38" s="1">
        <v>3553491.6</v>
      </c>
      <c r="X38" s="1">
        <v>3698838.6</v>
      </c>
      <c r="Y38" s="1">
        <v>3271719.4</v>
      </c>
      <c r="Z38" s="1">
        <v>2895985.5</v>
      </c>
      <c r="AA38" s="1">
        <v>3057256.3</v>
      </c>
      <c r="AB38" s="1">
        <v>2708852.7</v>
      </c>
      <c r="AC38" s="1">
        <v>2632508.7999999998</v>
      </c>
      <c r="AD38" s="1">
        <v>3124000.8</v>
      </c>
      <c r="AE38" s="1">
        <v>3190971.1</v>
      </c>
      <c r="AF38" s="1">
        <v>3466757.7</v>
      </c>
      <c r="AG38" s="1">
        <v>3457722.9</v>
      </c>
      <c r="AH38" s="1">
        <v>3461111</v>
      </c>
      <c r="AI38" s="1">
        <v>3483133.3</v>
      </c>
      <c r="AJ38" s="1">
        <v>3569867.1</v>
      </c>
      <c r="AK38" s="1">
        <v>3437507.6</v>
      </c>
      <c r="AL38" s="1">
        <v>3505381.4</v>
      </c>
      <c r="AM38" s="1">
        <v>3247551.4</v>
      </c>
      <c r="AN38" s="1">
        <v>3316554.5</v>
      </c>
      <c r="AO38" s="17">
        <f t="shared" si="0"/>
        <v>69003.100000000093</v>
      </c>
      <c r="AP38" s="17">
        <f t="shared" si="1"/>
        <v>607701.79999999981</v>
      </c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</row>
    <row r="39" spans="1:73" x14ac:dyDescent="0.35">
      <c r="A39" t="s">
        <v>37</v>
      </c>
      <c r="B39" t="s">
        <v>116</v>
      </c>
      <c r="C39" s="1">
        <v>53439.199999999997</v>
      </c>
      <c r="D39" s="1">
        <v>60627.5</v>
      </c>
      <c r="E39" s="1">
        <v>58793.2</v>
      </c>
      <c r="F39" s="1">
        <v>58073.8</v>
      </c>
      <c r="G39" s="1">
        <v>65876.899999999994</v>
      </c>
      <c r="H39" s="1">
        <v>66822.7</v>
      </c>
      <c r="I39" s="1">
        <v>74507.5</v>
      </c>
      <c r="J39" s="1">
        <v>94511.8</v>
      </c>
      <c r="K39" s="1">
        <v>94157.1</v>
      </c>
      <c r="L39" s="5">
        <v>100730.6</v>
      </c>
      <c r="M39" s="5">
        <v>107256.8</v>
      </c>
      <c r="N39" s="5">
        <v>104111.9</v>
      </c>
      <c r="O39" s="1">
        <v>97869.5</v>
      </c>
      <c r="P39" s="1">
        <v>92785.7</v>
      </c>
      <c r="Q39" s="1">
        <v>86046.6</v>
      </c>
      <c r="R39" s="1">
        <v>82901.8</v>
      </c>
      <c r="S39" s="1">
        <v>92076.3</v>
      </c>
      <c r="T39" s="1">
        <v>90823.1</v>
      </c>
      <c r="U39" s="1">
        <v>105719.8</v>
      </c>
      <c r="V39" s="1">
        <v>121964.4</v>
      </c>
      <c r="W39" s="1">
        <v>130264.1</v>
      </c>
      <c r="X39" s="1">
        <v>148471.20000000001</v>
      </c>
      <c r="Y39" s="1">
        <v>128206.9</v>
      </c>
      <c r="Z39" s="1">
        <v>112884.5</v>
      </c>
      <c r="AA39" s="1">
        <v>130145.8</v>
      </c>
      <c r="AB39" s="1">
        <v>127426.6</v>
      </c>
      <c r="AC39" s="1">
        <v>126433.5</v>
      </c>
      <c r="AD39" s="1">
        <v>139533.20000000001</v>
      </c>
      <c r="AE39" s="1">
        <v>152585.60000000001</v>
      </c>
      <c r="AF39" s="1">
        <v>171738.6</v>
      </c>
      <c r="AG39" s="1">
        <v>162233</v>
      </c>
      <c r="AH39" s="1">
        <v>166442</v>
      </c>
      <c r="AI39" s="1">
        <v>160696.1</v>
      </c>
      <c r="AJ39" s="1">
        <v>157172.79999999999</v>
      </c>
      <c r="AK39" s="1">
        <v>134520.29999999999</v>
      </c>
      <c r="AL39" s="1">
        <v>147076.1</v>
      </c>
      <c r="AM39" s="1">
        <v>128892.6</v>
      </c>
      <c r="AN39" s="1">
        <v>119670.8</v>
      </c>
      <c r="AO39" s="17">
        <f t="shared" si="0"/>
        <v>-9221.8000000000029</v>
      </c>
      <c r="AP39" s="17">
        <f t="shared" si="1"/>
        <v>-7755.8000000000029</v>
      </c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</row>
    <row r="40" spans="1:73" x14ac:dyDescent="0.35">
      <c r="A40" t="s">
        <v>37</v>
      </c>
      <c r="B40" t="s">
        <v>11</v>
      </c>
      <c r="C40" s="1">
        <v>50000</v>
      </c>
      <c r="D40" s="1">
        <v>50000</v>
      </c>
      <c r="E40" s="1">
        <v>50000</v>
      </c>
      <c r="F40" s="1">
        <v>50000</v>
      </c>
      <c r="G40" s="1">
        <v>50000</v>
      </c>
      <c r="H40" s="1">
        <v>50000</v>
      </c>
      <c r="I40" s="1">
        <v>50000</v>
      </c>
      <c r="J40" s="1">
        <v>50000</v>
      </c>
      <c r="K40" s="1">
        <v>50000</v>
      </c>
      <c r="L40" s="5">
        <v>137000</v>
      </c>
      <c r="M40" s="5">
        <v>137000</v>
      </c>
      <c r="N40" s="5">
        <v>137000</v>
      </c>
      <c r="O40" s="1">
        <v>137000</v>
      </c>
      <c r="P40" s="1">
        <v>137000</v>
      </c>
      <c r="Q40" s="1">
        <v>137000</v>
      </c>
      <c r="R40" s="1">
        <f>Q40</f>
        <v>137000</v>
      </c>
      <c r="S40" s="1">
        <v>137000</v>
      </c>
      <c r="T40" s="1">
        <f t="shared" ref="T40:V41" si="41">S40</f>
        <v>137000</v>
      </c>
      <c r="U40" s="1">
        <f t="shared" si="41"/>
        <v>137000</v>
      </c>
      <c r="V40" s="1">
        <f t="shared" si="41"/>
        <v>137000</v>
      </c>
      <c r="W40" s="1">
        <v>137000</v>
      </c>
      <c r="X40" s="1">
        <f t="shared" ref="X40:Z41" si="42">W40</f>
        <v>137000</v>
      </c>
      <c r="Y40" s="1">
        <f t="shared" si="42"/>
        <v>137000</v>
      </c>
      <c r="Z40" s="1">
        <f t="shared" si="42"/>
        <v>137000</v>
      </c>
      <c r="AA40" s="1">
        <f t="shared" ref="AA40:AC41" si="43">Z40</f>
        <v>137000</v>
      </c>
      <c r="AB40" s="1">
        <f t="shared" si="43"/>
        <v>137000</v>
      </c>
      <c r="AC40" s="1">
        <f t="shared" si="43"/>
        <v>137000</v>
      </c>
      <c r="AD40" s="1">
        <f t="shared" ref="AD40:AF41" si="44">AC40</f>
        <v>137000</v>
      </c>
      <c r="AE40" s="1">
        <f t="shared" si="44"/>
        <v>137000</v>
      </c>
      <c r="AF40" s="1">
        <f t="shared" si="44"/>
        <v>137000</v>
      </c>
      <c r="AG40" s="1">
        <f t="shared" ref="AG40:AL40" si="45">AF40</f>
        <v>137000</v>
      </c>
      <c r="AH40" s="1">
        <f t="shared" si="45"/>
        <v>137000</v>
      </c>
      <c r="AI40" s="1">
        <f t="shared" si="45"/>
        <v>137000</v>
      </c>
      <c r="AJ40" s="1">
        <f t="shared" si="45"/>
        <v>137000</v>
      </c>
      <c r="AK40" s="1">
        <f t="shared" si="45"/>
        <v>137000</v>
      </c>
      <c r="AL40" s="1">
        <f t="shared" si="45"/>
        <v>137000</v>
      </c>
      <c r="AM40" s="1">
        <f>AL40</f>
        <v>137000</v>
      </c>
      <c r="AN40" s="1">
        <f>AM40</f>
        <v>137000</v>
      </c>
      <c r="AO40" s="17">
        <f t="shared" si="0"/>
        <v>0</v>
      </c>
      <c r="AP40" s="17">
        <f t="shared" si="1"/>
        <v>0</v>
      </c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</row>
    <row r="41" spans="1:73" x14ac:dyDescent="0.35">
      <c r="A41" t="s">
        <v>37</v>
      </c>
      <c r="B41" t="s">
        <v>16</v>
      </c>
      <c r="C41" s="1">
        <v>58334</v>
      </c>
      <c r="D41" s="1">
        <v>58334</v>
      </c>
      <c r="E41" s="1">
        <v>58334</v>
      </c>
      <c r="F41" s="1">
        <v>58334</v>
      </c>
      <c r="G41" s="1">
        <v>58334</v>
      </c>
      <c r="H41" s="1">
        <v>58334</v>
      </c>
      <c r="I41" s="1">
        <v>58334</v>
      </c>
      <c r="J41" s="1">
        <v>58334</v>
      </c>
      <c r="K41" s="1">
        <v>58334</v>
      </c>
      <c r="L41" s="5">
        <v>58334</v>
      </c>
      <c r="M41" s="5">
        <v>58334</v>
      </c>
      <c r="N41" s="5">
        <v>58334</v>
      </c>
      <c r="O41" s="1">
        <v>58334</v>
      </c>
      <c r="P41" s="1">
        <v>58334</v>
      </c>
      <c r="Q41" s="1">
        <v>58334</v>
      </c>
      <c r="R41" s="1">
        <v>58334</v>
      </c>
      <c r="S41" s="1">
        <v>58334</v>
      </c>
      <c r="T41" s="1">
        <f t="shared" si="41"/>
        <v>58334</v>
      </c>
      <c r="U41" s="1">
        <f t="shared" si="41"/>
        <v>58334</v>
      </c>
      <c r="V41" s="1">
        <f t="shared" si="41"/>
        <v>58334</v>
      </c>
      <c r="W41" s="1">
        <v>58334</v>
      </c>
      <c r="X41" s="1">
        <f t="shared" si="42"/>
        <v>58334</v>
      </c>
      <c r="Y41" s="1">
        <f t="shared" si="42"/>
        <v>58334</v>
      </c>
      <c r="Z41" s="1">
        <f t="shared" si="42"/>
        <v>58334</v>
      </c>
      <c r="AA41" s="1">
        <f t="shared" si="43"/>
        <v>58334</v>
      </c>
      <c r="AB41" s="1">
        <f t="shared" si="43"/>
        <v>58334</v>
      </c>
      <c r="AC41" s="1">
        <f t="shared" si="43"/>
        <v>58334</v>
      </c>
      <c r="AD41" s="1">
        <f t="shared" si="44"/>
        <v>58334</v>
      </c>
      <c r="AE41" s="1">
        <f t="shared" si="44"/>
        <v>58334</v>
      </c>
      <c r="AF41" s="1">
        <f t="shared" si="44"/>
        <v>58334</v>
      </c>
      <c r="AG41" s="1">
        <v>58334</v>
      </c>
      <c r="AH41" s="1">
        <f>AG41</f>
        <v>58334</v>
      </c>
      <c r="AI41" s="1">
        <f>AH41</f>
        <v>58334</v>
      </c>
      <c r="AJ41" s="1">
        <f>AI41</f>
        <v>58334</v>
      </c>
      <c r="AK41" s="1">
        <f>AJ41</f>
        <v>58334</v>
      </c>
      <c r="AL41" s="1">
        <f>AK41</f>
        <v>58334</v>
      </c>
      <c r="AM41" s="1">
        <f>AL41</f>
        <v>58334</v>
      </c>
      <c r="AN41" s="1">
        <f>AM41</f>
        <v>58334</v>
      </c>
      <c r="AO41" s="17">
        <f t="shared" si="0"/>
        <v>0</v>
      </c>
      <c r="AP41" s="17">
        <f t="shared" si="1"/>
        <v>0</v>
      </c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</row>
    <row r="42" spans="1:73" x14ac:dyDescent="0.35">
      <c r="A42" t="s">
        <v>37</v>
      </c>
      <c r="B42" t="s">
        <v>112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105853.1</v>
      </c>
      <c r="J42" s="1">
        <v>130289.7</v>
      </c>
      <c r="K42" s="1">
        <v>130084.9</v>
      </c>
      <c r="L42" s="5">
        <v>127216.9</v>
      </c>
      <c r="M42" s="5">
        <v>150482.9</v>
      </c>
      <c r="N42" s="5">
        <v>168598.2</v>
      </c>
      <c r="O42" s="1">
        <v>151214.5</v>
      </c>
      <c r="P42" s="1">
        <v>147205.20000000001</v>
      </c>
      <c r="Q42" s="1">
        <v>138806</v>
      </c>
      <c r="R42" s="1">
        <v>133713.79999999999</v>
      </c>
      <c r="S42" s="1">
        <f>143693.3</f>
        <v>143693.29999999999</v>
      </c>
      <c r="T42" s="1">
        <v>136845.20000000001</v>
      </c>
      <c r="U42" s="1">
        <v>133040.70000000001</v>
      </c>
      <c r="V42" s="1">
        <v>137137.79999999999</v>
      </c>
      <c r="W42" s="1">
        <v>116856.9</v>
      </c>
      <c r="X42" s="1">
        <v>125021.9</v>
      </c>
      <c r="Y42" s="1">
        <v>114989.8</v>
      </c>
      <c r="Z42" s="1">
        <v>109206.9</v>
      </c>
      <c r="AA42" s="1">
        <v>105730.2</v>
      </c>
      <c r="AB42" s="1">
        <v>88416.7</v>
      </c>
      <c r="AC42" s="1">
        <v>81568.600000000006</v>
      </c>
      <c r="AD42" s="1">
        <v>93052.4</v>
      </c>
      <c r="AE42" s="1">
        <v>99549.3</v>
      </c>
      <c r="AF42" s="1">
        <v>105777</v>
      </c>
      <c r="AG42" s="1">
        <v>95674.6</v>
      </c>
      <c r="AH42" s="1">
        <v>113339.2</v>
      </c>
      <c r="AI42" s="1">
        <v>110670.2</v>
      </c>
      <c r="AJ42" s="1">
        <v>124542</v>
      </c>
      <c r="AK42" s="1">
        <v>90992.1</v>
      </c>
      <c r="AL42" s="1">
        <v>88042.1</v>
      </c>
      <c r="AM42" s="1">
        <v>79847.8</v>
      </c>
      <c r="AN42" s="1">
        <v>80046.8</v>
      </c>
      <c r="AO42" s="17">
        <f t="shared" si="0"/>
        <v>199</v>
      </c>
      <c r="AP42" s="17">
        <f t="shared" si="1"/>
        <v>-8369.8999999999942</v>
      </c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</row>
    <row r="43" spans="1:73" x14ac:dyDescent="0.35">
      <c r="A43" t="s">
        <v>13</v>
      </c>
      <c r="B43" t="s">
        <v>12</v>
      </c>
      <c r="C43" s="1">
        <v>250000</v>
      </c>
      <c r="D43" s="1">
        <v>250000</v>
      </c>
      <c r="E43" s="1">
        <v>250000</v>
      </c>
      <c r="F43" s="1">
        <v>467000</v>
      </c>
      <c r="G43" s="1">
        <v>467000</v>
      </c>
      <c r="H43" s="1">
        <v>467000</v>
      </c>
      <c r="I43" s="1">
        <v>467000</v>
      </c>
      <c r="J43" s="1">
        <v>467000</v>
      </c>
      <c r="K43" s="1">
        <v>467000</v>
      </c>
      <c r="L43" s="5">
        <v>467000</v>
      </c>
      <c r="M43" s="5">
        <v>467000</v>
      </c>
      <c r="N43" s="5">
        <v>467000</v>
      </c>
      <c r="O43" s="1">
        <v>467000</v>
      </c>
      <c r="P43" s="1">
        <v>467000</v>
      </c>
      <c r="Q43" s="1">
        <v>467000</v>
      </c>
      <c r="R43" s="1">
        <f t="shared" ref="R43:W43" si="46">Q43</f>
        <v>467000</v>
      </c>
      <c r="S43" s="1">
        <f t="shared" si="46"/>
        <v>467000</v>
      </c>
      <c r="T43" s="1">
        <f t="shared" si="46"/>
        <v>467000</v>
      </c>
      <c r="U43" s="1">
        <f t="shared" si="46"/>
        <v>467000</v>
      </c>
      <c r="V43" s="1">
        <f t="shared" si="46"/>
        <v>467000</v>
      </c>
      <c r="W43" s="1">
        <f t="shared" si="46"/>
        <v>467000</v>
      </c>
      <c r="X43" s="1">
        <f t="shared" ref="X43:AC43" si="47">W43</f>
        <v>467000</v>
      </c>
      <c r="Y43" s="1">
        <f t="shared" si="47"/>
        <v>467000</v>
      </c>
      <c r="Z43" s="1">
        <f t="shared" si="47"/>
        <v>467000</v>
      </c>
      <c r="AA43" s="1">
        <f t="shared" si="47"/>
        <v>467000</v>
      </c>
      <c r="AB43" s="1">
        <f t="shared" si="47"/>
        <v>467000</v>
      </c>
      <c r="AC43" s="1">
        <f t="shared" si="47"/>
        <v>467000</v>
      </c>
      <c r="AD43" s="1">
        <f t="shared" ref="AD43:AI43" si="48">AC43</f>
        <v>467000</v>
      </c>
      <c r="AE43" s="1">
        <f t="shared" si="48"/>
        <v>467000</v>
      </c>
      <c r="AF43" s="1">
        <f t="shared" si="48"/>
        <v>467000</v>
      </c>
      <c r="AG43" s="1">
        <f t="shared" si="48"/>
        <v>467000</v>
      </c>
      <c r="AH43" s="1">
        <f t="shared" si="48"/>
        <v>467000</v>
      </c>
      <c r="AI43" s="1">
        <f t="shared" si="48"/>
        <v>467000</v>
      </c>
      <c r="AJ43" s="1">
        <f>AI43</f>
        <v>467000</v>
      </c>
      <c r="AK43" s="1">
        <f>AJ43</f>
        <v>467000</v>
      </c>
      <c r="AL43" s="1">
        <f>AK43</f>
        <v>467000</v>
      </c>
      <c r="AM43" s="1">
        <f>AL43</f>
        <v>467000</v>
      </c>
      <c r="AN43" s="1">
        <f>AM43</f>
        <v>467000</v>
      </c>
      <c r="AO43" s="17">
        <f t="shared" si="0"/>
        <v>0</v>
      </c>
      <c r="AP43" s="17">
        <f t="shared" si="1"/>
        <v>0</v>
      </c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</row>
    <row r="44" spans="1:73" x14ac:dyDescent="0.35">
      <c r="A44" t="s">
        <v>14</v>
      </c>
      <c r="B44" t="s">
        <v>15</v>
      </c>
      <c r="C44" s="1">
        <v>11851.9</v>
      </c>
      <c r="D44" s="1">
        <v>11851.9</v>
      </c>
      <c r="E44" s="1">
        <v>11851.9</v>
      </c>
      <c r="F44" s="1">
        <v>11851.9</v>
      </c>
      <c r="G44" s="1">
        <v>11851.9</v>
      </c>
      <c r="H44" s="1">
        <v>11851.9</v>
      </c>
      <c r="I44" s="1">
        <v>11851.9</v>
      </c>
      <c r="J44" s="1">
        <v>11851.9</v>
      </c>
      <c r="K44" s="1">
        <v>11851.9</v>
      </c>
      <c r="L44" s="5">
        <v>11851.9</v>
      </c>
      <c r="M44" s="5">
        <v>0</v>
      </c>
      <c r="N44" s="5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7">
        <f t="shared" si="0"/>
        <v>0</v>
      </c>
      <c r="AP44" s="17">
        <f t="shared" si="1"/>
        <v>0</v>
      </c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</row>
    <row r="45" spans="1:73" x14ac:dyDescent="0.35">
      <c r="A45" t="s">
        <v>14</v>
      </c>
      <c r="B45" t="s">
        <v>17</v>
      </c>
      <c r="C45" s="1">
        <v>2298.9</v>
      </c>
      <c r="D45" s="1">
        <v>2298.9</v>
      </c>
      <c r="E45" s="1">
        <v>2298.9</v>
      </c>
      <c r="F45" s="1">
        <v>2298.9</v>
      </c>
      <c r="G45" s="1">
        <v>2298.9</v>
      </c>
      <c r="H45" s="1">
        <v>2298.9</v>
      </c>
      <c r="I45" s="1">
        <v>2298.9</v>
      </c>
      <c r="J45" s="1">
        <v>2298.9</v>
      </c>
      <c r="K45" s="1">
        <v>2298.9</v>
      </c>
      <c r="L45" s="5">
        <v>2298.9</v>
      </c>
      <c r="M45" s="5">
        <v>2298.9</v>
      </c>
      <c r="N45" s="5">
        <v>2298.9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7">
        <f t="shared" si="0"/>
        <v>0</v>
      </c>
      <c r="AP45" s="17">
        <f t="shared" si="1"/>
        <v>0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</row>
    <row r="46" spans="1:73" x14ac:dyDescent="0.35">
      <c r="A46" t="s">
        <v>14</v>
      </c>
      <c r="B46" t="s">
        <v>39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34948.1</v>
      </c>
      <c r="K46" s="5">
        <v>34948.1</v>
      </c>
      <c r="L46" s="5">
        <v>34948.1</v>
      </c>
      <c r="M46" s="5">
        <v>34423.9</v>
      </c>
      <c r="N46" s="5">
        <v>97014.5</v>
      </c>
      <c r="O46" s="1">
        <v>167543.5</v>
      </c>
      <c r="P46" s="1">
        <v>185719.7</v>
      </c>
      <c r="Q46" s="1">
        <v>190195.1</v>
      </c>
      <c r="R46" s="1">
        <v>296818.8</v>
      </c>
      <c r="S46" s="1">
        <v>296014</v>
      </c>
      <c r="T46" s="1">
        <v>294994</v>
      </c>
      <c r="U46" s="1">
        <v>292320.8</v>
      </c>
      <c r="V46" s="1">
        <v>291516.09999999998</v>
      </c>
      <c r="W46" s="1">
        <v>290496</v>
      </c>
      <c r="X46" s="1">
        <v>287822.8</v>
      </c>
      <c r="Y46" s="1">
        <v>287018.09999999998</v>
      </c>
      <c r="Z46" s="1">
        <v>285998</v>
      </c>
      <c r="AA46" s="1">
        <v>282911.8</v>
      </c>
      <c r="AB46" s="1">
        <v>282107.09999999998</v>
      </c>
      <c r="AC46" s="1">
        <v>281087</v>
      </c>
      <c r="AD46" s="1">
        <f>278420.3</f>
        <v>278420.3</v>
      </c>
      <c r="AE46" s="1">
        <v>277615.59999999998</v>
      </c>
      <c r="AF46" s="1">
        <v>276595.5</v>
      </c>
      <c r="AG46" s="1">
        <v>273928.8</v>
      </c>
      <c r="AH46" s="1">
        <v>273124.09999999998</v>
      </c>
      <c r="AI46" s="1">
        <v>272104</v>
      </c>
      <c r="AJ46" s="1">
        <v>269437.3</v>
      </c>
      <c r="AK46" s="1">
        <v>268632.59999999998</v>
      </c>
      <c r="AL46" s="1">
        <v>267612.5</v>
      </c>
      <c r="AM46" s="1">
        <v>264945.8</v>
      </c>
      <c r="AN46" s="1">
        <v>264141.09999999998</v>
      </c>
      <c r="AO46" s="17">
        <f t="shared" si="0"/>
        <v>-804.70000000001164</v>
      </c>
      <c r="AP46" s="17">
        <f t="shared" si="1"/>
        <v>-17966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</row>
    <row r="47" spans="1:73" x14ac:dyDescent="0.35">
      <c r="A47" t="s">
        <v>14</v>
      </c>
      <c r="B47" t="s">
        <v>40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60000</v>
      </c>
      <c r="K47" s="5">
        <v>60000</v>
      </c>
      <c r="L47" s="5">
        <v>60000</v>
      </c>
      <c r="M47" s="5">
        <v>60000</v>
      </c>
      <c r="N47" s="5">
        <v>60000</v>
      </c>
      <c r="O47" s="1">
        <v>60000</v>
      </c>
      <c r="P47" s="1">
        <v>60000</v>
      </c>
      <c r="Q47" s="1">
        <v>60000</v>
      </c>
      <c r="R47" s="1">
        <v>60000</v>
      </c>
      <c r="S47" s="1">
        <f t="shared" ref="S47:T50" si="49">R47</f>
        <v>60000</v>
      </c>
      <c r="T47" s="1">
        <f t="shared" si="49"/>
        <v>60000</v>
      </c>
      <c r="U47" s="1">
        <f t="shared" ref="U47:W48" si="50">T47</f>
        <v>60000</v>
      </c>
      <c r="V47" s="1">
        <f t="shared" si="50"/>
        <v>60000</v>
      </c>
      <c r="W47" s="1">
        <f t="shared" si="50"/>
        <v>60000</v>
      </c>
      <c r="X47" s="1">
        <f>W47</f>
        <v>60000</v>
      </c>
      <c r="Y47" s="1">
        <f>X47</f>
        <v>60000</v>
      </c>
      <c r="Z47" s="1">
        <f>Y47</f>
        <v>60000</v>
      </c>
      <c r="AA47" s="1">
        <v>60000</v>
      </c>
      <c r="AB47" s="1">
        <f>AA47</f>
        <v>60000</v>
      </c>
      <c r="AC47" s="1">
        <f>AB47</f>
        <v>60000</v>
      </c>
      <c r="AD47" s="1">
        <f>AC47</f>
        <v>60000</v>
      </c>
      <c r="AE47" s="1">
        <v>60000</v>
      </c>
      <c r="AF47" s="1">
        <f t="shared" ref="AF47:AG50" si="51">AE47</f>
        <v>60000</v>
      </c>
      <c r="AG47" s="1">
        <f t="shared" si="51"/>
        <v>60000</v>
      </c>
      <c r="AH47" s="1">
        <f t="shared" ref="AH47:AM47" si="52">AG47</f>
        <v>60000</v>
      </c>
      <c r="AI47" s="1">
        <f t="shared" si="52"/>
        <v>60000</v>
      </c>
      <c r="AJ47" s="1">
        <f t="shared" si="52"/>
        <v>60000</v>
      </c>
      <c r="AK47" s="1">
        <f t="shared" si="52"/>
        <v>60000</v>
      </c>
      <c r="AL47" s="1">
        <f t="shared" si="52"/>
        <v>60000</v>
      </c>
      <c r="AM47" s="1">
        <f t="shared" si="52"/>
        <v>60000</v>
      </c>
      <c r="AN47" s="1">
        <f>AM47</f>
        <v>60000</v>
      </c>
      <c r="AO47" s="17">
        <f t="shared" si="0"/>
        <v>0</v>
      </c>
      <c r="AP47" s="17">
        <f t="shared" si="1"/>
        <v>0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</row>
    <row r="48" spans="1:73" x14ac:dyDescent="0.35">
      <c r="A48" t="s">
        <v>14</v>
      </c>
      <c r="B48" t="s">
        <v>208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5">
        <v>0</v>
      </c>
      <c r="L48" s="5">
        <v>0</v>
      </c>
      <c r="M48" s="5">
        <v>0</v>
      </c>
      <c r="N48" s="5">
        <v>0</v>
      </c>
      <c r="O48" s="1">
        <v>0</v>
      </c>
      <c r="P48" s="1">
        <v>0</v>
      </c>
      <c r="Q48" s="1">
        <v>0</v>
      </c>
      <c r="R48" s="1">
        <v>11000</v>
      </c>
      <c r="S48" s="1">
        <f t="shared" si="49"/>
        <v>11000</v>
      </c>
      <c r="T48" s="1">
        <f t="shared" si="49"/>
        <v>11000</v>
      </c>
      <c r="U48" s="1">
        <f t="shared" si="50"/>
        <v>11000</v>
      </c>
      <c r="V48" s="1">
        <f t="shared" si="50"/>
        <v>11000</v>
      </c>
      <c r="W48" s="1">
        <f t="shared" si="50"/>
        <v>11000</v>
      </c>
      <c r="X48" s="1">
        <v>16000</v>
      </c>
      <c r="Y48" s="1">
        <f>X48</f>
        <v>16000</v>
      </c>
      <c r="Z48" s="1">
        <f>Y48+12500</f>
        <v>28500</v>
      </c>
      <c r="AA48" s="1">
        <f>Z48</f>
        <v>28500</v>
      </c>
      <c r="AB48" s="1">
        <f>AA48</f>
        <v>28500</v>
      </c>
      <c r="AC48" s="1">
        <f>AB48+21200</f>
        <v>49700</v>
      </c>
      <c r="AD48" s="1">
        <f>AC48</f>
        <v>49700</v>
      </c>
      <c r="AE48" s="1">
        <f>AD48</f>
        <v>49700</v>
      </c>
      <c r="AF48" s="1">
        <f t="shared" si="51"/>
        <v>49700</v>
      </c>
      <c r="AG48" s="1">
        <f t="shared" si="51"/>
        <v>49700</v>
      </c>
      <c r="AH48" s="1">
        <f>AG48</f>
        <v>49700</v>
      </c>
      <c r="AI48" s="1">
        <f>AH48+8700</f>
        <v>58400</v>
      </c>
      <c r="AJ48" s="1">
        <f t="shared" ref="AJ48:AL49" si="53">AI48</f>
        <v>58400</v>
      </c>
      <c r="AK48" s="1">
        <f t="shared" si="53"/>
        <v>58400</v>
      </c>
      <c r="AL48" s="1">
        <f t="shared" si="53"/>
        <v>58400</v>
      </c>
      <c r="AM48" s="1">
        <f>AL48</f>
        <v>58400</v>
      </c>
      <c r="AN48" s="1">
        <f>AM48</f>
        <v>58400</v>
      </c>
      <c r="AO48" s="17">
        <f t="shared" si="0"/>
        <v>0</v>
      </c>
      <c r="AP48" s="17">
        <f t="shared" si="1"/>
        <v>29900</v>
      </c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</row>
    <row r="49" spans="1:73" x14ac:dyDescent="0.35">
      <c r="A49" t="s">
        <v>14</v>
      </c>
      <c r="B49" t="s">
        <v>209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5">
        <v>0</v>
      </c>
      <c r="L49" s="5">
        <v>0</v>
      </c>
      <c r="M49" s="5">
        <v>0</v>
      </c>
      <c r="N49" s="5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3000</v>
      </c>
      <c r="Z49" s="1">
        <f>Y49+2750</f>
        <v>5750</v>
      </c>
      <c r="AA49" s="1">
        <f>Z49+2000</f>
        <v>7750</v>
      </c>
      <c r="AB49" s="1">
        <f>AA49+1250</f>
        <v>9000</v>
      </c>
      <c r="AC49" s="1">
        <f>AB49+1000</f>
        <v>10000</v>
      </c>
      <c r="AD49" s="1">
        <f>AC49</f>
        <v>10000</v>
      </c>
      <c r="AE49" s="1">
        <f>AD49</f>
        <v>10000</v>
      </c>
      <c r="AF49" s="1">
        <f t="shared" si="51"/>
        <v>10000</v>
      </c>
      <c r="AG49" s="1">
        <f t="shared" si="51"/>
        <v>10000</v>
      </c>
      <c r="AH49" s="1">
        <f>AG49</f>
        <v>10000</v>
      </c>
      <c r="AI49" s="1">
        <f>AH49</f>
        <v>10000</v>
      </c>
      <c r="AJ49" s="1">
        <f t="shared" si="53"/>
        <v>10000</v>
      </c>
      <c r="AK49" s="1">
        <f t="shared" si="53"/>
        <v>10000</v>
      </c>
      <c r="AL49" s="1">
        <f t="shared" si="53"/>
        <v>10000</v>
      </c>
      <c r="AM49" s="1">
        <f>AL49</f>
        <v>10000</v>
      </c>
      <c r="AN49" s="1">
        <f>AM49</f>
        <v>10000</v>
      </c>
      <c r="AO49" s="17">
        <f t="shared" si="0"/>
        <v>0</v>
      </c>
      <c r="AP49" s="17">
        <f t="shared" si="1"/>
        <v>1000</v>
      </c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</row>
    <row r="50" spans="1:73" x14ac:dyDescent="0.35">
      <c r="A50" t="s">
        <v>14</v>
      </c>
      <c r="B50" t="s">
        <v>206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5">
        <v>0</v>
      </c>
      <c r="L50" s="5">
        <v>0</v>
      </c>
      <c r="M50" s="5">
        <v>0</v>
      </c>
      <c r="N50" s="5">
        <v>0</v>
      </c>
      <c r="O50" s="1">
        <v>0</v>
      </c>
      <c r="P50" s="1">
        <v>0</v>
      </c>
      <c r="Q50" s="1">
        <v>0</v>
      </c>
      <c r="R50" s="1">
        <v>17952.400000000001</v>
      </c>
      <c r="S50" s="1">
        <f t="shared" si="49"/>
        <v>17952.400000000001</v>
      </c>
      <c r="T50" s="1">
        <f t="shared" si="49"/>
        <v>17952.400000000001</v>
      </c>
      <c r="U50" s="1">
        <v>153989.70000000001</v>
      </c>
      <c r="V50" s="1">
        <f>U50</f>
        <v>153989.70000000001</v>
      </c>
      <c r="W50" s="1">
        <f>V50</f>
        <v>153989.70000000001</v>
      </c>
      <c r="X50" s="1">
        <f>247324.7</f>
        <v>247324.7</v>
      </c>
      <c r="Y50" s="1">
        <f>X50</f>
        <v>247324.7</v>
      </c>
      <c r="Z50" s="1">
        <f>Y50</f>
        <v>247324.7</v>
      </c>
      <c r="AA50" s="1">
        <f>Z50</f>
        <v>247324.7</v>
      </c>
      <c r="AB50" s="1">
        <f>AA50</f>
        <v>247324.7</v>
      </c>
      <c r="AC50" s="1">
        <f>AB50</f>
        <v>247324.7</v>
      </c>
      <c r="AD50" s="1">
        <f>AC50+111093.5</f>
        <v>358418.2</v>
      </c>
      <c r="AE50" s="1">
        <f>AD50</f>
        <v>358418.2</v>
      </c>
      <c r="AF50" s="1">
        <f t="shared" si="51"/>
        <v>358418.2</v>
      </c>
      <c r="AG50" s="1">
        <f t="shared" si="51"/>
        <v>358418.2</v>
      </c>
      <c r="AH50" s="1">
        <f>AG50</f>
        <v>358418.2</v>
      </c>
      <c r="AI50" s="1">
        <f>AH50</f>
        <v>358418.2</v>
      </c>
      <c r="AJ50" s="1">
        <f>AI50+11791.7</f>
        <v>370209.9</v>
      </c>
      <c r="AK50" s="1">
        <f>AJ50</f>
        <v>370209.9</v>
      </c>
      <c r="AL50" s="1">
        <f>AK50</f>
        <v>370209.9</v>
      </c>
      <c r="AM50" s="1">
        <f>AL50</f>
        <v>370209.9</v>
      </c>
      <c r="AN50" s="1">
        <f>AM50</f>
        <v>370209.9</v>
      </c>
      <c r="AO50" s="17">
        <f t="shared" si="0"/>
        <v>0</v>
      </c>
      <c r="AP50" s="17">
        <f t="shared" si="1"/>
        <v>122885.20000000001</v>
      </c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</row>
    <row r="51" spans="1:73" s="3" customFormat="1" x14ac:dyDescent="0.35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7">
        <f t="shared" si="0"/>
        <v>0</v>
      </c>
      <c r="AP51" s="17">
        <f t="shared" si="1"/>
        <v>0</v>
      </c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</row>
    <row r="52" spans="1:73" x14ac:dyDescent="0.35">
      <c r="A52" t="s">
        <v>41</v>
      </c>
      <c r="B52" t="s">
        <v>18</v>
      </c>
      <c r="C52" s="1">
        <v>10792185.6</v>
      </c>
      <c r="D52" s="1">
        <v>11374082</v>
      </c>
      <c r="E52" s="1">
        <v>11389507.9</v>
      </c>
      <c r="F52" s="1">
        <v>10434580.800000001</v>
      </c>
      <c r="G52" s="1">
        <v>10807595</v>
      </c>
      <c r="H52" s="1">
        <v>11106403.6</v>
      </c>
      <c r="I52" s="1">
        <v>11906061.4</v>
      </c>
      <c r="J52" s="1">
        <v>12475588.300000001</v>
      </c>
      <c r="K52" s="1">
        <v>12353145.800000001</v>
      </c>
      <c r="L52" s="5">
        <v>12670270.1</v>
      </c>
      <c r="M52" s="5">
        <v>13313450.5</v>
      </c>
      <c r="N52" s="5">
        <v>13703597.699999999</v>
      </c>
      <c r="O52" s="1">
        <v>13648337.699999999</v>
      </c>
      <c r="P52" s="1">
        <v>13541231.5</v>
      </c>
      <c r="Q52" s="1">
        <v>13432971.800000001</v>
      </c>
      <c r="R52" s="1">
        <v>11965074.699999999</v>
      </c>
      <c r="S52" s="1">
        <v>11922371.199999999</v>
      </c>
      <c r="T52" s="1">
        <v>12258661.199999999</v>
      </c>
      <c r="U52" s="1">
        <v>12534406.300000001</v>
      </c>
      <c r="V52" s="1">
        <v>12750839.4</v>
      </c>
      <c r="W52" s="1">
        <v>12703814.5</v>
      </c>
      <c r="X52" s="1">
        <v>12601672.4</v>
      </c>
      <c r="Y52" s="1">
        <v>12277510.9</v>
      </c>
      <c r="Z52" s="1">
        <v>12165767</v>
      </c>
      <c r="AA52" s="1">
        <v>12787132.6</v>
      </c>
      <c r="AB52" s="1">
        <v>12726198.800000001</v>
      </c>
      <c r="AC52" s="1">
        <v>13096719.1</v>
      </c>
      <c r="AD52" s="1">
        <v>11879972.699999999</v>
      </c>
      <c r="AE52" s="1">
        <v>11965801.9</v>
      </c>
      <c r="AF52" s="1">
        <v>11880606.5</v>
      </c>
      <c r="AG52" s="1">
        <v>11750725.5</v>
      </c>
      <c r="AH52" s="1">
        <v>11791774.4</v>
      </c>
      <c r="AI52" s="1">
        <v>11696343.9</v>
      </c>
      <c r="AJ52" s="1">
        <v>13090578.9</v>
      </c>
      <c r="AK52" s="1">
        <v>13080455.4</v>
      </c>
      <c r="AL52" s="1">
        <v>13142340.5</v>
      </c>
      <c r="AM52" s="1">
        <v>13162797.300000001</v>
      </c>
      <c r="AN52" s="1">
        <v>13201461.1</v>
      </c>
      <c r="AO52" s="17">
        <f t="shared" si="0"/>
        <v>38663.799999998882</v>
      </c>
      <c r="AP52" s="17">
        <f t="shared" si="1"/>
        <v>475262.29999999888</v>
      </c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</row>
    <row r="53" spans="1:73" x14ac:dyDescent="0.35">
      <c r="A53" t="s">
        <v>41</v>
      </c>
      <c r="B53" t="s">
        <v>20</v>
      </c>
      <c r="C53" s="1">
        <v>187974.6</v>
      </c>
      <c r="D53" s="1">
        <v>184841.3</v>
      </c>
      <c r="E53" s="1">
        <v>186486.39999999999</v>
      </c>
      <c r="F53" s="1">
        <v>148350.20000000001</v>
      </c>
      <c r="G53" s="1">
        <v>155297.79999999999</v>
      </c>
      <c r="H53" s="1">
        <v>147236.70000000001</v>
      </c>
      <c r="I53" s="1">
        <v>154451.1</v>
      </c>
      <c r="J53" s="1">
        <v>154958.29999999999</v>
      </c>
      <c r="K53" s="1">
        <v>153099.20000000001</v>
      </c>
      <c r="L53" s="5">
        <v>145578.20000000001</v>
      </c>
      <c r="M53" s="5">
        <v>146336.5</v>
      </c>
      <c r="N53" s="5">
        <v>142852.5</v>
      </c>
      <c r="O53" s="1">
        <v>140105.5</v>
      </c>
      <c r="P53" s="1">
        <v>145224.4</v>
      </c>
      <c r="Q53" s="1">
        <v>151129.1</v>
      </c>
      <c r="R53" s="1">
        <v>133407.29999999999</v>
      </c>
      <c r="S53" s="1">
        <v>133526.1</v>
      </c>
      <c r="T53" s="1">
        <v>133436</v>
      </c>
      <c r="U53" s="1">
        <v>135703.70000000001</v>
      </c>
      <c r="V53" s="1">
        <v>138929.70000000001</v>
      </c>
      <c r="W53" s="1">
        <v>141488.5</v>
      </c>
      <c r="X53" s="1">
        <v>146961.70000000001</v>
      </c>
      <c r="Y53" s="1">
        <v>142216</v>
      </c>
      <c r="Z53" s="1">
        <v>133415.9</v>
      </c>
      <c r="AA53" s="1">
        <v>137922.29999999999</v>
      </c>
      <c r="AB53" s="1">
        <v>131126.29999999999</v>
      </c>
      <c r="AC53" s="1">
        <v>121557.5</v>
      </c>
      <c r="AD53" s="1">
        <v>116837.2</v>
      </c>
      <c r="AE53" s="1">
        <v>122092.3</v>
      </c>
      <c r="AF53" s="1">
        <v>135473.79999999999</v>
      </c>
      <c r="AG53" s="1">
        <v>140422.39999999999</v>
      </c>
      <c r="AH53" s="1">
        <v>144575.1</v>
      </c>
      <c r="AI53" s="1">
        <v>148776.1</v>
      </c>
      <c r="AJ53" s="1">
        <v>166825.9</v>
      </c>
      <c r="AK53" s="1">
        <v>159840</v>
      </c>
      <c r="AL53" s="1">
        <v>163601.1</v>
      </c>
      <c r="AM53" s="1">
        <v>158841.29999999999</v>
      </c>
      <c r="AN53" s="1">
        <v>163985.79999999999</v>
      </c>
      <c r="AO53" s="17">
        <f t="shared" si="0"/>
        <v>5144.5</v>
      </c>
      <c r="AP53" s="17">
        <f t="shared" si="1"/>
        <v>32859.5</v>
      </c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</row>
    <row r="54" spans="1:73" x14ac:dyDescent="0.35">
      <c r="A54" t="s">
        <v>43</v>
      </c>
      <c r="B54" t="s">
        <v>19</v>
      </c>
      <c r="C54" s="2">
        <v>8.1000000000000003E-2</v>
      </c>
      <c r="D54" s="2">
        <v>8.5000000000000006E-2</v>
      </c>
      <c r="E54" s="2">
        <v>8.5000000000000006E-2</v>
      </c>
      <c r="F54" s="2">
        <v>7.8E-2</v>
      </c>
      <c r="G54" s="2">
        <v>7.1999999999999995E-2</v>
      </c>
      <c r="H54" s="2">
        <v>7.3999999999999996E-2</v>
      </c>
      <c r="I54" s="2">
        <v>7.9000000000000001E-2</v>
      </c>
      <c r="J54" s="2">
        <v>8.3000000000000004E-2</v>
      </c>
      <c r="K54" s="2">
        <v>8.2000000000000003E-2</v>
      </c>
      <c r="L54" s="8">
        <v>8.4000000000000005E-2</v>
      </c>
      <c r="M54" s="8">
        <v>8.8999999999999996E-2</v>
      </c>
      <c r="N54" s="8">
        <v>9.0999999999999998E-2</v>
      </c>
      <c r="O54" s="2">
        <v>9.0999999999999998E-2</v>
      </c>
      <c r="P54" s="2">
        <v>0.09</v>
      </c>
      <c r="Q54" s="2">
        <v>0.09</v>
      </c>
      <c r="R54" s="2">
        <v>0.08</v>
      </c>
      <c r="S54" s="2">
        <v>6.6000000000000003E-2</v>
      </c>
      <c r="T54" s="2">
        <v>6.8000000000000005E-2</v>
      </c>
      <c r="U54" s="2">
        <v>7.0000000000000007E-2</v>
      </c>
      <c r="V54" s="2">
        <v>7.0999999999999994E-2</v>
      </c>
      <c r="W54" s="2">
        <v>7.0999999999999994E-2</v>
      </c>
      <c r="X54" s="2">
        <v>7.0000000000000007E-2</v>
      </c>
      <c r="Y54" s="2">
        <v>6.4000000000000001E-2</v>
      </c>
      <c r="Z54" s="2">
        <v>6.4000000000000001E-2</v>
      </c>
      <c r="AA54" s="2">
        <v>6.7000000000000004E-2</v>
      </c>
      <c r="AB54" s="2">
        <v>6.6000000000000003E-2</v>
      </c>
      <c r="AC54" s="2">
        <v>6.8000000000000005E-2</v>
      </c>
      <c r="AD54" s="2">
        <v>6.2E-2</v>
      </c>
      <c r="AE54" s="2">
        <v>5.6000000000000001E-2</v>
      </c>
      <c r="AF54" s="2">
        <v>5.5E-2</v>
      </c>
      <c r="AG54" s="2">
        <v>5.5E-2</v>
      </c>
      <c r="AH54" s="2">
        <v>5.5E-2</v>
      </c>
      <c r="AI54" s="2">
        <v>5.5E-2</v>
      </c>
      <c r="AJ54" s="2">
        <v>5.8999999999999997E-2</v>
      </c>
      <c r="AK54" s="2">
        <v>5.8999999999999997E-2</v>
      </c>
      <c r="AL54" s="2">
        <v>5.8999999999999997E-2</v>
      </c>
      <c r="AM54" s="2">
        <v>5.8999999999999997E-2</v>
      </c>
      <c r="AN54" s="2">
        <v>0.06</v>
      </c>
      <c r="AO54" s="17">
        <f t="shared" si="0"/>
        <v>1.0000000000000009E-3</v>
      </c>
      <c r="AP54" s="17">
        <f t="shared" si="1"/>
        <v>-6.0000000000000053E-3</v>
      </c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s="3" customFormat="1" x14ac:dyDescent="0.35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7">
        <f t="shared" si="0"/>
        <v>0</v>
      </c>
      <c r="AP55" s="17">
        <f t="shared" si="1"/>
        <v>0</v>
      </c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</row>
    <row r="56" spans="1:73" x14ac:dyDescent="0.35">
      <c r="A56" t="s">
        <v>21</v>
      </c>
      <c r="B56" t="s">
        <v>22</v>
      </c>
      <c r="C56" s="1">
        <v>7524361.2999999998</v>
      </c>
      <c r="D56" s="1">
        <v>7872548.2999999998</v>
      </c>
      <c r="E56" s="1">
        <v>7601763</v>
      </c>
      <c r="F56" s="1">
        <v>6132655.2000000002</v>
      </c>
      <c r="G56" s="1">
        <v>6334590.5999999996</v>
      </c>
      <c r="H56" s="1">
        <v>6446231</v>
      </c>
      <c r="I56" s="1">
        <v>6712063.4000000004</v>
      </c>
      <c r="J56" s="1">
        <v>6828671.4000000004</v>
      </c>
      <c r="K56" s="1">
        <v>6643004.4000000004</v>
      </c>
      <c r="L56" s="5">
        <v>6811125</v>
      </c>
      <c r="M56" s="5">
        <v>7183391.5</v>
      </c>
      <c r="N56" s="5">
        <v>7251634.9000000004</v>
      </c>
      <c r="O56" s="1">
        <v>7140176.0999999996</v>
      </c>
      <c r="P56" s="1">
        <v>6938308.7999999998</v>
      </c>
      <c r="Q56" s="1">
        <v>6746505.0999999996</v>
      </c>
      <c r="R56" s="1">
        <v>5011778</v>
      </c>
      <c r="S56" s="1">
        <v>4907126.4000000004</v>
      </c>
      <c r="T56" s="1">
        <v>5044614.2</v>
      </c>
      <c r="U56" s="1">
        <v>5087766.7</v>
      </c>
      <c r="V56" s="1">
        <v>5172247.3</v>
      </c>
      <c r="W56" s="1">
        <v>5046039</v>
      </c>
      <c r="X56" s="1">
        <v>4603329.0999999996</v>
      </c>
      <c r="Y56" s="1">
        <v>4665093</v>
      </c>
      <c r="Z56" s="1">
        <v>4854458.2</v>
      </c>
      <c r="AA56" s="1">
        <v>5255172.0999999996</v>
      </c>
      <c r="AB56" s="1">
        <v>5447193.4000000004</v>
      </c>
      <c r="AC56" s="1">
        <v>5792014.7999999998</v>
      </c>
      <c r="AD56" s="1">
        <v>3809866.8</v>
      </c>
      <c r="AE56" s="1">
        <v>3751160.1</v>
      </c>
      <c r="AF56" s="1">
        <v>3393844.7</v>
      </c>
      <c r="AG56" s="1">
        <v>3268903.8</v>
      </c>
      <c r="AH56" s="1">
        <v>3296830.6</v>
      </c>
      <c r="AI56" s="1">
        <v>2843025</v>
      </c>
      <c r="AJ56" s="1">
        <v>4127953.1</v>
      </c>
      <c r="AK56" s="1">
        <v>3952913.1</v>
      </c>
      <c r="AL56" s="1">
        <v>3927556.8</v>
      </c>
      <c r="AM56" s="1">
        <v>4164859</v>
      </c>
      <c r="AN56" s="1">
        <v>4157548</v>
      </c>
      <c r="AO56" s="17">
        <f t="shared" si="0"/>
        <v>-7311</v>
      </c>
      <c r="AP56" s="17">
        <f t="shared" si="1"/>
        <v>-1289645.4000000004</v>
      </c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</row>
    <row r="57" spans="1:73" x14ac:dyDescent="0.35">
      <c r="A57" t="s">
        <v>21</v>
      </c>
      <c r="B57" t="s">
        <v>23</v>
      </c>
      <c r="C57" s="1">
        <v>131056.8</v>
      </c>
      <c r="D57" s="1">
        <v>127937.60000000001</v>
      </c>
      <c r="E57" s="1">
        <v>124467.7</v>
      </c>
      <c r="F57" s="1">
        <v>87189</v>
      </c>
      <c r="G57" s="1">
        <v>91023.8</v>
      </c>
      <c r="H57" s="1">
        <v>85457.2</v>
      </c>
      <c r="I57" s="1">
        <v>87072.1</v>
      </c>
      <c r="J57" s="1">
        <v>84818.4</v>
      </c>
      <c r="K57" s="1">
        <v>82330.3</v>
      </c>
      <c r="L57" s="5">
        <v>78258.100000000006</v>
      </c>
      <c r="M57" s="5">
        <v>78957.2</v>
      </c>
      <c r="N57" s="5">
        <v>75594.3</v>
      </c>
      <c r="O57" s="1">
        <v>73296.7</v>
      </c>
      <c r="P57" s="1">
        <v>74410.600000000006</v>
      </c>
      <c r="Q57" s="1">
        <v>75905.3</v>
      </c>
      <c r="R57" s="1">
        <v>55880</v>
      </c>
      <c r="S57" s="1">
        <v>54958</v>
      </c>
      <c r="T57" s="1">
        <v>54910.8</v>
      </c>
      <c r="U57" s="1">
        <v>55082.7</v>
      </c>
      <c r="V57" s="1">
        <v>56355.4</v>
      </c>
      <c r="W57" s="1">
        <v>56200.2</v>
      </c>
      <c r="X57" s="1">
        <v>53684.4</v>
      </c>
      <c r="Y57" s="1">
        <v>54037.9</v>
      </c>
      <c r="Z57" s="1">
        <v>53236.4</v>
      </c>
      <c r="AA57" s="1">
        <v>56682.400000000001</v>
      </c>
      <c r="AB57" s="1">
        <v>56126</v>
      </c>
      <c r="AC57" s="1">
        <v>53758.7</v>
      </c>
      <c r="AD57" s="1">
        <v>37469.300000000003</v>
      </c>
      <c r="AE57" s="1">
        <v>38274.699999999997</v>
      </c>
      <c r="AF57" s="1">
        <v>38699.800000000003</v>
      </c>
      <c r="AG57" s="1">
        <v>39063.699999999997</v>
      </c>
      <c r="AH57" s="1">
        <v>40421.4</v>
      </c>
      <c r="AI57" s="1">
        <v>36162.9</v>
      </c>
      <c r="AJ57" s="1">
        <v>52606.5</v>
      </c>
      <c r="AK57" s="1">
        <v>48303.6</v>
      </c>
      <c r="AL57" s="1">
        <v>48891.8</v>
      </c>
      <c r="AM57" s="1">
        <v>50259.199999999997</v>
      </c>
      <c r="AN57" s="1">
        <v>51644.2</v>
      </c>
      <c r="AO57" s="17">
        <f t="shared" si="0"/>
        <v>1385</v>
      </c>
      <c r="AP57" s="17">
        <f t="shared" si="1"/>
        <v>-4481.8000000000029</v>
      </c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</row>
    <row r="58" spans="1:73" x14ac:dyDescent="0.35">
      <c r="A58" t="s">
        <v>42</v>
      </c>
      <c r="B58" t="s">
        <v>19</v>
      </c>
      <c r="C58" s="2">
        <v>5.6000000000000001E-2</v>
      </c>
      <c r="D58" s="2">
        <v>5.8999999999999997E-2</v>
      </c>
      <c r="E58" s="2">
        <v>5.7000000000000002E-2</v>
      </c>
      <c r="F58" s="2">
        <v>4.5999999999999999E-2</v>
      </c>
      <c r="G58" s="2">
        <v>4.2000000000000003E-2</v>
      </c>
      <c r="H58" s="2">
        <v>4.2999999999999997E-2</v>
      </c>
      <c r="I58" s="2">
        <v>4.4999999999999998E-2</v>
      </c>
      <c r="J58" s="2">
        <v>4.5999999999999999E-2</v>
      </c>
      <c r="K58" s="2">
        <v>4.3999999999999997E-2</v>
      </c>
      <c r="L58" s="8">
        <v>4.4999999999999998E-2</v>
      </c>
      <c r="M58" s="8">
        <v>4.8000000000000001E-2</v>
      </c>
      <c r="N58" s="8">
        <v>4.8000000000000001E-2</v>
      </c>
      <c r="O58" s="2">
        <v>4.8000000000000001E-2</v>
      </c>
      <c r="P58" s="2">
        <v>4.5999999999999999E-2</v>
      </c>
      <c r="Q58" s="2">
        <v>4.4999999999999998E-2</v>
      </c>
      <c r="R58" s="2">
        <v>3.3000000000000002E-2</v>
      </c>
      <c r="S58" s="2">
        <v>2.7E-2</v>
      </c>
      <c r="T58" s="2">
        <v>2.8000000000000001E-2</v>
      </c>
      <c r="U58" s="2">
        <v>2.8000000000000001E-2</v>
      </c>
      <c r="V58" s="2">
        <v>2.9000000000000001E-2</v>
      </c>
      <c r="W58" s="2">
        <v>2.8000000000000001E-2</v>
      </c>
      <c r="X58" s="2">
        <v>2.5999999999999999E-2</v>
      </c>
      <c r="Y58" s="2">
        <v>2.4E-2</v>
      </c>
      <c r="Z58" s="2">
        <v>2.5000000000000001E-2</v>
      </c>
      <c r="AA58" s="2">
        <v>2.5000000000000001E-2</v>
      </c>
      <c r="AB58" s="2">
        <v>2.8000000000000001E-2</v>
      </c>
      <c r="AC58" s="2">
        <v>0.03</v>
      </c>
      <c r="AD58" s="2">
        <v>0.02</v>
      </c>
      <c r="AE58" s="2">
        <v>1.7000000000000001E-2</v>
      </c>
      <c r="AF58" s="2">
        <v>1.6E-2</v>
      </c>
      <c r="AG58" s="2">
        <v>1.4999999999999999E-2</v>
      </c>
      <c r="AH58" s="2">
        <v>1.4999999999999999E-2</v>
      </c>
      <c r="AI58" s="2">
        <v>1.2999999999999999E-2</v>
      </c>
      <c r="AJ58" s="2">
        <v>1.9E-2</v>
      </c>
      <c r="AK58" s="2">
        <v>1.7999999999999999E-2</v>
      </c>
      <c r="AL58" s="2">
        <f>AK58</f>
        <v>1.7999999999999999E-2</v>
      </c>
      <c r="AM58" s="2">
        <v>1.9E-2</v>
      </c>
      <c r="AN58" s="2">
        <v>1.9E-2</v>
      </c>
      <c r="AO58" s="17">
        <f t="shared" si="0"/>
        <v>0</v>
      </c>
      <c r="AP58" s="17">
        <f t="shared" si="1"/>
        <v>-9.0000000000000011E-3</v>
      </c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35">
      <c r="A59" t="s">
        <v>44</v>
      </c>
      <c r="B59" t="s">
        <v>45</v>
      </c>
      <c r="C59" s="2">
        <f>C57/C53</f>
        <v>0.6972048351213409</v>
      </c>
      <c r="D59" s="2">
        <f>D57/D53</f>
        <v>0.69214834563487715</v>
      </c>
      <c r="E59" s="2">
        <f>E57/E53</f>
        <v>0.66743580228906774</v>
      </c>
      <c r="F59" s="2">
        <f>F57/F53</f>
        <v>0.58772418237386936</v>
      </c>
      <c r="G59" s="2">
        <f>G57/G53</f>
        <v>0.58612420781234509</v>
      </c>
      <c r="H59" s="2">
        <f t="shared" ref="H59:P59" si="54">H57/H53</f>
        <v>0.58040692300221342</v>
      </c>
      <c r="I59" s="2">
        <f t="shared" si="54"/>
        <v>0.56375189299396378</v>
      </c>
      <c r="J59" s="2">
        <f t="shared" si="54"/>
        <v>0.54736274210545677</v>
      </c>
      <c r="K59" s="2">
        <f t="shared" si="54"/>
        <v>0.53775787202023262</v>
      </c>
      <c r="L59" s="2">
        <f t="shared" si="54"/>
        <v>0.53756743798178575</v>
      </c>
      <c r="M59" s="2">
        <f t="shared" si="54"/>
        <v>0.53955916671507109</v>
      </c>
      <c r="N59" s="2">
        <f t="shared" si="54"/>
        <v>0.52917729826219351</v>
      </c>
      <c r="O59" s="2">
        <f>O57/O53</f>
        <v>0.5231536235194193</v>
      </c>
      <c r="P59" s="2">
        <f t="shared" si="54"/>
        <v>0.512383593941514</v>
      </c>
      <c r="Q59" s="2">
        <f t="shared" ref="Q59:AB59" si="55">Q57/Q53</f>
        <v>0.5022546948271378</v>
      </c>
      <c r="R59" s="2">
        <f t="shared" si="55"/>
        <v>0.41886763318049314</v>
      </c>
      <c r="S59" s="2">
        <f t="shared" si="55"/>
        <v>0.41158994383869518</v>
      </c>
      <c r="T59" s="2">
        <f t="shared" si="55"/>
        <v>0.41151413411673016</v>
      </c>
      <c r="U59" s="2">
        <f t="shared" si="55"/>
        <v>0.40590418684236312</v>
      </c>
      <c r="V59" s="2">
        <f t="shared" si="55"/>
        <v>0.40563968683442053</v>
      </c>
      <c r="W59" s="2">
        <f t="shared" si="55"/>
        <v>0.39720684013188351</v>
      </c>
      <c r="X59" s="2">
        <f t="shared" si="55"/>
        <v>0.36529517554573743</v>
      </c>
      <c r="Y59" s="2">
        <f t="shared" si="55"/>
        <v>0.37997060808910393</v>
      </c>
      <c r="Z59" s="2">
        <f t="shared" si="55"/>
        <v>0.39902590320943759</v>
      </c>
      <c r="AA59" s="2">
        <f t="shared" si="55"/>
        <v>0.41097342489213134</v>
      </c>
      <c r="AB59" s="2">
        <f t="shared" si="55"/>
        <v>0.42803007482099326</v>
      </c>
      <c r="AC59" s="2">
        <f t="shared" ref="AC59:AN59" si="56">AC57/AC53</f>
        <v>0.4422491413528577</v>
      </c>
      <c r="AD59" s="2">
        <f t="shared" si="56"/>
        <v>0.32069666167967054</v>
      </c>
      <c r="AE59" s="2">
        <f t="shared" si="56"/>
        <v>0.31348987610193269</v>
      </c>
      <c r="AF59" s="2">
        <f t="shared" si="56"/>
        <v>0.28566261520677805</v>
      </c>
      <c r="AG59" s="2">
        <f t="shared" si="56"/>
        <v>0.27818709835467842</v>
      </c>
      <c r="AH59" s="2">
        <f t="shared" si="56"/>
        <v>0.27958756383360622</v>
      </c>
      <c r="AI59" s="2">
        <f t="shared" si="56"/>
        <v>0.24306928330558469</v>
      </c>
      <c r="AJ59" s="2">
        <f t="shared" si="56"/>
        <v>0.31533772633625834</v>
      </c>
      <c r="AK59" s="2">
        <f t="shared" si="56"/>
        <v>0.30219969969969968</v>
      </c>
      <c r="AL59" s="2">
        <f t="shared" si="56"/>
        <v>0.2988476238851695</v>
      </c>
      <c r="AM59" s="2">
        <f t="shared" si="56"/>
        <v>0.3164114118935063</v>
      </c>
      <c r="AN59" s="2">
        <f t="shared" si="56"/>
        <v>0.31493092694611363</v>
      </c>
      <c r="AO59" s="17">
        <f t="shared" si="0"/>
        <v>-1.4804849473926684E-3</v>
      </c>
      <c r="AP59" s="17">
        <f t="shared" si="1"/>
        <v>-0.11309914787487962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</row>
    <row r="60" spans="1:73" x14ac:dyDescent="0.35">
      <c r="C60" s="1"/>
      <c r="D60" s="1"/>
      <c r="E60" s="1"/>
      <c r="F60" s="1"/>
      <c r="G60" s="1"/>
      <c r="H60" s="1"/>
      <c r="I60" s="1"/>
      <c r="J60" s="1"/>
      <c r="K60" s="1"/>
      <c r="L60" s="5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</row>
    <row r="61" spans="1:73" x14ac:dyDescent="0.35">
      <c r="C61" s="1"/>
      <c r="D61" s="1"/>
      <c r="E61" s="1"/>
      <c r="F61" s="1"/>
      <c r="G61" s="1"/>
      <c r="H61" s="1"/>
      <c r="I61" s="1"/>
      <c r="J61" s="1"/>
      <c r="K61" s="1"/>
      <c r="L61" s="5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</row>
    <row r="62" spans="1:73" x14ac:dyDescent="0.35">
      <c r="A62" t="s">
        <v>117</v>
      </c>
      <c r="C62" s="1"/>
      <c r="D62" s="1"/>
      <c r="E62" s="1"/>
      <c r="F62" s="1"/>
      <c r="G62" s="1"/>
      <c r="H62" s="1"/>
      <c r="I62" s="1"/>
      <c r="J62" s="1"/>
      <c r="K62" s="1"/>
      <c r="L62" s="5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</row>
    <row r="63" spans="1:73" x14ac:dyDescent="0.35">
      <c r="A63" t="s">
        <v>119</v>
      </c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</row>
    <row r="64" spans="1:73" x14ac:dyDescent="0.35">
      <c r="A64" t="s">
        <v>218</v>
      </c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</row>
    <row r="65" spans="1:73" x14ac:dyDescent="0.35">
      <c r="A65" t="s">
        <v>240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</row>
    <row r="66" spans="1:73" x14ac:dyDescent="0.35"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</row>
    <row r="67" spans="1:73" x14ac:dyDescent="0.35"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</row>
    <row r="68" spans="1:73" x14ac:dyDescent="0.35"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</row>
    <row r="69" spans="1:73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</row>
    <row r="70" spans="1:73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</row>
    <row r="71" spans="1:73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</row>
    <row r="72" spans="1:73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</row>
    <row r="73" spans="1:73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</row>
    <row r="74" spans="1:73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</row>
    <row r="75" spans="1:73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</row>
    <row r="76" spans="1:73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</row>
    <row r="77" spans="1:73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</row>
    <row r="78" spans="1:73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</row>
    <row r="79" spans="1:73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</row>
    <row r="80" spans="1:73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</row>
    <row r="81" spans="3:73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</row>
    <row r="82" spans="3:73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</row>
    <row r="83" spans="3:73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</row>
    <row r="84" spans="3:73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</row>
    <row r="85" spans="3:73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</row>
    <row r="86" spans="3:73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0"/>
  <sheetViews>
    <sheetView workbookViewId="0">
      <pane xSplit="1" ySplit="1" topLeftCell="AF5" activePane="bottomRight" state="frozen"/>
      <selection pane="topRight" activeCell="B1" sqref="B1"/>
      <selection pane="bottomLeft" activeCell="A2" sqref="A2"/>
      <selection pane="bottomRight" activeCell="AM20" sqref="AM20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39" width="9.90625" bestFit="1" customWidth="1"/>
  </cols>
  <sheetData>
    <row r="1" spans="1:39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231</v>
      </c>
      <c r="AF1" t="s">
        <v>236</v>
      </c>
      <c r="AG1" t="s">
        <v>237</v>
      </c>
      <c r="AH1" t="s">
        <v>241</v>
      </c>
      <c r="AI1" t="s">
        <v>246</v>
      </c>
      <c r="AJ1" t="s">
        <v>247</v>
      </c>
      <c r="AK1" t="s">
        <v>249</v>
      </c>
      <c r="AL1" t="s">
        <v>428</v>
      </c>
      <c r="AM1" t="s">
        <v>431</v>
      </c>
    </row>
    <row r="2" spans="1:39" x14ac:dyDescent="0.35">
      <c r="A2" t="s">
        <v>129</v>
      </c>
      <c r="B2" s="12">
        <f>Main_!C52</f>
        <v>10792185.6</v>
      </c>
      <c r="C2" s="12">
        <f>Main_!D52</f>
        <v>11374082</v>
      </c>
      <c r="D2" s="12">
        <f>Main_!E52</f>
        <v>11389507.9</v>
      </c>
      <c r="E2" s="12">
        <f>Main_!F52</f>
        <v>10434580.800000001</v>
      </c>
      <c r="F2" s="12">
        <f>Main_!G52</f>
        <v>10807595</v>
      </c>
      <c r="G2" s="12">
        <f>Main_!H52</f>
        <v>11106403.6</v>
      </c>
      <c r="H2" s="12">
        <f>Main_!I52</f>
        <v>11906061.4</v>
      </c>
      <c r="I2" s="12">
        <f>Main_!J52</f>
        <v>12475588.300000001</v>
      </c>
      <c r="J2" s="12">
        <f>Main_!K52</f>
        <v>12353145.800000001</v>
      </c>
      <c r="K2" s="12">
        <f>Main_!L52</f>
        <v>12670270.1</v>
      </c>
      <c r="L2" s="12">
        <f>Main_!M52</f>
        <v>13313450.5</v>
      </c>
      <c r="M2" s="12">
        <f>Main_!N52</f>
        <v>13703597.699999999</v>
      </c>
      <c r="N2" s="12">
        <f>Main_!O52</f>
        <v>13648337.699999999</v>
      </c>
      <c r="O2" s="12">
        <f>Main_!P52</f>
        <v>13541231.5</v>
      </c>
      <c r="P2" s="12">
        <f>Main_!Q52</f>
        <v>13432971.800000001</v>
      </c>
      <c r="Q2" s="12">
        <f>Main_!R52</f>
        <v>11965074.699999999</v>
      </c>
      <c r="R2" s="12">
        <f>Main_!S52</f>
        <v>11922371.199999999</v>
      </c>
      <c r="S2" s="12">
        <f>Main_!T52</f>
        <v>12258661.199999999</v>
      </c>
      <c r="T2" s="12">
        <f>Main_!U52</f>
        <v>12534406.300000001</v>
      </c>
      <c r="U2" s="12">
        <f>Main_!V52</f>
        <v>12750839.4</v>
      </c>
      <c r="V2" s="12">
        <f>Main_!W52</f>
        <v>12703814.5</v>
      </c>
      <c r="W2" s="12">
        <f>Main_!X52</f>
        <v>12601672.4</v>
      </c>
      <c r="X2" s="12">
        <f>Main_!Y52</f>
        <v>12277510.9</v>
      </c>
      <c r="Y2" s="12">
        <f>Main_!Z52</f>
        <v>12165767</v>
      </c>
      <c r="Z2" s="12">
        <f>Main_!AA52</f>
        <v>12787132.6</v>
      </c>
      <c r="AA2" s="12">
        <f>Main_!AB52</f>
        <v>12726198.800000001</v>
      </c>
      <c r="AB2" s="12">
        <f>Main_!AC52</f>
        <v>13096719.1</v>
      </c>
      <c r="AC2" s="12">
        <f>Main_!AD52</f>
        <v>11879972.699999999</v>
      </c>
      <c r="AD2" s="12">
        <f>Main_!AE52</f>
        <v>11965801.9</v>
      </c>
      <c r="AE2" s="12">
        <f>Main_!AF52</f>
        <v>11880606.5</v>
      </c>
      <c r="AF2" s="12">
        <f>Main_!AG52</f>
        <v>11750725.5</v>
      </c>
      <c r="AG2" s="12">
        <f>Main_!AH52</f>
        <v>11791774.4</v>
      </c>
      <c r="AH2" s="12">
        <f>Main_!AI52</f>
        <v>11696343.9</v>
      </c>
      <c r="AI2" s="12">
        <f>Main_!AJ52</f>
        <v>13090578.9</v>
      </c>
      <c r="AJ2" s="12">
        <f>Main_!AK52</f>
        <v>13080455.4</v>
      </c>
      <c r="AK2" s="12">
        <f>Main_!AL52</f>
        <v>13142340.5</v>
      </c>
      <c r="AL2" s="12">
        <f>Main_!AM52</f>
        <v>13162797.300000001</v>
      </c>
      <c r="AM2" s="12">
        <f>Main_!AN52</f>
        <v>13201461.1</v>
      </c>
    </row>
    <row r="3" spans="1:39" x14ac:dyDescent="0.35">
      <c r="A3" t="s">
        <v>130</v>
      </c>
      <c r="B3" s="12">
        <f>Main_!C53</f>
        <v>187974.6</v>
      </c>
      <c r="C3" s="12">
        <f>Main_!D53</f>
        <v>184841.3</v>
      </c>
      <c r="D3" s="12">
        <f>Main_!E53</f>
        <v>186486.39999999999</v>
      </c>
      <c r="E3" s="12">
        <f>Main_!F53</f>
        <v>148350.20000000001</v>
      </c>
      <c r="F3" s="12">
        <f>Main_!G53</f>
        <v>155297.79999999999</v>
      </c>
      <c r="G3" s="12">
        <f>Main_!H53</f>
        <v>147236.70000000001</v>
      </c>
      <c r="H3" s="12">
        <f>Main_!I53</f>
        <v>154451.1</v>
      </c>
      <c r="I3" s="12">
        <f>Main_!J53</f>
        <v>154958.29999999999</v>
      </c>
      <c r="J3" s="12">
        <f>Main_!K53</f>
        <v>153099.20000000001</v>
      </c>
      <c r="K3" s="12">
        <f>Main_!L53</f>
        <v>145578.20000000001</v>
      </c>
      <c r="L3" s="12">
        <f>Main_!M53</f>
        <v>146336.5</v>
      </c>
      <c r="M3" s="12">
        <f>Main_!N53</f>
        <v>142852.5</v>
      </c>
      <c r="N3" s="12">
        <f>Main_!O53</f>
        <v>140105.5</v>
      </c>
      <c r="O3" s="12">
        <f>Main_!P53</f>
        <v>145224.4</v>
      </c>
      <c r="P3" s="12">
        <f>Main_!Q53</f>
        <v>151129.1</v>
      </c>
      <c r="Q3" s="12">
        <f>Main_!R53</f>
        <v>133407.29999999999</v>
      </c>
      <c r="R3" s="12">
        <f>Main_!S53</f>
        <v>133526.1</v>
      </c>
      <c r="S3" s="12">
        <f>Main_!T53</f>
        <v>133436</v>
      </c>
      <c r="T3" s="12">
        <f>Main_!U53</f>
        <v>135703.70000000001</v>
      </c>
      <c r="U3" s="12">
        <f>Main_!V53</f>
        <v>138929.70000000001</v>
      </c>
      <c r="V3" s="12">
        <f>Main_!W53</f>
        <v>141488.5</v>
      </c>
      <c r="W3" s="12">
        <f>Main_!X53</f>
        <v>146961.70000000001</v>
      </c>
      <c r="X3" s="12">
        <f>Main_!Y53</f>
        <v>142216</v>
      </c>
      <c r="Y3" s="12">
        <f>Main_!Z53</f>
        <v>133415.9</v>
      </c>
      <c r="Z3" s="12">
        <f>Main_!AA53</f>
        <v>137922.29999999999</v>
      </c>
      <c r="AA3" s="12">
        <f>Main_!AB53</f>
        <v>131126.29999999999</v>
      </c>
      <c r="AB3" s="12">
        <f>Main_!AC53</f>
        <v>121557.5</v>
      </c>
      <c r="AC3" s="12">
        <f>Main_!AD53</f>
        <v>116837.2</v>
      </c>
      <c r="AD3" s="12">
        <f>Main_!AE53</f>
        <v>122092.3</v>
      </c>
      <c r="AE3" s="12">
        <f>Main_!AF53</f>
        <v>135473.79999999999</v>
      </c>
      <c r="AF3" s="12">
        <f>Main_!AG53</f>
        <v>140422.39999999999</v>
      </c>
      <c r="AG3" s="12">
        <f>Main_!AH53</f>
        <v>144575.1</v>
      </c>
      <c r="AH3" s="12">
        <f>Main_!AI53</f>
        <v>148776.1</v>
      </c>
      <c r="AI3" s="12">
        <f>Main_!AJ53</f>
        <v>166825.9</v>
      </c>
      <c r="AJ3" s="12">
        <f>Main_!AK53</f>
        <v>159840</v>
      </c>
      <c r="AK3" s="12">
        <f>Main_!AL53</f>
        <v>163601.1</v>
      </c>
      <c r="AL3" s="12">
        <f>Main_!AM53</f>
        <v>158841.29999999999</v>
      </c>
      <c r="AM3" s="12">
        <f>Main_!AN53</f>
        <v>163985.79999999999</v>
      </c>
    </row>
    <row r="4" spans="1:39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</row>
    <row r="5" spans="1:39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</row>
    <row r="6" spans="1:39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</row>
    <row r="7" spans="1:39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</row>
    <row r="8" spans="1:39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SUM(Main_!L8:L24)</f>
        <v>653020</v>
      </c>
      <c r="L8" s="12">
        <f>SUM(Main_!M8:M24)</f>
        <v>655170.80000000005</v>
      </c>
      <c r="M8" s="12">
        <f>SUM(Main_!N8:N24)</f>
        <v>656580</v>
      </c>
      <c r="N8" s="12">
        <f>SUM(Main_!O8:O24)</f>
        <v>657029.30000000005</v>
      </c>
      <c r="O8" s="12">
        <f>SUM(Main_!P8:P24)</f>
        <v>657764.80000000005</v>
      </c>
      <c r="P8" s="12">
        <f>SUM(Main_!Q8:Q24)</f>
        <v>658364.9</v>
      </c>
      <c r="Q8" s="12">
        <f>SUM(Main_!R8:R24)</f>
        <v>658828.30000000005</v>
      </c>
      <c r="R8" s="12">
        <f>SUM(Main_!S8:S24)</f>
        <v>658595.69999999995</v>
      </c>
      <c r="S8" s="12">
        <f>SUM(Main_!T8:T24)</f>
        <v>658293.5</v>
      </c>
      <c r="T8" s="12">
        <f>SUM(Main_!U8:U24)</f>
        <v>657832.89999999991</v>
      </c>
      <c r="U8" s="12">
        <f>SUM(Main_!V8:V24)</f>
        <v>659635.9</v>
      </c>
      <c r="V8" s="12">
        <f>SUM(Main_!W8:W24)</f>
        <v>660216.1</v>
      </c>
      <c r="W8" s="12">
        <f>SUM(Main_!X8:X24)</f>
        <v>660688.69999999995</v>
      </c>
      <c r="X8" s="12">
        <f>SUM(Main_!Y8:Y24)</f>
        <v>689427.9</v>
      </c>
      <c r="Y8" s="12">
        <f>SUM(Main_!Z8:Z24)</f>
        <v>690022.5</v>
      </c>
      <c r="Z8" s="12">
        <f>SUM(Main_!AA8:AA24)</f>
        <v>690508.4</v>
      </c>
      <c r="AA8" s="12">
        <f>SUM(Main_!AB8:AB24)</f>
        <v>752240.9</v>
      </c>
      <c r="AB8" s="12">
        <f>SUM(Main_!AC8:AC24)</f>
        <v>751917.8</v>
      </c>
      <c r="AC8" s="12">
        <f>SUM(Main_!AD8:AD24)</f>
        <v>891319.7</v>
      </c>
      <c r="AD8" s="12">
        <f>SUM(Main_!AE8:AE24)</f>
        <v>968847.4</v>
      </c>
      <c r="AE8" s="12">
        <f>SUM(Main_!AF8:AF24)</f>
        <v>1005833.7000000001</v>
      </c>
      <c r="AF8" s="12">
        <f>SUM(Main_!AG8:AG24)</f>
        <v>1054339.1000000001</v>
      </c>
      <c r="AG8" s="12">
        <f>SUM(Main_!AH8:AH24)</f>
        <v>1055987.8999999999</v>
      </c>
      <c r="AH8" s="12">
        <f>SUM(Main_!AI8:AI24)</f>
        <v>1104103.6000000001</v>
      </c>
      <c r="AI8" s="12">
        <f>SUM(Main_!AJ8:AJ24)</f>
        <v>1104617.5</v>
      </c>
      <c r="AJ8" s="12">
        <f>SUM(Main_!AK8:AK24)</f>
        <v>1238713.2999999998</v>
      </c>
      <c r="AK8" s="12">
        <f>SUM(Main_!AL8:AL24)</f>
        <v>1257904.3999999999</v>
      </c>
      <c r="AL8" s="12">
        <f>SUM(Main_!AM8:AM24)</f>
        <v>1283874.5</v>
      </c>
      <c r="AM8" s="12">
        <f>SUM(Main_!AN8:AN24)</f>
        <v>1284971.7</v>
      </c>
    </row>
    <row r="9" spans="1:39" x14ac:dyDescent="0.35">
      <c r="A9" t="s">
        <v>131</v>
      </c>
      <c r="B9" s="12">
        <f>Main_!C25</f>
        <v>3000</v>
      </c>
      <c r="C9" s="12">
        <f>Main_!D25</f>
        <v>3000</v>
      </c>
      <c r="D9" s="12">
        <f>Main_!E25</f>
        <v>3000</v>
      </c>
      <c r="E9" s="12">
        <f>Main_!F25</f>
        <v>3000</v>
      </c>
      <c r="F9" s="12">
        <f>Main_!G25</f>
        <v>3000</v>
      </c>
      <c r="G9" s="12">
        <f>Main_!H25</f>
        <v>3000</v>
      </c>
      <c r="H9" s="12">
        <f>Main_!I25</f>
        <v>3000</v>
      </c>
      <c r="I9" s="12">
        <f>Main_!J25</f>
        <v>3000</v>
      </c>
      <c r="J9" s="12">
        <f>Main_!K25</f>
        <v>3000</v>
      </c>
      <c r="K9" s="12">
        <f>Main_!L25</f>
        <v>3000</v>
      </c>
      <c r="L9" s="12">
        <f>Main_!M25</f>
        <v>3000</v>
      </c>
      <c r="M9" s="12">
        <f>Main_!N25</f>
        <v>3000</v>
      </c>
      <c r="N9" s="12">
        <f>Main_!O25</f>
        <v>3000</v>
      </c>
      <c r="O9" s="12">
        <f>Main_!P25</f>
        <v>3000</v>
      </c>
      <c r="P9" s="12">
        <f>Main_!Q25</f>
        <v>3000</v>
      </c>
      <c r="Q9" s="12">
        <f>Main_!R25</f>
        <v>3000</v>
      </c>
      <c r="R9" s="12">
        <f>Main_!S25</f>
        <v>3000</v>
      </c>
      <c r="S9" s="12">
        <f>Main_!T25</f>
        <v>3000</v>
      </c>
      <c r="T9" s="12">
        <f>Main_!U25</f>
        <v>3000</v>
      </c>
      <c r="U9" s="12">
        <f>Main_!V25</f>
        <v>3000</v>
      </c>
      <c r="V9" s="12">
        <f>Main_!W25</f>
        <v>3000</v>
      </c>
      <c r="W9" s="12">
        <f>Main_!X25</f>
        <v>3000</v>
      </c>
      <c r="X9" s="12">
        <f>Main_!Y25</f>
        <v>3000</v>
      </c>
      <c r="Y9" s="12">
        <f>Main_!Z25</f>
        <v>3000</v>
      </c>
      <c r="Z9" s="12">
        <f>Main_!AA25</f>
        <v>3000</v>
      </c>
      <c r="AA9" s="12">
        <f>Main_!AB25</f>
        <v>3000</v>
      </c>
      <c r="AB9" s="12">
        <f>Main_!AC25</f>
        <v>3000</v>
      </c>
      <c r="AC9" s="12">
        <f>Main_!AD25</f>
        <v>3000</v>
      </c>
      <c r="AD9" s="12">
        <f>Main_!AE25</f>
        <v>3000</v>
      </c>
      <c r="AE9" s="12">
        <f>Main_!AF25</f>
        <v>3000</v>
      </c>
      <c r="AF9" s="12">
        <f>Main_!AG25</f>
        <v>3000</v>
      </c>
      <c r="AG9" s="12">
        <f>Main_!AH25</f>
        <v>3000</v>
      </c>
      <c r="AH9" s="12">
        <f>Main_!AI25</f>
        <v>3000</v>
      </c>
      <c r="AI9" s="12">
        <f>Main_!AJ25</f>
        <v>3000</v>
      </c>
      <c r="AJ9" s="12">
        <f>Main_!AK25</f>
        <v>3000</v>
      </c>
      <c r="AK9" s="12">
        <f>Main_!AL25</f>
        <v>3000</v>
      </c>
      <c r="AL9" s="12">
        <f>Main_!AM25</f>
        <v>3000</v>
      </c>
      <c r="AM9" s="12">
        <f>Main_!AN25</f>
        <v>3000</v>
      </c>
    </row>
    <row r="10" spans="1:39" x14ac:dyDescent="0.35">
      <c r="A10" t="s">
        <v>132</v>
      </c>
      <c r="B10" s="12">
        <f>Main_!C26</f>
        <v>314357.40000000002</v>
      </c>
      <c r="C10" s="12">
        <f>Main_!D26</f>
        <v>319388.7</v>
      </c>
      <c r="D10" s="12">
        <f>Main_!E26</f>
        <v>385146.2</v>
      </c>
      <c r="E10" s="12">
        <f>Main_!F26</f>
        <v>583710</v>
      </c>
      <c r="F10" s="12">
        <f>Main_!G26</f>
        <v>583710</v>
      </c>
      <c r="G10" s="12">
        <f>Main_!H26</f>
        <v>583710</v>
      </c>
      <c r="H10" s="12">
        <f>Main_!I26</f>
        <v>595596</v>
      </c>
      <c r="I10" s="12">
        <f>Main_!J26</f>
        <v>603639.1</v>
      </c>
      <c r="J10" s="12">
        <f>Main_!K26</f>
        <v>619314.4</v>
      </c>
      <c r="K10" s="12">
        <f>Main_!L26</f>
        <v>697875.5</v>
      </c>
      <c r="L10" s="12">
        <f>Main_!M26</f>
        <v>703010.4</v>
      </c>
      <c r="M10" s="12">
        <f>Main_!N26</f>
        <v>862315.2</v>
      </c>
      <c r="N10" s="12">
        <f>Main_!O26</f>
        <v>918404.2</v>
      </c>
      <c r="O10" s="12">
        <f>Main_!P26</f>
        <v>940395.4</v>
      </c>
      <c r="P10" s="12">
        <f>Main_!Q26</f>
        <v>973116.7</v>
      </c>
      <c r="Q10" s="12">
        <f>Main_!R26</f>
        <v>1157407</v>
      </c>
      <c r="R10" s="12">
        <f>Main_!S26</f>
        <v>1157407</v>
      </c>
      <c r="S10" s="12">
        <f>Main_!T26</f>
        <v>1163373</v>
      </c>
      <c r="T10" s="12">
        <f>Main_!U26</f>
        <v>1179302</v>
      </c>
      <c r="U10" s="12">
        <f>Main_!V26</f>
        <v>1182890</v>
      </c>
      <c r="V10" s="12">
        <f>Main_!W26</f>
        <v>1213962.3</v>
      </c>
      <c r="W10" s="12">
        <f>Main_!X26</f>
        <v>1231367.6000000001</v>
      </c>
      <c r="X10" s="12">
        <f>Main_!Y26</f>
        <v>1236574.6000000001</v>
      </c>
      <c r="Y10" s="12">
        <f>Main_!Z26</f>
        <v>1262976</v>
      </c>
      <c r="Z10" s="12">
        <f>Main_!AA26</f>
        <v>1270394.2</v>
      </c>
      <c r="AA10" s="12">
        <f>Main_!AB26</f>
        <v>1283924.3999999999</v>
      </c>
      <c r="AB10" s="12">
        <f>Main_!AC26</f>
        <v>1296899.4000000001</v>
      </c>
      <c r="AC10" s="12">
        <f>Main_!AD26</f>
        <v>1339327.2</v>
      </c>
      <c r="AD10" s="12">
        <f>Main_!AE26</f>
        <v>1339073.0999999999</v>
      </c>
      <c r="AE10" s="12">
        <f>Main_!AF26</f>
        <v>1338488.3</v>
      </c>
      <c r="AF10" s="12">
        <f>Main_!AG26</f>
        <v>1340916</v>
      </c>
      <c r="AG10" s="12">
        <f>Main_!AH26</f>
        <v>1340825.6000000001</v>
      </c>
      <c r="AH10" s="12">
        <f>Main_!AI26</f>
        <v>1347272.4</v>
      </c>
      <c r="AI10" s="12">
        <f>Main_!AJ26</f>
        <v>1350046.2</v>
      </c>
      <c r="AJ10" s="12">
        <f>Main_!AK26</f>
        <v>1349572.0999999999</v>
      </c>
      <c r="AK10" s="12">
        <f>Main_!AL26</f>
        <v>1349460.9000000001</v>
      </c>
      <c r="AL10" s="12">
        <f>Main_!AM26</f>
        <v>1347890.4</v>
      </c>
      <c r="AM10" s="12">
        <f>Main_!AN26</f>
        <v>1348143.9000000001</v>
      </c>
    </row>
    <row r="11" spans="1:39" x14ac:dyDescent="0.35">
      <c r="A11" t="s">
        <v>133</v>
      </c>
      <c r="B11" s="12">
        <f>Main_!C27</f>
        <v>2221.4</v>
      </c>
      <c r="C11" s="12">
        <f>Main_!D27</f>
        <v>2221.4</v>
      </c>
      <c r="D11" s="12">
        <f>Main_!E27</f>
        <v>2221.4</v>
      </c>
      <c r="E11" s="12">
        <f>Main_!F27</f>
        <v>2153.4</v>
      </c>
      <c r="F11" s="12">
        <f>Main_!G27</f>
        <v>2153.4</v>
      </c>
      <c r="G11" s="12">
        <f>Main_!H27</f>
        <v>2082.4</v>
      </c>
      <c r="H11" s="12">
        <f>Main_!I27</f>
        <v>2082.4</v>
      </c>
      <c r="I11" s="12">
        <f>Main_!J27</f>
        <v>2082.4</v>
      </c>
      <c r="J11" s="12">
        <f>Main_!K27</f>
        <v>2082.4</v>
      </c>
      <c r="K11" s="12">
        <f>Main_!L27</f>
        <v>2014.4</v>
      </c>
      <c r="L11" s="12">
        <f>Main_!M27</f>
        <v>2014.4</v>
      </c>
      <c r="M11" s="12">
        <f>Main_!N27</f>
        <v>1943.5</v>
      </c>
      <c r="N11" s="12">
        <f>Main_!O27</f>
        <v>1943.5</v>
      </c>
      <c r="O11" s="12">
        <f>Main_!P27</f>
        <v>1943.5</v>
      </c>
      <c r="P11" s="12">
        <f>Main_!Q27</f>
        <v>1943.5</v>
      </c>
      <c r="Q11" s="12">
        <f>Main_!R27</f>
        <v>1875.5</v>
      </c>
      <c r="R11" s="12">
        <f>Main_!S27</f>
        <v>1875.5</v>
      </c>
      <c r="S11" s="12">
        <f>Main_!T27</f>
        <v>1875.5</v>
      </c>
      <c r="T11" s="12">
        <f>Main_!U27</f>
        <v>1875.5</v>
      </c>
      <c r="U11" s="12">
        <f>Main_!V27</f>
        <v>1875.5</v>
      </c>
      <c r="V11" s="12">
        <f>Main_!W27</f>
        <v>1875.4</v>
      </c>
      <c r="W11" s="12">
        <f>Main_!X27</f>
        <v>1875.4</v>
      </c>
      <c r="X11" s="12">
        <f>Main_!Y27</f>
        <v>1875.4</v>
      </c>
      <c r="Y11" s="12">
        <f>Main_!Z27</f>
        <v>1875.4</v>
      </c>
      <c r="Z11" s="12">
        <f>Main_!AA27</f>
        <v>1875.4</v>
      </c>
      <c r="AA11" s="12">
        <f>Main_!AB27</f>
        <v>1875.4</v>
      </c>
      <c r="AB11" s="12">
        <f>Main_!AC27</f>
        <v>1875.4</v>
      </c>
      <c r="AC11" s="12">
        <f>Main_!AD27</f>
        <v>1875.4</v>
      </c>
      <c r="AD11" s="12">
        <f>Main_!AE27</f>
        <v>1875.4</v>
      </c>
      <c r="AE11" s="12">
        <f>Main_!AF27</f>
        <v>1875.4</v>
      </c>
      <c r="AF11" s="12">
        <f>Main_!AG27</f>
        <v>1875.4</v>
      </c>
      <c r="AG11" s="12">
        <f>Main_!AH27</f>
        <v>1875.4</v>
      </c>
      <c r="AH11" s="12">
        <f>Main_!AI27</f>
        <v>1875.4</v>
      </c>
      <c r="AI11" s="12">
        <f>Main_!AJ27</f>
        <v>1875.4</v>
      </c>
      <c r="AJ11" s="12">
        <f>Main_!AK27</f>
        <v>1875.4</v>
      </c>
      <c r="AK11" s="12">
        <f>Main_!AL27</f>
        <v>1875.4</v>
      </c>
      <c r="AL11" s="12">
        <f>Main_!AM27</f>
        <v>1875.4</v>
      </c>
      <c r="AM11" s="12">
        <f>Main_!AN27</f>
        <v>1875.4</v>
      </c>
    </row>
    <row r="12" spans="1:39" x14ac:dyDescent="0.35">
      <c r="A12" t="s">
        <v>134</v>
      </c>
      <c r="B12" s="12">
        <f>SUM(Main_!C28:C30)</f>
        <v>328991.90000000002</v>
      </c>
      <c r="C12" s="12">
        <f>SUM(Main_!D28:D30)</f>
        <v>328991.90000000002</v>
      </c>
      <c r="D12" s="12">
        <f>SUM(Main_!E28:E30)</f>
        <v>328991.90000000002</v>
      </c>
      <c r="E12" s="12">
        <f>SUM(Main_!F28:F30)</f>
        <v>328991.90000000002</v>
      </c>
      <c r="F12" s="12">
        <f>SUM(Main_!G28:G30)</f>
        <v>328991.90000000002</v>
      </c>
      <c r="G12" s="12">
        <f>SUM(Main_!H28:H30)</f>
        <v>328991.90000000002</v>
      </c>
      <c r="H12" s="12">
        <f>SUM(Main_!I28:I30)</f>
        <v>328991.90000000002</v>
      </c>
      <c r="I12" s="12">
        <f>SUM(Main_!J28:J30)</f>
        <v>328991.90000000002</v>
      </c>
      <c r="J12" s="12">
        <f>SUM(Main_!K28:K30)</f>
        <v>328991.90000000002</v>
      </c>
      <c r="K12" s="12">
        <f>SUM(Main_!L28:L30)</f>
        <v>328991.90000000002</v>
      </c>
      <c r="L12" s="12">
        <f>SUM(Main_!M28:M30)</f>
        <v>328991.90000000002</v>
      </c>
      <c r="M12" s="12">
        <f>SUM(Main_!N28:N30)</f>
        <v>328991.90000000002</v>
      </c>
      <c r="N12" s="12">
        <f>SUM(Main_!O28:O30)</f>
        <v>328991.90000000002</v>
      </c>
      <c r="O12" s="12">
        <f>SUM(Main_!P28:P30)</f>
        <v>328991.90000000002</v>
      </c>
      <c r="P12" s="12">
        <f>SUM(Main_!Q28:Q30)</f>
        <v>328991.90000000002</v>
      </c>
      <c r="Q12" s="12">
        <f>SUM(Main_!R28:R30)</f>
        <v>328991.90000000002</v>
      </c>
      <c r="R12" s="12">
        <f>SUM(Main_!S28:S30)</f>
        <v>328991.90000000002</v>
      </c>
      <c r="S12" s="12">
        <f>SUM(Main_!T28:T30)</f>
        <v>328991.90000000002</v>
      </c>
      <c r="T12" s="12">
        <f>SUM(Main_!U28:U30)</f>
        <v>328991.90000000002</v>
      </c>
      <c r="U12" s="12">
        <f>SUM(Main_!V28:V30)</f>
        <v>328991.90000000002</v>
      </c>
      <c r="V12" s="12">
        <f>SUM(Main_!W28:W30)</f>
        <v>328991.90000000002</v>
      </c>
      <c r="W12" s="12">
        <f>SUM(Main_!X28:X30)</f>
        <v>403991.9</v>
      </c>
      <c r="X12" s="12">
        <f>SUM(Main_!Y28:Y30)</f>
        <v>403991.9</v>
      </c>
      <c r="Y12" s="12">
        <f>SUM(Main_!Z28:Z30)</f>
        <v>403991.9</v>
      </c>
      <c r="Z12" s="12">
        <f>SUM(Main_!AA28:AA30)</f>
        <v>403991.9</v>
      </c>
      <c r="AA12" s="12">
        <f>SUM(Main_!AB28:AB30)</f>
        <v>403991.9</v>
      </c>
      <c r="AB12" s="12">
        <f>SUM(Main_!AC28:AC30)</f>
        <v>403991.9</v>
      </c>
      <c r="AC12" s="12">
        <f>SUM(Main_!AD28:AD30)</f>
        <v>403991.9</v>
      </c>
      <c r="AD12" s="12">
        <f>SUM(Main_!AE28:AE30)</f>
        <v>403992</v>
      </c>
      <c r="AE12" s="12">
        <f>SUM(Main_!AF28:AF30)</f>
        <v>403992</v>
      </c>
      <c r="AF12" s="12">
        <f>SUM(Main_!AG28:AG30)</f>
        <v>403992</v>
      </c>
      <c r="AG12" s="12">
        <f>SUM(Main_!AH28:AH30)</f>
        <v>403992</v>
      </c>
      <c r="AH12" s="12">
        <f>SUM(Main_!AI28:AI30)</f>
        <v>403992</v>
      </c>
      <c r="AI12" s="12">
        <f>SUM(Main_!AJ28:AJ30)</f>
        <v>403992</v>
      </c>
      <c r="AJ12" s="12">
        <f>SUM(Main_!AK28:AK30)</f>
        <v>403992</v>
      </c>
      <c r="AK12" s="12">
        <f>SUM(Main_!AL28:AL30)</f>
        <v>403992</v>
      </c>
      <c r="AL12" s="12">
        <f>SUM(Main_!AM28:AM30)</f>
        <v>433992</v>
      </c>
      <c r="AM12" s="12">
        <f>SUM(Main_!AN28:AN30)</f>
        <v>433992</v>
      </c>
    </row>
    <row r="13" spans="1:39" x14ac:dyDescent="0.35">
      <c r="A13" t="s">
        <v>238</v>
      </c>
      <c r="B13" s="12">
        <f>Main_!C32</f>
        <v>0</v>
      </c>
      <c r="C13" s="12">
        <f>Main_!D32</f>
        <v>0</v>
      </c>
      <c r="D13" s="12">
        <f>Main_!E32</f>
        <v>0</v>
      </c>
      <c r="E13" s="12">
        <f>Main_!F32</f>
        <v>0</v>
      </c>
      <c r="F13" s="12">
        <f>Main_!G32</f>
        <v>0</v>
      </c>
      <c r="G13" s="12">
        <f>Main_!H32</f>
        <v>0</v>
      </c>
      <c r="H13" s="12">
        <f>Main_!I32</f>
        <v>38433.9</v>
      </c>
      <c r="I13" s="12">
        <f>Main_!J32</f>
        <v>38433.9</v>
      </c>
      <c r="J13" s="12">
        <f>Main_!K32</f>
        <v>38433.9</v>
      </c>
      <c r="K13" s="12">
        <f>Main_!L32</f>
        <v>38433.9</v>
      </c>
      <c r="L13" s="12">
        <f>Main_!M32</f>
        <v>38433.9</v>
      </c>
      <c r="M13" s="12">
        <f>Main_!N32</f>
        <v>38433.9</v>
      </c>
      <c r="N13" s="12">
        <f>Main_!O32</f>
        <v>38433.9</v>
      </c>
      <c r="O13" s="12">
        <f>Main_!P32</f>
        <v>38433.9</v>
      </c>
      <c r="P13" s="12">
        <f>Main_!Q32</f>
        <v>38433.9</v>
      </c>
      <c r="Q13" s="12">
        <f>Main_!R32</f>
        <v>38433.9</v>
      </c>
      <c r="R13" s="12">
        <f>Main_!S32</f>
        <v>38433.9</v>
      </c>
      <c r="S13" s="12">
        <f>Main_!T32</f>
        <v>38433.9</v>
      </c>
      <c r="T13" s="12">
        <f>Main_!U32</f>
        <v>38433.9</v>
      </c>
      <c r="U13" s="12">
        <f>Main_!V32</f>
        <v>38433.9</v>
      </c>
      <c r="V13" s="12">
        <f>Main_!W32</f>
        <v>38433.9</v>
      </c>
      <c r="W13" s="12">
        <f>Main_!X32</f>
        <v>38433.9</v>
      </c>
      <c r="X13" s="12">
        <f>Main_!Y32</f>
        <v>38433.9</v>
      </c>
      <c r="Y13" s="12">
        <f>Main_!Z32</f>
        <v>38433.9</v>
      </c>
      <c r="Z13" s="12">
        <f>Main_!AA32</f>
        <v>38433.9</v>
      </c>
      <c r="AA13" s="12">
        <f>Main_!AB32</f>
        <v>38433.9</v>
      </c>
      <c r="AB13" s="12">
        <f>Main_!AC32</f>
        <v>38433.9</v>
      </c>
      <c r="AC13" s="12">
        <f>Main_!AD32</f>
        <v>38433.9</v>
      </c>
      <c r="AD13" s="12">
        <f>Main_!AE32</f>
        <v>38433.9</v>
      </c>
      <c r="AE13" s="12">
        <f>Main_!AF32</f>
        <v>38433.9</v>
      </c>
      <c r="AF13" s="12">
        <f>Main_!AG32</f>
        <v>38433.9</v>
      </c>
      <c r="AG13" s="12">
        <f>Main_!AH32</f>
        <v>38433.9</v>
      </c>
      <c r="AH13" s="12">
        <f>SUM(Main_!AI32:AI36)</f>
        <v>338433.9</v>
      </c>
      <c r="AI13" s="12">
        <f>SUM(Main_!AJ32:AJ36)</f>
        <v>338433.9</v>
      </c>
      <c r="AJ13" s="12">
        <f>SUM(Main_!AK31:AK37)</f>
        <v>538433.9</v>
      </c>
      <c r="AK13" s="12">
        <f>SUM(Main_!AL31:AL37)</f>
        <v>538433.9</v>
      </c>
      <c r="AL13" s="12">
        <f>SUM(Main_!AM31:AM37)</f>
        <v>538433.9</v>
      </c>
      <c r="AM13" s="12">
        <f>SUM(Main_!AN31:AN37)</f>
        <v>538433.9</v>
      </c>
    </row>
    <row r="14" spans="1:39" x14ac:dyDescent="0.35">
      <c r="A14" t="s">
        <v>135</v>
      </c>
      <c r="B14" s="12">
        <f>SUM(Main_!C38:C42)</f>
        <v>1393665.3</v>
      </c>
      <c r="C14" s="12">
        <f>SUM(Main_!D38:D42)</f>
        <v>1601086.9</v>
      </c>
      <c r="D14" s="12">
        <f>SUM(Main_!E38:E42)</f>
        <v>1702023.3</v>
      </c>
      <c r="E14" s="12">
        <f>SUM(Main_!F38:F42)</f>
        <v>1757319.5</v>
      </c>
      <c r="F14" s="12">
        <f>SUM(Main_!G38:G42)</f>
        <v>1932491.9</v>
      </c>
      <c r="G14" s="12">
        <f>SUM(Main_!H38:H42)</f>
        <v>2095160.2</v>
      </c>
      <c r="H14" s="12">
        <f>SUM(Main_!I38:I42)</f>
        <v>2709111.9</v>
      </c>
      <c r="I14" s="12">
        <f>SUM(Main_!J38:J42)</f>
        <v>3041875.2</v>
      </c>
      <c r="J14" s="12">
        <f>SUM(Main_!K38:K42)</f>
        <v>3088748.3</v>
      </c>
      <c r="K14" s="12">
        <f>SUM(Main_!L38:L42)</f>
        <v>3128294.4</v>
      </c>
      <c r="L14" s="12">
        <f>SUM(Main_!M38:M42)</f>
        <v>3384520.6999999997</v>
      </c>
      <c r="M14" s="12">
        <f>SUM(Main_!N38:N42)</f>
        <v>3465106.2</v>
      </c>
      <c r="N14" s="12">
        <f>SUM(Main_!O38:O42)</f>
        <v>3389191.3</v>
      </c>
      <c r="O14" s="12">
        <f>SUM(Main_!P38:P42)</f>
        <v>3463670.0000000005</v>
      </c>
      <c r="P14" s="12">
        <f>SUM(Main_!Q38:Q42)</f>
        <v>3530974</v>
      </c>
      <c r="Q14" s="12">
        <f>SUM(Main_!R38:R42)</f>
        <v>3479595.8999999994</v>
      </c>
      <c r="R14" s="12">
        <f>SUM(Main_!S38:S42)</f>
        <v>3544601.3999999994</v>
      </c>
      <c r="S14" s="12">
        <f>SUM(Main_!T38:T42)</f>
        <v>3726117.6</v>
      </c>
      <c r="T14" s="12">
        <f>SUM(Main_!U38:U42)</f>
        <v>3807455.2</v>
      </c>
      <c r="U14" s="12">
        <f>SUM(Main_!V38:V42)</f>
        <v>3937682.4</v>
      </c>
      <c r="V14" s="12">
        <f>SUM(Main_!W38:W42)</f>
        <v>3995946.6</v>
      </c>
      <c r="W14" s="12">
        <f>SUM(Main_!X38:X42)</f>
        <v>4167665.7</v>
      </c>
      <c r="X14" s="12">
        <f>SUM(Main_!Y38:Y42)</f>
        <v>3710250.0999999996</v>
      </c>
      <c r="Y14" s="12">
        <f>SUM(Main_!Z38:Z42)</f>
        <v>3313410.9</v>
      </c>
      <c r="Z14" s="12">
        <f>SUM(Main_!AA38:AA42)</f>
        <v>3488466.3</v>
      </c>
      <c r="AA14" s="12">
        <f>SUM(Main_!AB38:AB42)</f>
        <v>3120030.0000000005</v>
      </c>
      <c r="AB14" s="12">
        <f>SUM(Main_!AC38:AC42)</f>
        <v>3035844.9</v>
      </c>
      <c r="AC14" s="12">
        <f>SUM(Main_!AD38:AD42)</f>
        <v>3551920.4</v>
      </c>
      <c r="AD14" s="12">
        <f>SUM(Main_!AE38:AE42)</f>
        <v>3638440</v>
      </c>
      <c r="AE14" s="12">
        <f>SUM(Main_!AF38:AF42)</f>
        <v>3939607.3000000003</v>
      </c>
      <c r="AF14" s="12">
        <f>SUM(Main_!AG38:AG42)</f>
        <v>3910964.5</v>
      </c>
      <c r="AG14" s="12">
        <f>SUM(Main_!AH38:AH42)</f>
        <v>3936226.2</v>
      </c>
      <c r="AH14" s="12">
        <f>SUM(Main_!AI38:AI42)</f>
        <v>3949833.6</v>
      </c>
      <c r="AI14" s="12">
        <f>SUM(Main_!AJ38:AJ42)</f>
        <v>4046915.9</v>
      </c>
      <c r="AJ14" s="12">
        <f>SUM(Main_!AK38:AK42)</f>
        <v>3858354</v>
      </c>
      <c r="AK14" s="12">
        <f>SUM(Main_!AL38:AL42)</f>
        <v>3935833.6</v>
      </c>
      <c r="AL14" s="12">
        <f>SUM(Main_!AM38:AM42)</f>
        <v>3651625.8</v>
      </c>
      <c r="AM14" s="12">
        <f>SUM(Main_!AN38:AN42)</f>
        <v>3711606.0999999996</v>
      </c>
    </row>
    <row r="15" spans="1:39" x14ac:dyDescent="0.35">
      <c r="A15" t="s">
        <v>136</v>
      </c>
      <c r="B15" s="12">
        <f>Main_!C43</f>
        <v>250000</v>
      </c>
      <c r="C15" s="12">
        <f>Main_!D43</f>
        <v>250000</v>
      </c>
      <c r="D15" s="12">
        <f>Main_!E43</f>
        <v>250000</v>
      </c>
      <c r="E15" s="12">
        <f>Main_!F43</f>
        <v>467000</v>
      </c>
      <c r="F15" s="12">
        <f>Main_!G43</f>
        <v>467000</v>
      </c>
      <c r="G15" s="12">
        <f>Main_!H43</f>
        <v>467000</v>
      </c>
      <c r="H15" s="12">
        <f>Main_!I43</f>
        <v>467000</v>
      </c>
      <c r="I15" s="12">
        <f>Main_!J43</f>
        <v>467000</v>
      </c>
      <c r="J15" s="12">
        <f>Main_!K43</f>
        <v>467000</v>
      </c>
      <c r="K15" s="12">
        <f>Main_!L43</f>
        <v>467000</v>
      </c>
      <c r="L15" s="12">
        <f>Main_!M43</f>
        <v>467000</v>
      </c>
      <c r="M15" s="12">
        <f>Main_!N43</f>
        <v>467000</v>
      </c>
      <c r="N15" s="12">
        <f>Main_!O43</f>
        <v>467000</v>
      </c>
      <c r="O15" s="12">
        <f>Main_!P43</f>
        <v>467000</v>
      </c>
      <c r="P15" s="12">
        <f>Main_!Q43</f>
        <v>467000</v>
      </c>
      <c r="Q15" s="12">
        <f>Main_!R43</f>
        <v>467000</v>
      </c>
      <c r="R15" s="12">
        <f>Main_!S43</f>
        <v>467000</v>
      </c>
      <c r="S15" s="12">
        <f>Main_!T43</f>
        <v>467000</v>
      </c>
      <c r="T15" s="12">
        <f>Main_!U43</f>
        <v>467000</v>
      </c>
      <c r="U15" s="12">
        <f>Main_!V43</f>
        <v>467000</v>
      </c>
      <c r="V15" s="12">
        <f>Main_!W43</f>
        <v>467000</v>
      </c>
      <c r="W15" s="12">
        <f>Main_!X43</f>
        <v>467000</v>
      </c>
      <c r="X15" s="12">
        <f>Main_!Y43</f>
        <v>467000</v>
      </c>
      <c r="Y15" s="12">
        <f>Main_!Z43</f>
        <v>467000</v>
      </c>
      <c r="Z15" s="12">
        <f>Main_!AA43</f>
        <v>467000</v>
      </c>
      <c r="AA15" s="12">
        <f>Main_!AB43</f>
        <v>467000</v>
      </c>
      <c r="AB15" s="12">
        <f>Main_!AC43</f>
        <v>467000</v>
      </c>
      <c r="AC15" s="12">
        <f>Main_!AD43</f>
        <v>467000</v>
      </c>
      <c r="AD15" s="12">
        <f>Main_!AE43</f>
        <v>467000</v>
      </c>
      <c r="AE15" s="12">
        <f>Main_!AF43</f>
        <v>467000</v>
      </c>
      <c r="AF15" s="12">
        <f>Main_!AG43</f>
        <v>467000</v>
      </c>
      <c r="AG15" s="12">
        <f>Main_!AH43</f>
        <v>467000</v>
      </c>
      <c r="AH15" s="12">
        <f>Main_!AI43</f>
        <v>467000</v>
      </c>
      <c r="AI15" s="12">
        <f>Main_!AJ43</f>
        <v>467000</v>
      </c>
      <c r="AJ15" s="12">
        <f>Main_!AK43</f>
        <v>467000</v>
      </c>
      <c r="AK15" s="12">
        <f>Main_!AL43</f>
        <v>467000</v>
      </c>
      <c r="AL15" s="12">
        <f>Main_!AM43</f>
        <v>467000</v>
      </c>
      <c r="AM15" s="12">
        <f>Main_!AN43</f>
        <v>467000</v>
      </c>
    </row>
    <row r="16" spans="1:39" x14ac:dyDescent="0.35">
      <c r="A16" t="s">
        <v>137</v>
      </c>
      <c r="B16" s="12">
        <f>SUM(Main_!C44:C47)</f>
        <v>14150.8</v>
      </c>
      <c r="C16" s="12">
        <f>SUM(Main_!D44:D47)</f>
        <v>14150.8</v>
      </c>
      <c r="D16" s="12">
        <f>SUM(Main_!E44:E47)</f>
        <v>14150.8</v>
      </c>
      <c r="E16" s="12">
        <f>SUM(Main_!F44:F47)</f>
        <v>14150.8</v>
      </c>
      <c r="F16" s="12">
        <f>SUM(Main_!G44:G47)</f>
        <v>14150.8</v>
      </c>
      <c r="G16" s="12">
        <f>SUM(Main_!H44:H47)</f>
        <v>14150.8</v>
      </c>
      <c r="H16" s="12">
        <f>SUM(Main_!I44:I47)</f>
        <v>14150.8</v>
      </c>
      <c r="I16" s="12">
        <f>SUM(Main_!J44:J47)</f>
        <v>109098.9</v>
      </c>
      <c r="J16" s="12">
        <f>SUM(Main_!K44:K47)</f>
        <v>109098.9</v>
      </c>
      <c r="K16" s="12">
        <f>SUM(Main_!L44:L47)</f>
        <v>109098.9</v>
      </c>
      <c r="L16" s="12">
        <f>SUM(Main_!M44:M47)</f>
        <v>96722.8</v>
      </c>
      <c r="M16" s="12">
        <f>SUM(Main_!N44:N47)</f>
        <v>159313.4</v>
      </c>
      <c r="N16" s="12">
        <f>SUM(Main_!O44:O47)</f>
        <v>227543.5</v>
      </c>
      <c r="O16" s="12">
        <f>SUM(Main_!P44:P47)</f>
        <v>245719.7</v>
      </c>
      <c r="P16" s="12">
        <f>SUM(Main_!Q44:Q47)</f>
        <v>250195.1</v>
      </c>
      <c r="Q16" s="12">
        <f>SUM(Main_!R44:R50)</f>
        <v>385771.2</v>
      </c>
      <c r="R16" s="12">
        <f>SUM(Main_!S44:S50)</f>
        <v>384966.40000000002</v>
      </c>
      <c r="S16" s="12">
        <f>SUM(Main_!T44:T50)</f>
        <v>383946.4</v>
      </c>
      <c r="T16" s="12">
        <f>SUM(Main_!U44:U50)</f>
        <v>517310.5</v>
      </c>
      <c r="U16" s="12">
        <f>SUM(Main_!V44:V50)</f>
        <v>516505.8</v>
      </c>
      <c r="V16" s="12">
        <f>SUM(Main_!W44:W50)</f>
        <v>515485.7</v>
      </c>
      <c r="W16" s="12">
        <f>SUM(Main_!X44:X50)</f>
        <v>611147.5</v>
      </c>
      <c r="X16" s="12">
        <f>SUM(Main_!Y44:Y48)+Main_!Y50</f>
        <v>610342.80000000005</v>
      </c>
      <c r="Y16" s="12">
        <f>SUM(Main_!Z44:Z48)+Main_!Z50</f>
        <v>621822.69999999995</v>
      </c>
      <c r="Z16" s="12">
        <f>SUM(Main_!AA44:AA48)+Main_!AA50</f>
        <v>618736.5</v>
      </c>
      <c r="AA16" s="12">
        <f>SUM(Main_!AB44:AB48)+Main_!AB50</f>
        <v>617931.80000000005</v>
      </c>
      <c r="AB16" s="12">
        <f>SUM(Main_!AC44:AC48)+Main_!AC50</f>
        <v>638111.69999999995</v>
      </c>
      <c r="AC16" s="12">
        <f>SUM(Main_!AD44:AD48)+Main_!AD50</f>
        <v>746538.5</v>
      </c>
      <c r="AD16" s="12">
        <f>SUM(Main_!AE44:AE48)+Main_!AE50</f>
        <v>745733.8</v>
      </c>
      <c r="AE16" s="12">
        <f>SUM(Main_!AF44:AF48)+Main_!AF50</f>
        <v>744713.7</v>
      </c>
      <c r="AF16" s="12">
        <f>SUM(Main_!AG44:AG48)+Main_!AG50</f>
        <v>742047</v>
      </c>
      <c r="AG16" s="12">
        <f>SUM(Main_!AH44:AH48)+Main_!AH50</f>
        <v>741242.3</v>
      </c>
      <c r="AH16" s="12">
        <f>SUM(Main_!AI44:AI48)+Main_!AI50</f>
        <v>748922.2</v>
      </c>
      <c r="AI16" s="12">
        <f>SUM(Main_!AJ44:AJ48)+Main_!AJ50</f>
        <v>758047.2</v>
      </c>
      <c r="AJ16" s="12">
        <f>SUM(Main_!AK44:AK48)+Main_!AK50</f>
        <v>757242.5</v>
      </c>
      <c r="AK16" s="12">
        <f>SUM(Main_!AL44:AL48)+Main_!AL50</f>
        <v>756222.4</v>
      </c>
      <c r="AL16" s="12">
        <f>SUM(Main_!AM44:AM48)+Main_!AM50</f>
        <v>753555.7</v>
      </c>
      <c r="AM16" s="12">
        <f>SUM(Main_!AN44:AN48)+Main_!AN50</f>
        <v>752751</v>
      </c>
    </row>
    <row r="17" spans="1:39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Main_!Y49</f>
        <v>3000</v>
      </c>
      <c r="Y17" s="12">
        <f>Main_!Z49</f>
        <v>5750</v>
      </c>
      <c r="Z17" s="12">
        <f>Main_!AA49</f>
        <v>7750</v>
      </c>
      <c r="AA17" s="12">
        <f>Main_!AB49</f>
        <v>9000</v>
      </c>
      <c r="AB17" s="12">
        <f>Main_!AC49</f>
        <v>10000</v>
      </c>
      <c r="AC17" s="12">
        <f>Main_!AD49</f>
        <v>10000</v>
      </c>
      <c r="AD17" s="12">
        <f>Main_!AE49</f>
        <v>10000</v>
      </c>
      <c r="AE17" s="12">
        <f>Main_!AF49</f>
        <v>10000</v>
      </c>
      <c r="AF17" s="12">
        <f>Main_!AG49</f>
        <v>10000</v>
      </c>
      <c r="AG17" s="12">
        <f>Main_!AH49</f>
        <v>10000</v>
      </c>
      <c r="AH17" s="12">
        <f>Main_!AI49</f>
        <v>10000</v>
      </c>
      <c r="AI17" s="12">
        <f>Main_!AJ49</f>
        <v>10000</v>
      </c>
      <c r="AJ17" s="12">
        <f>Main_!AK49</f>
        <v>10000</v>
      </c>
      <c r="AK17" s="12">
        <f>Main_!AL49</f>
        <v>10000</v>
      </c>
      <c r="AL17" s="12">
        <f>Main_!AM49</f>
        <v>10000</v>
      </c>
      <c r="AM17" s="12">
        <f>Main_!AN49</f>
        <v>10000</v>
      </c>
    </row>
    <row r="18" spans="1:39" x14ac:dyDescent="0.35">
      <c r="A18" t="s">
        <v>143</v>
      </c>
      <c r="B18" s="12">
        <f>Main_!C56</f>
        <v>7524361.2999999998</v>
      </c>
      <c r="C18" s="12">
        <f>Main_!D56</f>
        <v>7872548.2999999998</v>
      </c>
      <c r="D18" s="12">
        <f>Main_!E56</f>
        <v>7601763</v>
      </c>
      <c r="E18" s="12">
        <f>Main_!F56</f>
        <v>6132655.2000000002</v>
      </c>
      <c r="F18" s="12">
        <f>Main_!G56</f>
        <v>6334590.5999999996</v>
      </c>
      <c r="G18" s="12">
        <f>Main_!H56</f>
        <v>6446231</v>
      </c>
      <c r="H18" s="12">
        <f>Main_!I56</f>
        <v>6712063.4000000004</v>
      </c>
      <c r="I18" s="12">
        <f>Main_!J56</f>
        <v>6828671.4000000004</v>
      </c>
      <c r="J18" s="12">
        <f>Main_!K56</f>
        <v>6643004.4000000004</v>
      </c>
      <c r="K18" s="12">
        <f>Main_!L56</f>
        <v>6811125</v>
      </c>
      <c r="L18" s="12">
        <f>Main_!M56</f>
        <v>7183391.5</v>
      </c>
      <c r="M18" s="12">
        <f>Main_!N56</f>
        <v>7251634.9000000004</v>
      </c>
      <c r="N18" s="12">
        <f>Main_!O56</f>
        <v>7140176.0999999996</v>
      </c>
      <c r="O18" s="12">
        <f>Main_!P56</f>
        <v>6938308.7999999998</v>
      </c>
      <c r="P18" s="12">
        <f>Main_!Q56</f>
        <v>6746505.0999999996</v>
      </c>
      <c r="Q18" s="12">
        <f>Main_!R56</f>
        <v>5011778</v>
      </c>
      <c r="R18" s="12">
        <f>Main_!S56</f>
        <v>4907126.4000000004</v>
      </c>
      <c r="S18" s="12">
        <f>Main_!T56</f>
        <v>5044614.2</v>
      </c>
      <c r="T18" s="12">
        <f>Main_!U56</f>
        <v>5087766.7</v>
      </c>
      <c r="U18" s="12">
        <f>Main_!V56</f>
        <v>5172247.3</v>
      </c>
      <c r="V18" s="12">
        <f>Main_!W56</f>
        <v>5046039</v>
      </c>
      <c r="W18" s="12">
        <f>Main_!X56</f>
        <v>4603329.0999999996</v>
      </c>
      <c r="X18" s="12">
        <f>Main_!Y56</f>
        <v>4665093</v>
      </c>
      <c r="Y18" s="12">
        <f>Main_!Z56</f>
        <v>4854458.2</v>
      </c>
      <c r="Z18" s="12">
        <f>Main_!AA56</f>
        <v>5255172.0999999996</v>
      </c>
      <c r="AA18" s="12">
        <f>Main_!AB56</f>
        <v>5447193.4000000004</v>
      </c>
      <c r="AB18" s="12">
        <f>Main_!AC56</f>
        <v>5792014.7999999998</v>
      </c>
      <c r="AC18" s="12">
        <f>Main_!AD56</f>
        <v>3809866.8</v>
      </c>
      <c r="AD18" s="12">
        <f>Main_!AE56</f>
        <v>3751160.1</v>
      </c>
      <c r="AE18" s="12">
        <f>Main_!AF56</f>
        <v>3393844.7</v>
      </c>
      <c r="AF18" s="12">
        <f>Main_!AG56</f>
        <v>3268903.8</v>
      </c>
      <c r="AG18" s="12">
        <f>Main_!AH56</f>
        <v>3296830.6</v>
      </c>
      <c r="AH18" s="12">
        <f>Main_!AI56</f>
        <v>2843025</v>
      </c>
      <c r="AI18" s="12">
        <f>Main_!AJ56</f>
        <v>4127953.1</v>
      </c>
      <c r="AJ18" s="12">
        <f>Main_!AK56</f>
        <v>3952913.1</v>
      </c>
      <c r="AK18" s="12">
        <f>Main_!AL56</f>
        <v>3927556.8</v>
      </c>
      <c r="AL18" s="12">
        <f>Main_!AM56</f>
        <v>4164859</v>
      </c>
      <c r="AM18" s="12">
        <f>Main_!AN56</f>
        <v>4157548</v>
      </c>
    </row>
    <row r="19" spans="1:39" x14ac:dyDescent="0.35">
      <c r="A19" t="s">
        <v>144</v>
      </c>
      <c r="B19" s="12">
        <f>Main_!C57</f>
        <v>131056.8</v>
      </c>
      <c r="C19" s="12">
        <f>Main_!D57</f>
        <v>127937.60000000001</v>
      </c>
      <c r="D19" s="12">
        <f>Main_!E57</f>
        <v>124467.7</v>
      </c>
      <c r="E19" s="12">
        <f>Main_!F57</f>
        <v>87189</v>
      </c>
      <c r="F19" s="12">
        <f>Main_!G57</f>
        <v>91023.8</v>
      </c>
      <c r="G19" s="12">
        <f>Main_!H57</f>
        <v>85457.2</v>
      </c>
      <c r="H19" s="12">
        <f>Main_!I57</f>
        <v>87072.1</v>
      </c>
      <c r="I19" s="12">
        <f>Main_!J57</f>
        <v>84818.4</v>
      </c>
      <c r="J19" s="12">
        <f>Main_!K57</f>
        <v>82330.3</v>
      </c>
      <c r="K19" s="12">
        <f>Main_!L57</f>
        <v>78258.100000000006</v>
      </c>
      <c r="L19" s="12">
        <f>Main_!M57</f>
        <v>78957.2</v>
      </c>
      <c r="M19" s="12">
        <f>Main_!N57</f>
        <v>75594.3</v>
      </c>
      <c r="N19" s="12">
        <f>Main_!O57</f>
        <v>73296.7</v>
      </c>
      <c r="O19" s="12">
        <f>Main_!P57</f>
        <v>74410.600000000006</v>
      </c>
      <c r="P19" s="12">
        <f>Main_!Q57</f>
        <v>75905.3</v>
      </c>
      <c r="Q19" s="12">
        <f>Main_!R57</f>
        <v>55880</v>
      </c>
      <c r="R19" s="12">
        <f>Main_!S57</f>
        <v>54958</v>
      </c>
      <c r="S19" s="12">
        <f>Main_!T57</f>
        <v>54910.8</v>
      </c>
      <c r="T19" s="12">
        <f>Main_!U57</f>
        <v>55082.7</v>
      </c>
      <c r="U19" s="12">
        <f>Main_!V57</f>
        <v>56355.4</v>
      </c>
      <c r="V19" s="12">
        <f>Main_!W57</f>
        <v>56200.2</v>
      </c>
      <c r="W19" s="12">
        <f>Main_!X57</f>
        <v>53684.4</v>
      </c>
      <c r="X19" s="12">
        <f>Main_!Y57</f>
        <v>54037.9</v>
      </c>
      <c r="Y19" s="12">
        <f>Main_!Z57</f>
        <v>53236.4</v>
      </c>
      <c r="Z19" s="12">
        <f>Main_!AA57</f>
        <v>56682.400000000001</v>
      </c>
      <c r="AA19" s="12">
        <f>Main_!AB57</f>
        <v>56126</v>
      </c>
      <c r="AB19" s="12">
        <f>Main_!AC57</f>
        <v>53758.7</v>
      </c>
      <c r="AC19" s="12">
        <f>Main_!AD57</f>
        <v>37469.300000000003</v>
      </c>
      <c r="AD19" s="12">
        <f>Main_!AE57</f>
        <v>38274.699999999997</v>
      </c>
      <c r="AE19" s="12">
        <f>Main_!AF57</f>
        <v>38699.800000000003</v>
      </c>
      <c r="AF19" s="12">
        <f>Main_!AG57</f>
        <v>39063.699999999997</v>
      </c>
      <c r="AG19" s="12">
        <f>Main_!AH57</f>
        <v>40421.4</v>
      </c>
      <c r="AH19" s="12">
        <f>Main_!AI57</f>
        <v>36162.9</v>
      </c>
      <c r="AI19" s="12">
        <f>Main_!AJ57</f>
        <v>52606.5</v>
      </c>
      <c r="AJ19" s="12">
        <f>Main_!AK57</f>
        <v>48303.6</v>
      </c>
      <c r="AK19" s="12">
        <f>Main_!AL57</f>
        <v>48891.8</v>
      </c>
      <c r="AL19" s="12">
        <f>Main_!AM57</f>
        <v>50259.199999999997</v>
      </c>
      <c r="AM19" s="12">
        <f>Main_!AN57</f>
        <v>51644.2</v>
      </c>
    </row>
    <row r="20" spans="1:39" x14ac:dyDescent="0.35">
      <c r="A20" t="s">
        <v>145</v>
      </c>
      <c r="B20" s="2">
        <f>Main_!C59</f>
        <v>0.6972048351213409</v>
      </c>
      <c r="C20" s="2">
        <f>Main_!D59</f>
        <v>0.69214834563487715</v>
      </c>
      <c r="D20" s="2">
        <f>Main_!E59</f>
        <v>0.66743580228906774</v>
      </c>
      <c r="E20" s="2">
        <f>Main_!F59</f>
        <v>0.58772418237386936</v>
      </c>
      <c r="F20" s="2">
        <f>Main_!G59</f>
        <v>0.58612420781234509</v>
      </c>
      <c r="G20" s="2">
        <f>Main_!H59</f>
        <v>0.58040692300221342</v>
      </c>
      <c r="H20" s="2">
        <f>Main_!I59</f>
        <v>0.56375189299396378</v>
      </c>
      <c r="I20" s="2">
        <f>Main_!J59</f>
        <v>0.54736274210545677</v>
      </c>
      <c r="J20" s="2">
        <f>Main_!K59</f>
        <v>0.53775787202023262</v>
      </c>
      <c r="K20" s="2">
        <f>Main_!L59</f>
        <v>0.53756743798178575</v>
      </c>
      <c r="L20" s="2">
        <f>Main_!M59</f>
        <v>0.53955916671507109</v>
      </c>
      <c r="M20" s="2">
        <f>Main_!N59</f>
        <v>0.52917729826219351</v>
      </c>
      <c r="N20" s="2">
        <f>Main_!O59</f>
        <v>0.5231536235194193</v>
      </c>
      <c r="O20" s="2">
        <f>Main_!P59</f>
        <v>0.512383593941514</v>
      </c>
      <c r="P20" s="2">
        <f>Main_!Q59</f>
        <v>0.5022546948271378</v>
      </c>
      <c r="Q20" s="2">
        <f>Main_!R59</f>
        <v>0.41886763318049314</v>
      </c>
      <c r="R20" s="2">
        <f>Main_!S59</f>
        <v>0.41158994383869518</v>
      </c>
      <c r="S20" s="2">
        <f>Main_!T59</f>
        <v>0.41151413411673016</v>
      </c>
      <c r="T20" s="2">
        <f>Main_!U59</f>
        <v>0.40590418684236312</v>
      </c>
      <c r="U20" s="2">
        <f>Main_!V59</f>
        <v>0.40563968683442053</v>
      </c>
      <c r="V20" s="2">
        <f>Main_!W59</f>
        <v>0.39720684013188351</v>
      </c>
      <c r="W20" s="2">
        <f>Main_!X59</f>
        <v>0.36529517554573743</v>
      </c>
      <c r="X20" s="2">
        <f>Main_!Y59</f>
        <v>0.37997060808910393</v>
      </c>
      <c r="Y20" s="2">
        <f>Main_!Z59</f>
        <v>0.39902590320943759</v>
      </c>
      <c r="Z20" s="2">
        <f>Main_!AA59</f>
        <v>0.41097342489213134</v>
      </c>
      <c r="AA20" s="2">
        <f>Main_!AB59</f>
        <v>0.42803007482099326</v>
      </c>
      <c r="AB20" s="2">
        <f>Main_!AC59</f>
        <v>0.4422491413528577</v>
      </c>
      <c r="AC20" s="2">
        <f>Main_!AD59</f>
        <v>0.32069666167967054</v>
      </c>
      <c r="AD20" s="2">
        <f>Main_!AE59</f>
        <v>0.31348987610193269</v>
      </c>
      <c r="AE20" s="2">
        <f>Main_!AF59</f>
        <v>0.28566261520677805</v>
      </c>
      <c r="AF20" s="2">
        <f>Main_!AG59</f>
        <v>0.27818709835467842</v>
      </c>
      <c r="AG20" s="2">
        <f>Main_!AH59</f>
        <v>0.27958756383360622</v>
      </c>
      <c r="AH20" s="2">
        <f>Main_!AI59</f>
        <v>0.24306928330558469</v>
      </c>
      <c r="AI20" s="2">
        <f>Main_!AJ59</f>
        <v>0.31533772633625834</v>
      </c>
      <c r="AJ20" s="2">
        <f>Main_!AK59</f>
        <v>0.30219969969969968</v>
      </c>
      <c r="AK20" s="2">
        <f>Main_!AL59</f>
        <v>0.2988476238851695</v>
      </c>
      <c r="AL20" s="2">
        <f>Main_!AM59</f>
        <v>0.3164114118935063</v>
      </c>
      <c r="AM20" s="2">
        <f>Main_!AN59</f>
        <v>0.31493092694611363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2"/>
  <sheetViews>
    <sheetView workbookViewId="0">
      <pane xSplit="1" ySplit="1" topLeftCell="AH2" activePane="bottomRight" state="frozen"/>
      <selection pane="topRight" activeCell="B1" sqref="B1"/>
      <selection pane="bottomLeft" activeCell="A2" sqref="A2"/>
      <selection pane="bottomRight" activeCell="AM12" sqref="AM12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39" width="9.90625" bestFit="1" customWidth="1"/>
  </cols>
  <sheetData>
    <row r="1" spans="1:39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231</v>
      </c>
      <c r="AF1" t="s">
        <v>236</v>
      </c>
      <c r="AG1" t="s">
        <v>237</v>
      </c>
      <c r="AH1" t="s">
        <v>241</v>
      </c>
      <c r="AI1" t="s">
        <v>246</v>
      </c>
      <c r="AJ1" t="s">
        <v>247</v>
      </c>
      <c r="AK1" t="s">
        <v>249</v>
      </c>
      <c r="AL1" t="s">
        <v>428</v>
      </c>
      <c r="AM1" t="s">
        <v>431</v>
      </c>
    </row>
    <row r="2" spans="1:39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</row>
    <row r="3" spans="1:39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</row>
    <row r="4" spans="1:39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</row>
    <row r="5" spans="1:39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</row>
    <row r="6" spans="1:39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</row>
    <row r="7" spans="1:39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</row>
    <row r="8" spans="1:39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</row>
    <row r="9" spans="1:39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</row>
    <row r="10" spans="1:39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</row>
    <row r="11" spans="1:39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</row>
    <row r="12" spans="1:39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C11" sqref="C11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Main_!AN38+Main_!AN33</f>
        <v>3410754.5</v>
      </c>
    </row>
    <row r="3" spans="1:2" x14ac:dyDescent="0.35">
      <c r="A3" t="s">
        <v>161</v>
      </c>
      <c r="B3" s="13">
        <f>SUM(Main_!AN8:AN24)</f>
        <v>1284971.7</v>
      </c>
    </row>
    <row r="4" spans="1:2" x14ac:dyDescent="0.35">
      <c r="A4" t="s">
        <v>160</v>
      </c>
      <c r="B4" s="13">
        <f>Main_!AN43+GETPIVOTDATA("Сумма, млн. руб",infra_invest!$N$17,"Получатель","ОАО «РЖД»")</f>
        <v>722141.3</v>
      </c>
    </row>
    <row r="5" spans="1:2" x14ac:dyDescent="0.35">
      <c r="A5" t="s">
        <v>168</v>
      </c>
      <c r="B5" s="13">
        <f>Main_!AN28+Main_!AN34+Main_!AN37+Main_!AN42</f>
        <v>587264.80000000005</v>
      </c>
    </row>
    <row r="6" spans="1:2" x14ac:dyDescent="0.35">
      <c r="A6" t="s">
        <v>167</v>
      </c>
      <c r="B6" s="13">
        <f>GETPIVOTDATA("Сумма, млн. руб",infra_invest!$N$17,"Получатель","ГК «Российские автомобильные дороги»")</f>
        <v>525801.30000000005</v>
      </c>
    </row>
    <row r="7" spans="1:2" x14ac:dyDescent="0.35">
      <c r="A7" t="s">
        <v>184</v>
      </c>
      <c r="B7" s="13">
        <f>Main_!AN50</f>
        <v>370209.9</v>
      </c>
    </row>
    <row r="8" spans="1:2" x14ac:dyDescent="0.35">
      <c r="A8" t="s">
        <v>182</v>
      </c>
      <c r="B8" s="13">
        <f>Main_!AN30+Main_!AN32+Main_!AN35</f>
        <v>316442.90000000002</v>
      </c>
    </row>
    <row r="9" spans="1:2" x14ac:dyDescent="0.35">
      <c r="A9" t="s">
        <v>170</v>
      </c>
      <c r="B9" s="13">
        <f>Main_!AN46</f>
        <v>264141.09999999998</v>
      </c>
    </row>
    <row r="10" spans="1:2" x14ac:dyDescent="0.35">
      <c r="A10" t="s">
        <v>173</v>
      </c>
      <c r="B10" s="13">
        <f>GETPIVOTDATA("Сумма, млн. руб",infra_invest!$N$17,"Получатель","АО «ГТЛК»")+Main_!AN41</f>
        <v>242066.40000000002</v>
      </c>
    </row>
    <row r="11" spans="1:2" x14ac:dyDescent="0.35">
      <c r="A11" t="s">
        <v>169</v>
      </c>
      <c r="B11" s="13">
        <f>structure!AM6</f>
        <v>240000</v>
      </c>
    </row>
    <row r="12" spans="1:2" x14ac:dyDescent="0.35">
      <c r="A12" t="s">
        <v>174</v>
      </c>
      <c r="B12" s="13">
        <f>GETPIVOTDATA("Сумма, млн. руб",infra_invest!$N$17,"Получатель","ООО «Авиакапитал-Сервис»")</f>
        <v>175149.5</v>
      </c>
    </row>
    <row r="13" spans="1:2" x14ac:dyDescent="0.35">
      <c r="A13" t="s">
        <v>172</v>
      </c>
      <c r="B13" s="13">
        <f>Main_!AN27*structure!AM2</f>
        <v>150032</v>
      </c>
    </row>
    <row r="14" spans="1:2" x14ac:dyDescent="0.35">
      <c r="A14" t="s">
        <v>176</v>
      </c>
      <c r="B14" s="13">
        <f>GETPIVOTDATA("Сумма, млн. руб",infra_invest!$N$17,"Получатель","ППК «Фонд развития территорий»")+GETPIVOTDATA("Сумма, млн. руб",infra_invest!$N$17,"Получатель","ГК Фонд содействия реформированию жилищно-коммунального хозяйства")</f>
        <v>146769.4</v>
      </c>
    </row>
    <row r="15" spans="1:2" x14ac:dyDescent="0.35">
      <c r="A15" t="s">
        <v>175</v>
      </c>
      <c r="B15" s="13">
        <f>Main_!AN40</f>
        <v>137000</v>
      </c>
    </row>
    <row r="16" spans="1:2" x14ac:dyDescent="0.35">
      <c r="A16" t="s">
        <v>177</v>
      </c>
      <c r="B16" s="13">
        <f>Main_!AN39</f>
        <v>119670.8</v>
      </c>
    </row>
    <row r="17" spans="1:2" x14ac:dyDescent="0.35">
      <c r="A17" t="s">
        <v>189</v>
      </c>
      <c r="B17" s="13">
        <f>rnwf_structure!AM17*structure!AM3</f>
        <v>110000</v>
      </c>
    </row>
    <row r="18" spans="1:2" x14ac:dyDescent="0.35">
      <c r="A18" t="s">
        <v>178</v>
      </c>
      <c r="B18" s="13">
        <f>Main_!AN47</f>
        <v>60000</v>
      </c>
    </row>
    <row r="19" spans="1:2" x14ac:dyDescent="0.35">
      <c r="A19" t="s">
        <v>223</v>
      </c>
      <c r="B19" s="12">
        <f>Main_!AN48</f>
        <v>58400</v>
      </c>
    </row>
    <row r="20" spans="1:2" x14ac:dyDescent="0.35">
      <c r="A20" t="s">
        <v>179</v>
      </c>
      <c r="B20" s="13">
        <f>GETPIVOTDATA("Сумма, млн. руб",infra_invest!$N$17,"Получатель","АО «Атомэнергопром»")</f>
        <v>57500</v>
      </c>
    </row>
    <row r="21" spans="1:2" x14ac:dyDescent="0.35">
      <c r="A21" t="s">
        <v>245</v>
      </c>
      <c r="B21" s="12">
        <f>Main_!AN36</f>
        <v>29565</v>
      </c>
    </row>
    <row r="22" spans="1:2" x14ac:dyDescent="0.35">
      <c r="A22" t="s">
        <v>180</v>
      </c>
      <c r="B22" s="13">
        <f>Main_!AN29</f>
        <v>25000</v>
      </c>
    </row>
    <row r="23" spans="1:2" x14ac:dyDescent="0.35">
      <c r="A23" t="s">
        <v>181</v>
      </c>
      <c r="B23" s="13">
        <f>GETPIVOTDATA("Сумма, млн. руб",infra_invest!$N$17,"Получатель","ООО «Инфраструктурные инвестиции - 4»")</f>
        <v>4050</v>
      </c>
    </row>
  </sheetData>
  <autoFilter ref="A1:B1">
    <sortState ref="A2:B23">
      <sortCondition descending="1"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N40"/>
  <sheetViews>
    <sheetView tabSelected="1" workbookViewId="0">
      <pane xSplit="2" ySplit="1" topLeftCell="GA19" activePane="bottomRight" state="frozen"/>
      <selection pane="topRight" activeCell="C1" sqref="C1"/>
      <selection pane="bottomLeft" activeCell="A2" sqref="A2"/>
      <selection pane="bottomRight" activeCell="GK27" sqref="GK27"/>
    </sheetView>
  </sheetViews>
  <sheetFormatPr defaultRowHeight="14.5" x14ac:dyDescent="0.35"/>
  <cols>
    <col min="137" max="137" width="9.90625" bestFit="1" customWidth="1"/>
    <col min="149" max="152" width="9.90625" bestFit="1" customWidth="1"/>
    <col min="176" max="176" width="9.81640625" bestFit="1" customWidth="1"/>
    <col min="190" max="190" width="11.81640625" bestFit="1" customWidth="1"/>
  </cols>
  <sheetData>
    <row r="1" spans="1:196" x14ac:dyDescent="0.35">
      <c r="A1" t="s">
        <v>252</v>
      </c>
      <c r="B1" s="33" t="s">
        <v>251</v>
      </c>
      <c r="C1" s="33"/>
      <c r="D1" s="33"/>
      <c r="E1" s="33"/>
      <c r="F1" t="s">
        <v>423</v>
      </c>
      <c r="G1" t="s">
        <v>422</v>
      </c>
      <c r="H1" t="s">
        <v>421</v>
      </c>
      <c r="I1" t="s">
        <v>420</v>
      </c>
      <c r="J1" t="s">
        <v>419</v>
      </c>
      <c r="K1" t="s">
        <v>418</v>
      </c>
      <c r="L1" t="s">
        <v>417</v>
      </c>
      <c r="M1" t="s">
        <v>416</v>
      </c>
      <c r="N1" t="s">
        <v>415</v>
      </c>
      <c r="O1" t="s">
        <v>414</v>
      </c>
      <c r="P1" t="s">
        <v>413</v>
      </c>
      <c r="Q1" t="s">
        <v>412</v>
      </c>
      <c r="R1" t="s">
        <v>411</v>
      </c>
      <c r="S1" t="s">
        <v>410</v>
      </c>
      <c r="T1" t="s">
        <v>409</v>
      </c>
      <c r="U1" t="s">
        <v>408</v>
      </c>
      <c r="V1" t="s">
        <v>407</v>
      </c>
      <c r="W1" t="s">
        <v>406</v>
      </c>
      <c r="X1" t="s">
        <v>405</v>
      </c>
      <c r="Y1" t="s">
        <v>404</v>
      </c>
      <c r="Z1" t="s">
        <v>403</v>
      </c>
      <c r="AA1" t="s">
        <v>402</v>
      </c>
      <c r="AB1" t="s">
        <v>401</v>
      </c>
      <c r="AC1" t="s">
        <v>400</v>
      </c>
      <c r="AD1" t="s">
        <v>399</v>
      </c>
      <c r="AE1" t="s">
        <v>398</v>
      </c>
      <c r="AF1" t="s">
        <v>397</v>
      </c>
      <c r="AG1" t="s">
        <v>396</v>
      </c>
      <c r="AH1" t="s">
        <v>395</v>
      </c>
      <c r="AI1" t="s">
        <v>394</v>
      </c>
      <c r="AJ1" t="s">
        <v>393</v>
      </c>
      <c r="AK1" t="s">
        <v>392</v>
      </c>
      <c r="AL1" t="s">
        <v>391</v>
      </c>
      <c r="AM1" t="s">
        <v>390</v>
      </c>
      <c r="AN1" t="s">
        <v>389</v>
      </c>
      <c r="AO1" t="s">
        <v>388</v>
      </c>
      <c r="AP1" t="s">
        <v>387</v>
      </c>
      <c r="AQ1" t="s">
        <v>386</v>
      </c>
      <c r="AR1" t="s">
        <v>385</v>
      </c>
      <c r="AS1" t="s">
        <v>384</v>
      </c>
      <c r="AT1" t="s">
        <v>383</v>
      </c>
      <c r="AU1" t="s">
        <v>382</v>
      </c>
      <c r="AV1" t="s">
        <v>381</v>
      </c>
      <c r="AW1" t="s">
        <v>380</v>
      </c>
      <c r="AX1" t="s">
        <v>379</v>
      </c>
      <c r="AY1" t="s">
        <v>378</v>
      </c>
      <c r="AZ1" t="s">
        <v>377</v>
      </c>
      <c r="BA1" t="s">
        <v>376</v>
      </c>
      <c r="BB1" t="s">
        <v>375</v>
      </c>
      <c r="BC1" t="s">
        <v>374</v>
      </c>
      <c r="BD1" t="s">
        <v>373</v>
      </c>
      <c r="BE1" t="s">
        <v>372</v>
      </c>
      <c r="BF1" t="s">
        <v>371</v>
      </c>
      <c r="BG1" t="s">
        <v>370</v>
      </c>
      <c r="BH1" t="s">
        <v>369</v>
      </c>
      <c r="BI1" t="s">
        <v>368</v>
      </c>
      <c r="BJ1" t="s">
        <v>367</v>
      </c>
      <c r="BK1" t="s">
        <v>366</v>
      </c>
      <c r="BL1" t="s">
        <v>365</v>
      </c>
      <c r="BM1" t="s">
        <v>364</v>
      </c>
      <c r="BN1" t="s">
        <v>363</v>
      </c>
      <c r="BO1" t="s">
        <v>362</v>
      </c>
      <c r="BP1" t="s">
        <v>361</v>
      </c>
      <c r="BQ1" t="s">
        <v>360</v>
      </c>
      <c r="BR1" t="s">
        <v>359</v>
      </c>
      <c r="BS1" t="s">
        <v>358</v>
      </c>
      <c r="BT1" t="s">
        <v>357</v>
      </c>
      <c r="BU1" t="s">
        <v>356</v>
      </c>
      <c r="BV1" t="s">
        <v>355</v>
      </c>
      <c r="BW1" t="s">
        <v>354</v>
      </c>
      <c r="BX1" t="s">
        <v>353</v>
      </c>
      <c r="BY1" t="s">
        <v>352</v>
      </c>
      <c r="BZ1" t="s">
        <v>351</v>
      </c>
      <c r="CA1" t="s">
        <v>343</v>
      </c>
      <c r="CB1" t="s">
        <v>350</v>
      </c>
      <c r="CC1" t="s">
        <v>349</v>
      </c>
      <c r="CD1" t="s">
        <v>348</v>
      </c>
      <c r="CE1" t="s">
        <v>347</v>
      </c>
      <c r="CF1" t="s">
        <v>346</v>
      </c>
      <c r="CG1" t="s">
        <v>345</v>
      </c>
      <c r="CH1" t="s">
        <v>344</v>
      </c>
      <c r="CI1" t="s">
        <v>342</v>
      </c>
      <c r="CJ1" t="s">
        <v>341</v>
      </c>
      <c r="CK1" t="s">
        <v>340</v>
      </c>
      <c r="CL1" t="s">
        <v>339</v>
      </c>
      <c r="CM1" t="s">
        <v>338</v>
      </c>
      <c r="CN1" t="s">
        <v>337</v>
      </c>
      <c r="CO1" t="s">
        <v>336</v>
      </c>
      <c r="CP1" t="s">
        <v>335</v>
      </c>
      <c r="CQ1" t="s">
        <v>334</v>
      </c>
      <c r="CR1" t="s">
        <v>333</v>
      </c>
      <c r="CS1" t="s">
        <v>332</v>
      </c>
      <c r="CT1" t="s">
        <v>331</v>
      </c>
      <c r="CU1" t="s">
        <v>330</v>
      </c>
      <c r="CV1" t="s">
        <v>329</v>
      </c>
      <c r="CW1" t="s">
        <v>328</v>
      </c>
      <c r="CX1" t="s">
        <v>327</v>
      </c>
      <c r="CY1" t="s">
        <v>326</v>
      </c>
      <c r="CZ1" t="s">
        <v>325</v>
      </c>
      <c r="DA1" t="s">
        <v>324</v>
      </c>
      <c r="DB1" t="s">
        <v>323</v>
      </c>
      <c r="DC1" t="s">
        <v>322</v>
      </c>
      <c r="DD1" t="s">
        <v>321</v>
      </c>
      <c r="DE1" t="s">
        <v>320</v>
      </c>
      <c r="DF1" t="s">
        <v>319</v>
      </c>
      <c r="DG1" t="s">
        <v>318</v>
      </c>
      <c r="DH1" t="s">
        <v>317</v>
      </c>
      <c r="DI1" t="s">
        <v>316</v>
      </c>
      <c r="DJ1" t="s">
        <v>315</v>
      </c>
      <c r="DK1" t="s">
        <v>314</v>
      </c>
      <c r="DL1" t="s">
        <v>313</v>
      </c>
      <c r="DM1" t="s">
        <v>312</v>
      </c>
      <c r="DN1" t="s">
        <v>311</v>
      </c>
      <c r="DO1" t="s">
        <v>310</v>
      </c>
      <c r="DP1" t="s">
        <v>309</v>
      </c>
      <c r="DQ1" t="s">
        <v>308</v>
      </c>
      <c r="DR1" t="s">
        <v>307</v>
      </c>
      <c r="DS1" t="s">
        <v>306</v>
      </c>
      <c r="DT1" t="s">
        <v>305</v>
      </c>
      <c r="DU1" t="s">
        <v>304</v>
      </c>
      <c r="DV1" t="s">
        <v>303</v>
      </c>
      <c r="DW1" t="s">
        <v>302</v>
      </c>
      <c r="DX1" t="s">
        <v>301</v>
      </c>
      <c r="DY1" t="s">
        <v>300</v>
      </c>
      <c r="DZ1" t="s">
        <v>299</v>
      </c>
      <c r="EA1" t="s">
        <v>298</v>
      </c>
      <c r="EB1" t="s">
        <v>297</v>
      </c>
      <c r="EC1" t="s">
        <v>296</v>
      </c>
      <c r="ED1" t="s">
        <v>295</v>
      </c>
      <c r="EE1" t="s">
        <v>294</v>
      </c>
      <c r="EF1" t="s">
        <v>293</v>
      </c>
      <c r="EG1" t="s">
        <v>292</v>
      </c>
      <c r="EH1" t="s">
        <v>291</v>
      </c>
      <c r="EI1" t="s">
        <v>290</v>
      </c>
      <c r="EJ1" t="s">
        <v>289</v>
      </c>
      <c r="EK1" t="s">
        <v>288</v>
      </c>
      <c r="EL1" t="s">
        <v>287</v>
      </c>
      <c r="EM1" t="s">
        <v>286</v>
      </c>
      <c r="EN1" t="s">
        <v>285</v>
      </c>
      <c r="EO1" t="s">
        <v>284</v>
      </c>
      <c r="EP1" t="s">
        <v>283</v>
      </c>
      <c r="EQ1" t="s">
        <v>282</v>
      </c>
      <c r="ER1" t="s">
        <v>281</v>
      </c>
      <c r="ES1" t="s">
        <v>280</v>
      </c>
      <c r="ET1" t="s">
        <v>279</v>
      </c>
      <c r="EU1" t="s">
        <v>278</v>
      </c>
      <c r="EV1" t="s">
        <v>277</v>
      </c>
      <c r="EW1" t="s">
        <v>276</v>
      </c>
      <c r="EX1" t="s">
        <v>275</v>
      </c>
      <c r="EY1" t="s">
        <v>274</v>
      </c>
      <c r="EZ1" t="s">
        <v>273</v>
      </c>
      <c r="FA1" t="s">
        <v>272</v>
      </c>
      <c r="FB1" t="s">
        <v>271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231</v>
      </c>
      <c r="GG1" t="s">
        <v>236</v>
      </c>
      <c r="GH1" t="s">
        <v>237</v>
      </c>
      <c r="GI1" t="s">
        <v>241</v>
      </c>
      <c r="GJ1" t="s">
        <v>246</v>
      </c>
      <c r="GK1" t="s">
        <v>247</v>
      </c>
      <c r="GL1" t="s">
        <v>249</v>
      </c>
      <c r="GM1" t="s">
        <v>428</v>
      </c>
      <c r="GN1" t="s">
        <v>431</v>
      </c>
    </row>
    <row r="2" spans="1:196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196" x14ac:dyDescent="0.35">
      <c r="A3" t="s">
        <v>256</v>
      </c>
      <c r="B3" t="s">
        <v>261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196" x14ac:dyDescent="0.35">
      <c r="A4" t="s">
        <v>256</v>
      </c>
      <c r="B4" t="s">
        <v>168</v>
      </c>
      <c r="CQ4">
        <v>11130</v>
      </c>
      <c r="GL4">
        <v>56805.7</v>
      </c>
    </row>
    <row r="5" spans="1:196" x14ac:dyDescent="0.35">
      <c r="A5" t="s">
        <v>153</v>
      </c>
      <c r="B5" t="s">
        <v>168</v>
      </c>
      <c r="GL5">
        <v>29944.400000000001</v>
      </c>
    </row>
    <row r="6" spans="1:196" x14ac:dyDescent="0.35">
      <c r="A6" t="s">
        <v>256</v>
      </c>
      <c r="B6" t="s">
        <v>182</v>
      </c>
      <c r="GK6">
        <v>623</v>
      </c>
      <c r="GL6">
        <v>0</v>
      </c>
    </row>
    <row r="7" spans="1:196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196" x14ac:dyDescent="0.35">
      <c r="A8" t="s">
        <v>256</v>
      </c>
      <c r="B8" t="s">
        <v>160</v>
      </c>
      <c r="FN8">
        <v>6535</v>
      </c>
      <c r="FZ8">
        <v>6535</v>
      </c>
      <c r="GL8">
        <v>6535</v>
      </c>
    </row>
    <row r="9" spans="1:196" x14ac:dyDescent="0.35">
      <c r="A9" t="s">
        <v>253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>
        <v>1804.2</v>
      </c>
      <c r="EB9">
        <v>2069.8000000000002</v>
      </c>
      <c r="EC9">
        <v>144.80000000000001</v>
      </c>
      <c r="ED9">
        <v>752.3</v>
      </c>
      <c r="EE9">
        <v>2013.3</v>
      </c>
      <c r="EF9">
        <v>2667.1</v>
      </c>
      <c r="EG9">
        <v>2178.6999999999998</v>
      </c>
      <c r="EH9">
        <v>1590.4</v>
      </c>
      <c r="EI9">
        <v>504.5</v>
      </c>
      <c r="EK9">
        <v>1473.8</v>
      </c>
      <c r="EM9">
        <v>2121.1</v>
      </c>
      <c r="EN9">
        <v>1496.2</v>
      </c>
      <c r="EP9">
        <v>5425.4</v>
      </c>
      <c r="EQ9">
        <v>353.2</v>
      </c>
      <c r="ES9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</row>
    <row r="10" spans="1:196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196" x14ac:dyDescent="0.35">
      <c r="A11" t="s">
        <v>153</v>
      </c>
      <c r="B11" t="s">
        <v>177</v>
      </c>
      <c r="GM11">
        <v>12461.3</v>
      </c>
    </row>
    <row r="12" spans="1:196" x14ac:dyDescent="0.35">
      <c r="A12" t="s">
        <v>255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</row>
    <row r="13" spans="1:196" x14ac:dyDescent="0.35">
      <c r="A13" t="s">
        <v>255</v>
      </c>
      <c r="B13" t="s">
        <v>159</v>
      </c>
      <c r="GJ13">
        <v>1659.5</v>
      </c>
      <c r="GM13">
        <v>4173.2</v>
      </c>
      <c r="GN13">
        <v>127.4</v>
      </c>
    </row>
    <row r="14" spans="1:196" x14ac:dyDescent="0.35">
      <c r="A14" t="s">
        <v>255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</row>
    <row r="15" spans="1:196" x14ac:dyDescent="0.35">
      <c r="A15" t="s">
        <v>255</v>
      </c>
      <c r="B15" t="s">
        <v>245</v>
      </c>
      <c r="GJ15">
        <v>520.79999999999995</v>
      </c>
      <c r="GM15">
        <v>1309.8</v>
      </c>
      <c r="GN15">
        <v>40</v>
      </c>
    </row>
    <row r="16" spans="1:196" x14ac:dyDescent="0.35">
      <c r="A16" t="s">
        <v>254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196" x14ac:dyDescent="0.35">
      <c r="A17" t="s">
        <v>254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</row>
    <row r="18" spans="1:196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</row>
    <row r="19" spans="1:196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</row>
    <row r="20" spans="1:196" x14ac:dyDescent="0.35">
      <c r="A20" t="s">
        <v>151</v>
      </c>
      <c r="B20" t="s">
        <v>257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196" x14ac:dyDescent="0.35">
      <c r="A21" t="s">
        <v>151</v>
      </c>
      <c r="B21" t="s">
        <v>270</v>
      </c>
      <c r="FM21">
        <v>1.2</v>
      </c>
    </row>
    <row r="22" spans="1:196" x14ac:dyDescent="0.35">
      <c r="A22" t="s">
        <v>151</v>
      </c>
      <c r="B22" t="s">
        <v>269</v>
      </c>
      <c r="FH22">
        <v>0.1</v>
      </c>
      <c r="FN22">
        <v>0.1</v>
      </c>
      <c r="FO22">
        <v>19.600000000000001</v>
      </c>
    </row>
    <row r="23" spans="1:196" x14ac:dyDescent="0.35">
      <c r="A23" t="s">
        <v>155</v>
      </c>
      <c r="B23" t="s">
        <v>169</v>
      </c>
      <c r="BN23">
        <v>4550</v>
      </c>
      <c r="BT23">
        <v>4040</v>
      </c>
    </row>
    <row r="24" spans="1:196" x14ac:dyDescent="0.35">
      <c r="A24" t="s">
        <v>253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</row>
    <row r="25" spans="1:196" x14ac:dyDescent="0.35">
      <c r="FW25" t="s">
        <v>258</v>
      </c>
      <c r="GC25" t="s">
        <v>258</v>
      </c>
      <c r="GE25" t="s">
        <v>258</v>
      </c>
      <c r="GF25" t="s">
        <v>258</v>
      </c>
      <c r="GG25" t="s">
        <v>258</v>
      </c>
      <c r="GH25" t="s">
        <v>258</v>
      </c>
      <c r="GI25" t="s">
        <v>258</v>
      </c>
      <c r="GK25" t="s">
        <v>259</v>
      </c>
      <c r="GL25" t="s">
        <v>258</v>
      </c>
      <c r="GM25" t="s">
        <v>259</v>
      </c>
      <c r="GN25" t="s">
        <v>259</v>
      </c>
    </row>
    <row r="26" spans="1:196" x14ac:dyDescent="0.35">
      <c r="FW26" t="s">
        <v>268</v>
      </c>
      <c r="GI26">
        <v>3169</v>
      </c>
      <c r="GN26" t="s">
        <v>433</v>
      </c>
    </row>
    <row r="28" spans="1:196" x14ac:dyDescent="0.35">
      <c r="FN28" t="s">
        <v>426</v>
      </c>
      <c r="FO28" t="s">
        <v>424</v>
      </c>
      <c r="FP28">
        <f>1156206</f>
        <v>1156206</v>
      </c>
      <c r="FW28">
        <f>17.66*FP28/1000000*structure!V2</f>
        <v>1837.6738163999999</v>
      </c>
      <c r="GC28">
        <f>16.4*FP28/1000000*structure!AB2</f>
        <v>2047.8720671999999</v>
      </c>
      <c r="GI28">
        <f>15.14*FP28/1000000*structure!AH2</f>
        <v>1382.8917483600001</v>
      </c>
    </row>
    <row r="29" spans="1:196" x14ac:dyDescent="0.35">
      <c r="FN29" t="s">
        <v>427</v>
      </c>
      <c r="FO29" t="s">
        <v>425</v>
      </c>
    </row>
    <row r="32" spans="1:196" x14ac:dyDescent="0.35">
      <c r="FU32" s="3" t="s">
        <v>260</v>
      </c>
      <c r="FV32" s="3"/>
      <c r="FW32" s="3"/>
      <c r="FX32" s="3">
        <v>82.3</v>
      </c>
      <c r="FY32" s="3"/>
      <c r="FZ32" s="3"/>
      <c r="GA32" s="3"/>
      <c r="GB32" s="3"/>
      <c r="GC32" s="3"/>
      <c r="GD32" s="3">
        <f>82.3+37.4</f>
        <v>119.69999999999999</v>
      </c>
      <c r="GE32" s="3"/>
      <c r="GF32" s="3">
        <f>93.5</f>
        <v>93.5</v>
      </c>
      <c r="GG32" s="3"/>
      <c r="GH32" s="3"/>
      <c r="GI32" s="3">
        <f>158.6</f>
        <v>158.6</v>
      </c>
      <c r="GJ32" s="3">
        <f>82.3+37.4</f>
        <v>119.69999999999999</v>
      </c>
      <c r="GK32" s="3"/>
      <c r="GL32" s="3">
        <f>93.5</f>
        <v>93.5</v>
      </c>
    </row>
    <row r="36" spans="190:193" ht="15" thickBot="1" x14ac:dyDescent="0.4">
      <c r="GI36" t="s">
        <v>262</v>
      </c>
      <c r="GJ36" t="s">
        <v>263</v>
      </c>
      <c r="GK36" t="s">
        <v>262</v>
      </c>
    </row>
    <row r="37" spans="190:193" x14ac:dyDescent="0.35">
      <c r="GH37" t="s">
        <v>266</v>
      </c>
      <c r="GI37" s="35">
        <v>1943.5</v>
      </c>
      <c r="GJ37" s="34">
        <v>56685.4</v>
      </c>
      <c r="GK37" s="34">
        <f>GJ37/GJ40</f>
        <v>631.65429994756153</v>
      </c>
    </row>
    <row r="38" spans="190:193" x14ac:dyDescent="0.35">
      <c r="GH38" t="s">
        <v>267</v>
      </c>
      <c r="GI38" s="36">
        <v>1875.5</v>
      </c>
      <c r="GJ38" s="34">
        <v>50583</v>
      </c>
      <c r="GK38" s="34">
        <f>GJ38/GJ40</f>
        <v>563.65429994756153</v>
      </c>
    </row>
    <row r="39" spans="190:193" ht="15" thickBot="1" x14ac:dyDescent="0.4">
      <c r="GH39" t="s">
        <v>265</v>
      </c>
      <c r="GI39" s="37">
        <f>GI38-GI37</f>
        <v>-68</v>
      </c>
      <c r="GJ39" s="34">
        <f>GJ38-GJ37</f>
        <v>-6102.4000000000015</v>
      </c>
      <c r="GK39" s="34">
        <f>GK38-GK37</f>
        <v>-68</v>
      </c>
    </row>
    <row r="40" spans="190:193" x14ac:dyDescent="0.35">
      <c r="GH40" t="s">
        <v>264</v>
      </c>
      <c r="GJ40">
        <f>GJ39/GI39</f>
        <v>89.741176470588258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0"/>
  <sheetViews>
    <sheetView topLeftCell="F16" workbookViewId="0">
      <selection activeCell="J19" sqref="J19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9.63281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1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1" ht="14.5" x14ac:dyDescent="0.35">
      <c r="A2" s="9">
        <v>2025</v>
      </c>
      <c r="B2" s="9" t="s">
        <v>111</v>
      </c>
      <c r="C2" s="9">
        <v>-482.4</v>
      </c>
      <c r="D2" s="9" t="s">
        <v>65</v>
      </c>
      <c r="F2" s="9" t="s">
        <v>69</v>
      </c>
      <c r="G2" s="9" t="s">
        <v>91</v>
      </c>
      <c r="H2" s="9" t="s">
        <v>166</v>
      </c>
      <c r="J2"/>
      <c r="K2"/>
    </row>
    <row r="3" spans="1:11" ht="14.5" x14ac:dyDescent="0.35">
      <c r="A3" s="9">
        <v>2025</v>
      </c>
      <c r="B3" s="9" t="s">
        <v>111</v>
      </c>
      <c r="C3" s="9">
        <v>-37.799999999999997</v>
      </c>
      <c r="D3" s="9" t="s">
        <v>65</v>
      </c>
      <c r="F3" s="9" t="s">
        <v>81</v>
      </c>
      <c r="G3" s="9" t="s">
        <v>250</v>
      </c>
      <c r="H3" s="9" t="s">
        <v>166</v>
      </c>
      <c r="J3"/>
      <c r="K3"/>
    </row>
    <row r="4" spans="1:11" ht="14.5" x14ac:dyDescent="0.35">
      <c r="A4" s="9">
        <v>2025</v>
      </c>
      <c r="B4" s="9" t="s">
        <v>111</v>
      </c>
      <c r="C4" s="9">
        <v>-804.7</v>
      </c>
      <c r="D4" s="9" t="s">
        <v>65</v>
      </c>
      <c r="F4" s="10" t="s">
        <v>92</v>
      </c>
      <c r="H4" s="9" t="s">
        <v>166</v>
      </c>
      <c r="J4"/>
      <c r="K4"/>
    </row>
    <row r="5" spans="1:11" ht="14.5" x14ac:dyDescent="0.35">
      <c r="A5" s="9">
        <v>2025</v>
      </c>
      <c r="B5" s="9" t="s">
        <v>111</v>
      </c>
      <c r="C5" s="9">
        <v>347.3</v>
      </c>
      <c r="D5" s="9" t="s">
        <v>65</v>
      </c>
      <c r="F5" s="9" t="s">
        <v>66</v>
      </c>
      <c r="G5" s="9" t="s">
        <v>205</v>
      </c>
      <c r="H5" s="9" t="s">
        <v>166</v>
      </c>
      <c r="J5"/>
      <c r="K5"/>
    </row>
    <row r="6" spans="1:11" ht="14.5" x14ac:dyDescent="0.35">
      <c r="A6" s="9">
        <v>2025</v>
      </c>
      <c r="B6" s="9" t="s">
        <v>111</v>
      </c>
      <c r="C6" s="9">
        <v>426.4</v>
      </c>
      <c r="D6" s="9" t="s">
        <v>65</v>
      </c>
      <c r="F6" s="9" t="s">
        <v>69</v>
      </c>
      <c r="G6" s="9" t="s">
        <v>78</v>
      </c>
      <c r="H6" s="9" t="s">
        <v>166</v>
      </c>
      <c r="J6"/>
      <c r="K6"/>
    </row>
    <row r="7" spans="1:11" ht="14.5" x14ac:dyDescent="0.35">
      <c r="A7" s="9">
        <v>2025</v>
      </c>
      <c r="B7" s="9" t="s">
        <v>77</v>
      </c>
      <c r="C7" s="9">
        <v>-239.8</v>
      </c>
      <c r="D7" s="9" t="s">
        <v>65</v>
      </c>
      <c r="F7" s="9" t="s">
        <v>82</v>
      </c>
      <c r="H7" s="9" t="s">
        <v>166</v>
      </c>
      <c r="J7"/>
      <c r="K7"/>
    </row>
    <row r="8" spans="1:11" ht="14.5" x14ac:dyDescent="0.35">
      <c r="A8" s="9">
        <v>2025</v>
      </c>
      <c r="B8" s="9" t="s">
        <v>77</v>
      </c>
      <c r="C8" s="9">
        <v>-94.3</v>
      </c>
      <c r="D8" s="9" t="s">
        <v>65</v>
      </c>
      <c r="F8" s="9" t="s">
        <v>69</v>
      </c>
      <c r="G8" s="9" t="s">
        <v>70</v>
      </c>
      <c r="H8" s="9" t="s">
        <v>166</v>
      </c>
      <c r="J8"/>
      <c r="K8"/>
    </row>
    <row r="9" spans="1:11" ht="14.5" x14ac:dyDescent="0.35">
      <c r="A9" s="9">
        <v>2025</v>
      </c>
      <c r="B9" s="9" t="s">
        <v>77</v>
      </c>
      <c r="C9" s="9">
        <v>-52.1</v>
      </c>
      <c r="D9" s="9" t="s">
        <v>65</v>
      </c>
      <c r="F9" s="9" t="s">
        <v>69</v>
      </c>
      <c r="G9" s="9" t="s">
        <v>78</v>
      </c>
      <c r="H9" s="9" t="s">
        <v>166</v>
      </c>
      <c r="J9"/>
      <c r="K9"/>
    </row>
    <row r="10" spans="1:11" ht="14.5" x14ac:dyDescent="0.35">
      <c r="A10" s="9">
        <v>2025</v>
      </c>
      <c r="B10" s="9" t="s">
        <v>77</v>
      </c>
      <c r="C10" s="9">
        <v>-220</v>
      </c>
      <c r="D10" s="9" t="s">
        <v>65</v>
      </c>
      <c r="F10" s="9" t="s">
        <v>69</v>
      </c>
      <c r="G10" s="9" t="s">
        <v>84</v>
      </c>
      <c r="H10" s="9" t="s">
        <v>166</v>
      </c>
      <c r="J10"/>
      <c r="K10"/>
    </row>
    <row r="11" spans="1:11" ht="14.5" x14ac:dyDescent="0.35">
      <c r="A11" s="9">
        <v>2025</v>
      </c>
      <c r="B11" s="9" t="s">
        <v>77</v>
      </c>
      <c r="C11" s="9">
        <v>-331.3</v>
      </c>
      <c r="D11" s="9" t="s">
        <v>65</v>
      </c>
      <c r="F11" s="9" t="s">
        <v>69</v>
      </c>
      <c r="G11" s="9" t="s">
        <v>91</v>
      </c>
      <c r="H11" s="9" t="s">
        <v>166</v>
      </c>
      <c r="J11"/>
      <c r="K11"/>
    </row>
    <row r="12" spans="1:11" ht="14.5" x14ac:dyDescent="0.35">
      <c r="A12" s="9">
        <v>2025</v>
      </c>
      <c r="B12" s="9" t="s">
        <v>77</v>
      </c>
      <c r="C12" s="9">
        <v>-0.1</v>
      </c>
      <c r="D12" s="9" t="s">
        <v>65</v>
      </c>
      <c r="F12" s="9" t="s">
        <v>81</v>
      </c>
      <c r="G12" s="9" t="s">
        <v>106</v>
      </c>
      <c r="H12" s="9" t="s">
        <v>166</v>
      </c>
      <c r="J12"/>
      <c r="K12"/>
    </row>
    <row r="13" spans="1:11" ht="14.5" x14ac:dyDescent="0.35">
      <c r="A13" s="9">
        <v>2025</v>
      </c>
      <c r="B13" s="9" t="s">
        <v>77</v>
      </c>
      <c r="C13" s="9">
        <v>-1.1000000000000001</v>
      </c>
      <c r="D13" s="9" t="s">
        <v>65</v>
      </c>
      <c r="F13" s="9" t="s">
        <v>81</v>
      </c>
      <c r="G13" s="9" t="s">
        <v>105</v>
      </c>
      <c r="H13" s="9" t="s">
        <v>166</v>
      </c>
      <c r="J13"/>
      <c r="K13"/>
    </row>
    <row r="14" spans="1:11" ht="14.5" x14ac:dyDescent="0.35">
      <c r="A14" s="9">
        <v>2025</v>
      </c>
      <c r="B14" s="9" t="s">
        <v>77</v>
      </c>
      <c r="C14" s="9">
        <v>-788.7</v>
      </c>
      <c r="D14" s="9" t="s">
        <v>65</v>
      </c>
      <c r="F14" s="9" t="s">
        <v>81</v>
      </c>
      <c r="G14" s="9" t="s">
        <v>250</v>
      </c>
      <c r="H14" s="9" t="s">
        <v>166</v>
      </c>
      <c r="J14"/>
      <c r="K14"/>
    </row>
    <row r="15" spans="1:11" ht="14.5" x14ac:dyDescent="0.35">
      <c r="A15" s="9">
        <v>2025</v>
      </c>
      <c r="B15" s="9" t="s">
        <v>77</v>
      </c>
      <c r="C15" s="9">
        <v>-2666.7</v>
      </c>
      <c r="D15" s="9" t="s">
        <v>65</v>
      </c>
      <c r="F15" s="10" t="s">
        <v>92</v>
      </c>
      <c r="H15" s="9" t="s">
        <v>166</v>
      </c>
      <c r="J15"/>
      <c r="K15"/>
    </row>
    <row r="16" spans="1:11" ht="14.5" x14ac:dyDescent="0.35">
      <c r="A16" s="9">
        <v>2025</v>
      </c>
      <c r="B16" s="9" t="s">
        <v>77</v>
      </c>
      <c r="C16" s="9">
        <v>156.9</v>
      </c>
      <c r="D16" s="9" t="s">
        <v>65</v>
      </c>
      <c r="F16" s="9" t="s">
        <v>66</v>
      </c>
      <c r="G16" s="9" t="s">
        <v>205</v>
      </c>
      <c r="H16" s="9" t="s">
        <v>166</v>
      </c>
      <c r="J16"/>
      <c r="K16"/>
    </row>
    <row r="17" spans="1:14" ht="14.5" x14ac:dyDescent="0.35">
      <c r="A17" s="9">
        <v>2025</v>
      </c>
      <c r="B17" s="9" t="s">
        <v>80</v>
      </c>
      <c r="C17" s="9">
        <v>-0.4</v>
      </c>
      <c r="D17" s="9" t="s">
        <v>65</v>
      </c>
      <c r="F17" s="9" t="s">
        <v>81</v>
      </c>
      <c r="G17" s="9" t="s">
        <v>105</v>
      </c>
      <c r="H17" s="9" t="s">
        <v>166</v>
      </c>
      <c r="J17" s="6" t="s">
        <v>162</v>
      </c>
      <c r="K17" s="14" t="s">
        <v>171</v>
      </c>
      <c r="L17"/>
      <c r="M17"/>
      <c r="N17"/>
    </row>
    <row r="18" spans="1:14" ht="14.5" x14ac:dyDescent="0.35">
      <c r="A18" s="9">
        <v>2025</v>
      </c>
      <c r="B18" s="9" t="s">
        <v>80</v>
      </c>
      <c r="C18" s="9">
        <v>-535.5</v>
      </c>
      <c r="D18" s="9" t="s">
        <v>65</v>
      </c>
      <c r="F18" s="9" t="s">
        <v>81</v>
      </c>
      <c r="G18" s="9" t="s">
        <v>250</v>
      </c>
      <c r="H18" s="9" t="s">
        <v>166</v>
      </c>
      <c r="J18" s="6" t="s">
        <v>163</v>
      </c>
      <c r="K18" t="s">
        <v>65</v>
      </c>
      <c r="L18" t="s">
        <v>98</v>
      </c>
      <c r="M18" t="s">
        <v>165</v>
      </c>
      <c r="N18" t="s">
        <v>164</v>
      </c>
    </row>
    <row r="19" spans="1:14" ht="14.5" x14ac:dyDescent="0.35">
      <c r="A19" s="9">
        <v>2025</v>
      </c>
      <c r="B19" s="9" t="s">
        <v>80</v>
      </c>
      <c r="C19" s="9">
        <v>-2.2000000000000002</v>
      </c>
      <c r="D19" s="9" t="s">
        <v>65</v>
      </c>
      <c r="F19" s="9" t="s">
        <v>69</v>
      </c>
      <c r="G19" s="9" t="s">
        <v>78</v>
      </c>
      <c r="H19" s="9" t="s">
        <v>166</v>
      </c>
      <c r="J19" s="39" t="s">
        <v>123</v>
      </c>
      <c r="K19" s="15"/>
      <c r="L19" s="15">
        <v>57500</v>
      </c>
      <c r="M19" s="15"/>
      <c r="N19" s="15">
        <v>57500</v>
      </c>
    </row>
    <row r="20" spans="1:14" ht="14.5" x14ac:dyDescent="0.35">
      <c r="A20" s="9">
        <v>2025</v>
      </c>
      <c r="B20" s="9" t="s">
        <v>80</v>
      </c>
      <c r="C20" s="9">
        <v>-181.3</v>
      </c>
      <c r="D20" s="9" t="s">
        <v>65</v>
      </c>
      <c r="F20" s="9" t="s">
        <v>69</v>
      </c>
      <c r="G20" s="9" t="s">
        <v>84</v>
      </c>
      <c r="H20" s="9" t="s">
        <v>166</v>
      </c>
      <c r="J20" s="39" t="s">
        <v>69</v>
      </c>
      <c r="K20" s="15">
        <v>183732.40000000002</v>
      </c>
      <c r="L20" s="15"/>
      <c r="M20" s="15"/>
      <c r="N20" s="15">
        <v>183732.40000000002</v>
      </c>
    </row>
    <row r="21" spans="1:14" ht="14.5" x14ac:dyDescent="0.35">
      <c r="A21" s="9">
        <v>2025</v>
      </c>
      <c r="B21" s="9" t="s">
        <v>80</v>
      </c>
      <c r="C21" s="9">
        <v>-622.70000000000005</v>
      </c>
      <c r="D21" s="9" t="s">
        <v>65</v>
      </c>
      <c r="F21" s="9" t="s">
        <v>69</v>
      </c>
      <c r="G21" s="9" t="s">
        <v>91</v>
      </c>
      <c r="H21" s="9" t="s">
        <v>166</v>
      </c>
      <c r="J21" s="39" t="s">
        <v>81</v>
      </c>
      <c r="K21" s="15">
        <v>525801.30000000005</v>
      </c>
      <c r="L21" s="15"/>
      <c r="M21" s="15"/>
      <c r="N21" s="15">
        <v>525801.30000000005</v>
      </c>
    </row>
    <row r="22" spans="1:14" ht="14.5" x14ac:dyDescent="0.35">
      <c r="A22" s="9">
        <v>2025</v>
      </c>
      <c r="B22" s="9" t="s">
        <v>80</v>
      </c>
      <c r="C22" s="9">
        <v>-1020.1</v>
      </c>
      <c r="D22" s="9" t="s">
        <v>65</v>
      </c>
      <c r="F22" s="10" t="s">
        <v>92</v>
      </c>
      <c r="J22" s="39" t="s">
        <v>110</v>
      </c>
      <c r="K22" s="15">
        <v>36999.899999999994</v>
      </c>
      <c r="L22" s="15"/>
      <c r="M22" s="15"/>
      <c r="N22" s="15">
        <v>36999.899999999994</v>
      </c>
    </row>
    <row r="23" spans="1:14" ht="14.5" x14ac:dyDescent="0.35">
      <c r="A23" s="9">
        <v>2025</v>
      </c>
      <c r="B23" s="9" t="s">
        <v>80</v>
      </c>
      <c r="C23" s="9">
        <v>1230.9000000000001</v>
      </c>
      <c r="D23" s="9" t="s">
        <v>65</v>
      </c>
      <c r="F23" s="9" t="s">
        <v>66</v>
      </c>
      <c r="G23" s="9" t="s">
        <v>205</v>
      </c>
      <c r="H23" s="9" t="s">
        <v>166</v>
      </c>
      <c r="J23" s="39" t="s">
        <v>99</v>
      </c>
      <c r="K23" s="15"/>
      <c r="L23" s="15">
        <v>255141.3</v>
      </c>
      <c r="M23" s="15"/>
      <c r="N23" s="15">
        <v>255141.3</v>
      </c>
    </row>
    <row r="24" spans="1:14" ht="14.5" x14ac:dyDescent="0.35">
      <c r="A24" s="9">
        <v>2025</v>
      </c>
      <c r="B24" s="9" t="s">
        <v>90</v>
      </c>
      <c r="C24" s="9">
        <v>-474.1</v>
      </c>
      <c r="D24" s="9" t="s">
        <v>65</v>
      </c>
      <c r="F24" s="9" t="s">
        <v>69</v>
      </c>
      <c r="G24" s="9" t="s">
        <v>91</v>
      </c>
      <c r="H24" s="9" t="s">
        <v>166</v>
      </c>
      <c r="J24" s="18" t="s">
        <v>85</v>
      </c>
      <c r="K24" s="15">
        <v>117247.90000000001</v>
      </c>
      <c r="L24" s="15"/>
      <c r="M24" s="15"/>
      <c r="N24" s="15">
        <v>117247.90000000001</v>
      </c>
    </row>
    <row r="25" spans="1:14" ht="14.5" x14ac:dyDescent="0.35">
      <c r="A25" s="9">
        <v>2025</v>
      </c>
      <c r="B25" s="9" t="s">
        <v>90</v>
      </c>
      <c r="C25" s="9">
        <v>-804.7</v>
      </c>
      <c r="D25" s="9" t="s">
        <v>65</v>
      </c>
      <c r="F25" s="10" t="s">
        <v>92</v>
      </c>
      <c r="J25" s="39" t="s">
        <v>82</v>
      </c>
      <c r="K25" s="15">
        <v>175149.5</v>
      </c>
      <c r="L25" s="15"/>
      <c r="M25" s="15"/>
      <c r="N25" s="15">
        <v>175149.5</v>
      </c>
    </row>
    <row r="26" spans="1:14" ht="14.5" x14ac:dyDescent="0.35">
      <c r="A26" s="9">
        <v>2025</v>
      </c>
      <c r="B26" s="9" t="s">
        <v>96</v>
      </c>
      <c r="C26" s="9">
        <v>-1.2</v>
      </c>
      <c r="D26" s="9" t="s">
        <v>65</v>
      </c>
      <c r="F26" s="9" t="s">
        <v>81</v>
      </c>
      <c r="G26" s="9" t="s">
        <v>105</v>
      </c>
      <c r="H26" s="9" t="s">
        <v>166</v>
      </c>
      <c r="J26" s="18" t="s">
        <v>113</v>
      </c>
      <c r="K26" s="15">
        <v>-23202</v>
      </c>
      <c r="L26" s="15"/>
      <c r="M26" s="15"/>
      <c r="N26" s="15">
        <v>-23202</v>
      </c>
    </row>
    <row r="27" spans="1:14" ht="14.5" x14ac:dyDescent="0.35">
      <c r="A27" s="9">
        <v>2025</v>
      </c>
      <c r="B27" s="9" t="s">
        <v>96</v>
      </c>
      <c r="C27" s="9">
        <v>-15.8</v>
      </c>
      <c r="D27" s="9" t="s">
        <v>65</v>
      </c>
      <c r="F27" s="9" t="s">
        <v>69</v>
      </c>
      <c r="G27" s="9" t="s">
        <v>78</v>
      </c>
      <c r="H27" s="9" t="s">
        <v>166</v>
      </c>
      <c r="J27" s="18" t="s">
        <v>107</v>
      </c>
      <c r="K27" s="15">
        <v>0</v>
      </c>
      <c r="L27" s="15"/>
      <c r="M27" s="15"/>
      <c r="N27" s="15">
        <v>0</v>
      </c>
    </row>
    <row r="28" spans="1:14" ht="14.5" x14ac:dyDescent="0.35">
      <c r="A28" s="9">
        <v>2025</v>
      </c>
      <c r="B28" s="9" t="s">
        <v>96</v>
      </c>
      <c r="C28" s="9">
        <v>-76.2</v>
      </c>
      <c r="D28" s="9" t="s">
        <v>65</v>
      </c>
      <c r="F28" s="9" t="s">
        <v>69</v>
      </c>
      <c r="G28" s="9" t="s">
        <v>70</v>
      </c>
      <c r="H28" s="9" t="s">
        <v>166</v>
      </c>
      <c r="J28" s="39" t="s">
        <v>125</v>
      </c>
      <c r="K28" s="15">
        <v>4050</v>
      </c>
      <c r="L28" s="15"/>
      <c r="M28" s="15"/>
      <c r="N28" s="15">
        <v>4050</v>
      </c>
    </row>
    <row r="29" spans="1:14" ht="14.5" x14ac:dyDescent="0.35">
      <c r="A29" s="9">
        <v>2025</v>
      </c>
      <c r="B29" s="9" t="s">
        <v>96</v>
      </c>
      <c r="C29" s="9">
        <v>-178.4</v>
      </c>
      <c r="D29" s="9" t="s">
        <v>65</v>
      </c>
      <c r="F29" s="9" t="s">
        <v>69</v>
      </c>
      <c r="G29" s="9" t="s">
        <v>84</v>
      </c>
      <c r="H29" s="9" t="s">
        <v>166</v>
      </c>
      <c r="J29" s="39" t="s">
        <v>66</v>
      </c>
      <c r="K29" s="15">
        <v>109769.5</v>
      </c>
      <c r="L29" s="15"/>
      <c r="M29" s="15"/>
      <c r="N29" s="15">
        <v>109769.5</v>
      </c>
    </row>
    <row r="30" spans="1:14" ht="14.5" x14ac:dyDescent="0.35">
      <c r="A30" s="9">
        <v>2025</v>
      </c>
      <c r="B30" s="9" t="s">
        <v>96</v>
      </c>
      <c r="C30" s="9">
        <v>-326.3</v>
      </c>
      <c r="D30" s="9" t="s">
        <v>65</v>
      </c>
      <c r="F30" s="9" t="s">
        <v>69</v>
      </c>
      <c r="G30" s="9" t="s">
        <v>91</v>
      </c>
      <c r="H30" s="9" t="s">
        <v>166</v>
      </c>
      <c r="J30" s="18" t="s">
        <v>165</v>
      </c>
      <c r="K30" s="15"/>
      <c r="L30" s="15"/>
      <c r="M30" s="15"/>
      <c r="N30" s="15"/>
    </row>
    <row r="31" spans="1:14" ht="14.5" x14ac:dyDescent="0.35">
      <c r="A31" s="9">
        <v>2025</v>
      </c>
      <c r="B31" s="9" t="s">
        <v>96</v>
      </c>
      <c r="C31" s="9">
        <v>-2666.7</v>
      </c>
      <c r="D31" s="9" t="s">
        <v>65</v>
      </c>
      <c r="F31" s="10" t="s">
        <v>92</v>
      </c>
      <c r="J31" s="18" t="s">
        <v>92</v>
      </c>
      <c r="K31" s="15">
        <v>-28423.5</v>
      </c>
      <c r="L31" s="15"/>
      <c r="M31" s="15"/>
      <c r="N31" s="15">
        <v>-28423.5</v>
      </c>
    </row>
    <row r="32" spans="1:14" ht="14.5" x14ac:dyDescent="0.35">
      <c r="A32" s="9">
        <v>2025</v>
      </c>
      <c r="B32" s="9" t="s">
        <v>96</v>
      </c>
      <c r="C32" s="9">
        <v>3371.7</v>
      </c>
      <c r="D32" s="9" t="s">
        <v>65</v>
      </c>
      <c r="F32" s="9" t="s">
        <v>69</v>
      </c>
      <c r="G32" s="9" t="s">
        <v>78</v>
      </c>
      <c r="H32" s="9" t="s">
        <v>166</v>
      </c>
      <c r="J32" s="18" t="s">
        <v>86</v>
      </c>
      <c r="K32" s="15">
        <v>-2298.9</v>
      </c>
      <c r="L32" s="15"/>
      <c r="M32" s="15"/>
      <c r="N32" s="15">
        <v>-2298.9</v>
      </c>
    </row>
    <row r="33" spans="1:14" ht="14.5" x14ac:dyDescent="0.35">
      <c r="A33" s="9">
        <v>2025</v>
      </c>
      <c r="B33" s="9" t="s">
        <v>97</v>
      </c>
      <c r="C33" s="9">
        <v>-0.4</v>
      </c>
      <c r="D33" s="9" t="s">
        <v>65</v>
      </c>
      <c r="F33" s="9" t="s">
        <v>81</v>
      </c>
      <c r="G33" s="9" t="s">
        <v>105</v>
      </c>
      <c r="H33" s="9" t="s">
        <v>166</v>
      </c>
      <c r="J33" s="18" t="s">
        <v>94</v>
      </c>
      <c r="K33" s="15">
        <v>-11851.9</v>
      </c>
      <c r="L33" s="15"/>
      <c r="M33" s="15"/>
      <c r="N33" s="15">
        <v>-11851.9</v>
      </c>
    </row>
    <row r="34" spans="1:14" ht="14.5" x14ac:dyDescent="0.35">
      <c r="A34" s="9">
        <v>2025</v>
      </c>
      <c r="B34" s="9" t="s">
        <v>97</v>
      </c>
      <c r="C34" s="9">
        <v>-180.1</v>
      </c>
      <c r="D34" s="9" t="s">
        <v>65</v>
      </c>
      <c r="F34" s="9" t="s">
        <v>69</v>
      </c>
      <c r="G34" s="9" t="s">
        <v>84</v>
      </c>
      <c r="H34" s="9" t="s">
        <v>166</v>
      </c>
      <c r="J34" s="18" t="s">
        <v>220</v>
      </c>
      <c r="K34" s="15">
        <v>111093.5</v>
      </c>
      <c r="L34" s="15"/>
      <c r="M34" s="15"/>
      <c r="N34" s="15">
        <v>111093.5</v>
      </c>
    </row>
    <row r="35" spans="1:14" ht="14.5" x14ac:dyDescent="0.35">
      <c r="A35" s="9">
        <v>2025</v>
      </c>
      <c r="B35" s="9" t="s">
        <v>97</v>
      </c>
      <c r="C35" s="9">
        <v>-612.1</v>
      </c>
      <c r="D35" s="9" t="s">
        <v>65</v>
      </c>
      <c r="F35" s="9" t="s">
        <v>69</v>
      </c>
      <c r="G35" s="9" t="s">
        <v>91</v>
      </c>
      <c r="H35" s="9" t="s">
        <v>166</v>
      </c>
      <c r="J35" s="16" t="s">
        <v>164</v>
      </c>
      <c r="K35" s="15">
        <v>1198067.7000000002</v>
      </c>
      <c r="L35" s="15">
        <v>312641.3</v>
      </c>
      <c r="M35" s="15"/>
      <c r="N35" s="15">
        <v>1510709.0000000002</v>
      </c>
    </row>
    <row r="36" spans="1:14" ht="14.5" x14ac:dyDescent="0.35">
      <c r="A36" s="9">
        <v>2025</v>
      </c>
      <c r="B36" s="9" t="s">
        <v>97</v>
      </c>
      <c r="C36" s="9">
        <v>-1020.1</v>
      </c>
      <c r="D36" s="9" t="s">
        <v>65</v>
      </c>
      <c r="F36" s="10" t="s">
        <v>92</v>
      </c>
      <c r="J36"/>
      <c r="K36"/>
    </row>
    <row r="37" spans="1:14" ht="14.5" x14ac:dyDescent="0.35">
      <c r="A37" s="9">
        <v>2025</v>
      </c>
      <c r="B37" s="9" t="s">
        <v>97</v>
      </c>
      <c r="C37" s="9">
        <v>660.2</v>
      </c>
      <c r="D37" s="9" t="s">
        <v>65</v>
      </c>
      <c r="F37" s="9" t="s">
        <v>66</v>
      </c>
      <c r="G37" s="9" t="s">
        <v>222</v>
      </c>
      <c r="H37" s="9" t="s">
        <v>166</v>
      </c>
      <c r="J37"/>
      <c r="K37"/>
    </row>
    <row r="38" spans="1:14" ht="14.5" x14ac:dyDescent="0.35">
      <c r="A38" s="9">
        <v>2025</v>
      </c>
      <c r="B38" s="9" t="s">
        <v>97</v>
      </c>
      <c r="C38" s="9">
        <v>6579.2</v>
      </c>
      <c r="D38" s="9" t="s">
        <v>65</v>
      </c>
      <c r="F38" s="9" t="s">
        <v>69</v>
      </c>
      <c r="G38" s="9" t="s">
        <v>70</v>
      </c>
      <c r="H38" s="9" t="s">
        <v>166</v>
      </c>
      <c r="J38"/>
      <c r="K38"/>
    </row>
    <row r="39" spans="1:14" ht="14.5" x14ac:dyDescent="0.35">
      <c r="A39" s="9">
        <v>2025</v>
      </c>
      <c r="B39" s="9" t="s">
        <v>101</v>
      </c>
      <c r="C39" s="9">
        <v>-464.4</v>
      </c>
      <c r="D39" s="9" t="s">
        <v>65</v>
      </c>
      <c r="F39" s="9" t="s">
        <v>69</v>
      </c>
      <c r="G39" s="9" t="s">
        <v>91</v>
      </c>
      <c r="H39" s="9" t="s">
        <v>166</v>
      </c>
      <c r="J39"/>
      <c r="K39"/>
    </row>
    <row r="40" spans="1:14" ht="14.5" x14ac:dyDescent="0.35">
      <c r="A40" s="9">
        <v>2025</v>
      </c>
      <c r="B40" s="9" t="s">
        <v>101</v>
      </c>
      <c r="C40" s="9">
        <v>-804.7</v>
      </c>
      <c r="D40" s="9" t="s">
        <v>65</v>
      </c>
      <c r="F40" s="10" t="s">
        <v>92</v>
      </c>
      <c r="J40"/>
      <c r="K40"/>
    </row>
    <row r="41" spans="1:14" ht="14.5" x14ac:dyDescent="0.35">
      <c r="A41" s="9">
        <v>2025</v>
      </c>
      <c r="B41" s="9" t="s">
        <v>101</v>
      </c>
      <c r="C41" s="9">
        <v>374</v>
      </c>
      <c r="D41" s="9" t="s">
        <v>65</v>
      </c>
      <c r="F41" s="9" t="s">
        <v>66</v>
      </c>
      <c r="G41" s="9" t="s">
        <v>222</v>
      </c>
      <c r="H41" s="9" t="s">
        <v>166</v>
      </c>
      <c r="J41"/>
      <c r="K41"/>
    </row>
    <row r="42" spans="1:14" ht="14.5" x14ac:dyDescent="0.35">
      <c r="A42" s="9">
        <v>2025</v>
      </c>
      <c r="B42" s="9" t="s">
        <v>102</v>
      </c>
      <c r="C42" s="9">
        <v>-1.2</v>
      </c>
      <c r="D42" s="9" t="s">
        <v>65</v>
      </c>
      <c r="F42" s="9" t="s">
        <v>81</v>
      </c>
      <c r="G42" s="9" t="s">
        <v>105</v>
      </c>
      <c r="H42" s="9" t="s">
        <v>166</v>
      </c>
      <c r="J42"/>
      <c r="K42"/>
    </row>
    <row r="43" spans="1:14" ht="14.5" x14ac:dyDescent="0.35">
      <c r="A43" s="9">
        <v>2025</v>
      </c>
      <c r="B43" s="9" t="s">
        <v>102</v>
      </c>
      <c r="C43" s="9">
        <v>-5.9</v>
      </c>
      <c r="D43" s="9" t="s">
        <v>65</v>
      </c>
      <c r="F43" s="9" t="s">
        <v>69</v>
      </c>
      <c r="G43" s="9" t="s">
        <v>78</v>
      </c>
      <c r="H43" s="9" t="s">
        <v>166</v>
      </c>
      <c r="J43"/>
      <c r="K43"/>
    </row>
    <row r="44" spans="1:14" x14ac:dyDescent="0.3">
      <c r="A44" s="9">
        <v>2025</v>
      </c>
      <c r="B44" s="9" t="s">
        <v>102</v>
      </c>
      <c r="C44" s="9">
        <v>-128.19999999999999</v>
      </c>
      <c r="D44" s="9" t="s">
        <v>65</v>
      </c>
      <c r="F44" s="9" t="s">
        <v>69</v>
      </c>
      <c r="G44" s="9" t="s">
        <v>91</v>
      </c>
      <c r="H44" s="9" t="s">
        <v>166</v>
      </c>
    </row>
    <row r="45" spans="1:14" x14ac:dyDescent="0.3">
      <c r="A45" s="9">
        <v>2025</v>
      </c>
      <c r="B45" s="9" t="s">
        <v>102</v>
      </c>
      <c r="C45" s="9">
        <v>-2666.7</v>
      </c>
      <c r="D45" s="9" t="s">
        <v>65</v>
      </c>
      <c r="F45" s="10" t="s">
        <v>92</v>
      </c>
      <c r="H45" s="9" t="s">
        <v>166</v>
      </c>
    </row>
    <row r="46" spans="1:14" x14ac:dyDescent="0.3">
      <c r="A46" s="9">
        <v>2025</v>
      </c>
      <c r="B46" s="9" t="s">
        <v>102</v>
      </c>
      <c r="C46" s="9">
        <v>2563</v>
      </c>
      <c r="D46" s="9" t="s">
        <v>65</v>
      </c>
      <c r="F46" s="9" t="s">
        <v>69</v>
      </c>
      <c r="G46" s="9" t="s">
        <v>78</v>
      </c>
      <c r="H46" s="9" t="s">
        <v>166</v>
      </c>
    </row>
    <row r="47" spans="1:14" x14ac:dyDescent="0.3">
      <c r="A47" s="9">
        <v>2025</v>
      </c>
      <c r="B47" s="9" t="s">
        <v>103</v>
      </c>
      <c r="C47" s="9">
        <v>-0.4</v>
      </c>
      <c r="D47" s="9" t="s">
        <v>65</v>
      </c>
      <c r="F47" s="9" t="s">
        <v>81</v>
      </c>
      <c r="G47" s="9" t="s">
        <v>105</v>
      </c>
      <c r="H47" s="9" t="s">
        <v>166</v>
      </c>
    </row>
    <row r="48" spans="1:14" x14ac:dyDescent="0.3">
      <c r="A48" s="9">
        <v>2025</v>
      </c>
      <c r="B48" s="9" t="s">
        <v>103</v>
      </c>
      <c r="C48" s="9">
        <v>-179.9</v>
      </c>
      <c r="D48" s="9" t="s">
        <v>65</v>
      </c>
      <c r="F48" s="9" t="s">
        <v>69</v>
      </c>
      <c r="G48" s="9" t="s">
        <v>84</v>
      </c>
      <c r="H48" s="9" t="s">
        <v>166</v>
      </c>
    </row>
    <row r="49" spans="1:8" x14ac:dyDescent="0.3">
      <c r="A49" s="9">
        <v>2025</v>
      </c>
      <c r="B49" s="9" t="s">
        <v>103</v>
      </c>
      <c r="C49" s="9">
        <v>-404.5</v>
      </c>
      <c r="D49" s="9" t="s">
        <v>65</v>
      </c>
      <c r="F49" s="9" t="s">
        <v>69</v>
      </c>
      <c r="G49" s="9" t="s">
        <v>91</v>
      </c>
      <c r="H49" s="9" t="s">
        <v>166</v>
      </c>
    </row>
    <row r="50" spans="1:8" x14ac:dyDescent="0.3">
      <c r="A50" s="9">
        <v>2025</v>
      </c>
      <c r="B50" s="9" t="s">
        <v>103</v>
      </c>
      <c r="C50" s="9">
        <v>-1020.1</v>
      </c>
      <c r="D50" s="9" t="s">
        <v>65</v>
      </c>
      <c r="F50" s="10" t="s">
        <v>92</v>
      </c>
    </row>
    <row r="51" spans="1:8" x14ac:dyDescent="0.3">
      <c r="A51" s="9">
        <v>2025</v>
      </c>
      <c r="B51" s="9" t="s">
        <v>121</v>
      </c>
      <c r="C51" s="9">
        <v>-254.1</v>
      </c>
      <c r="D51" s="9" t="s">
        <v>65</v>
      </c>
      <c r="F51" s="9" t="s">
        <v>69</v>
      </c>
      <c r="G51" s="9" t="s">
        <v>91</v>
      </c>
      <c r="H51" s="9" t="s">
        <v>166</v>
      </c>
    </row>
    <row r="52" spans="1:8" x14ac:dyDescent="0.3">
      <c r="A52" s="9">
        <v>2025</v>
      </c>
      <c r="B52" s="9" t="s">
        <v>121</v>
      </c>
      <c r="C52" s="9">
        <v>-804.7</v>
      </c>
      <c r="D52" s="9" t="s">
        <v>65</v>
      </c>
      <c r="F52" s="10" t="s">
        <v>92</v>
      </c>
    </row>
    <row r="53" spans="1:8" x14ac:dyDescent="0.3">
      <c r="A53" s="9">
        <v>2024</v>
      </c>
      <c r="B53" s="9" t="s">
        <v>104</v>
      </c>
      <c r="C53" s="9">
        <v>-5.4</v>
      </c>
      <c r="D53" s="9" t="s">
        <v>65</v>
      </c>
      <c r="F53" s="9" t="s">
        <v>69</v>
      </c>
      <c r="G53" s="9" t="s">
        <v>78</v>
      </c>
      <c r="H53" s="9" t="s">
        <v>166</v>
      </c>
    </row>
    <row r="54" spans="1:8" x14ac:dyDescent="0.3">
      <c r="A54" s="9">
        <v>2024</v>
      </c>
      <c r="B54" s="9" t="s">
        <v>104</v>
      </c>
      <c r="C54" s="9">
        <v>-126.8</v>
      </c>
      <c r="D54" s="9" t="s">
        <v>65</v>
      </c>
      <c r="F54" s="9" t="s">
        <v>69</v>
      </c>
      <c r="G54" s="9" t="s">
        <v>91</v>
      </c>
      <c r="H54" s="9" t="s">
        <v>166</v>
      </c>
    </row>
    <row r="55" spans="1:8" x14ac:dyDescent="0.3">
      <c r="A55" s="9">
        <v>2024</v>
      </c>
      <c r="B55" s="9" t="s">
        <v>104</v>
      </c>
      <c r="C55" s="9">
        <v>-2666.7</v>
      </c>
      <c r="D55" s="9" t="s">
        <v>65</v>
      </c>
      <c r="F55" s="10" t="s">
        <v>92</v>
      </c>
      <c r="H55" s="9" t="s">
        <v>166</v>
      </c>
    </row>
    <row r="56" spans="1:8" x14ac:dyDescent="0.3">
      <c r="A56" s="9">
        <v>2024</v>
      </c>
      <c r="B56" s="9" t="s">
        <v>104</v>
      </c>
      <c r="C56" s="9">
        <v>347.4</v>
      </c>
      <c r="D56" s="9" t="s">
        <v>65</v>
      </c>
      <c r="E56" s="9">
        <v>347398</v>
      </c>
      <c r="F56" s="9" t="s">
        <v>69</v>
      </c>
      <c r="G56" s="9" t="s">
        <v>78</v>
      </c>
      <c r="H56" s="9" t="s">
        <v>166</v>
      </c>
    </row>
    <row r="57" spans="1:8" x14ac:dyDescent="0.3">
      <c r="A57" s="9">
        <v>2024</v>
      </c>
      <c r="B57" s="9" t="s">
        <v>104</v>
      </c>
      <c r="C57" s="9">
        <v>564.4</v>
      </c>
      <c r="D57" s="9" t="s">
        <v>65</v>
      </c>
      <c r="E57" s="9">
        <v>564369</v>
      </c>
      <c r="F57" s="9" t="s">
        <v>66</v>
      </c>
      <c r="G57" s="9" t="s">
        <v>222</v>
      </c>
      <c r="H57" s="9" t="s">
        <v>166</v>
      </c>
    </row>
    <row r="58" spans="1:8" x14ac:dyDescent="0.3">
      <c r="A58" s="9">
        <v>2024</v>
      </c>
      <c r="B58" s="9" t="s">
        <v>104</v>
      </c>
      <c r="C58" s="9">
        <v>2519.9</v>
      </c>
      <c r="D58" s="9" t="s">
        <v>65</v>
      </c>
      <c r="E58" s="9">
        <v>2519900</v>
      </c>
      <c r="F58" s="9" t="s">
        <v>81</v>
      </c>
      <c r="G58" s="9" t="s">
        <v>64</v>
      </c>
      <c r="H58" s="9" t="s">
        <v>166</v>
      </c>
    </row>
    <row r="59" spans="1:8" x14ac:dyDescent="0.3">
      <c r="A59" s="9">
        <v>2024</v>
      </c>
      <c r="B59" s="9" t="s">
        <v>104</v>
      </c>
      <c r="C59" s="9">
        <v>6286.5</v>
      </c>
      <c r="D59" s="9" t="s">
        <v>65</v>
      </c>
      <c r="E59" s="9">
        <v>6286533</v>
      </c>
      <c r="F59" s="9" t="s">
        <v>69</v>
      </c>
      <c r="G59" s="9" t="s">
        <v>91</v>
      </c>
      <c r="H59" s="9" t="s">
        <v>166</v>
      </c>
    </row>
    <row r="60" spans="1:8" x14ac:dyDescent="0.3">
      <c r="A60" s="9">
        <v>2024</v>
      </c>
      <c r="B60" s="9" t="s">
        <v>104</v>
      </c>
      <c r="C60" s="9">
        <v>32841.800000000003</v>
      </c>
      <c r="D60" s="9" t="s">
        <v>65</v>
      </c>
      <c r="E60" s="9">
        <v>32841792</v>
      </c>
      <c r="F60" s="9" t="s">
        <v>81</v>
      </c>
      <c r="G60" s="9" t="s">
        <v>68</v>
      </c>
      <c r="H60" s="9" t="s">
        <v>166</v>
      </c>
    </row>
    <row r="61" spans="1:8" x14ac:dyDescent="0.3">
      <c r="A61" s="9">
        <v>2024</v>
      </c>
      <c r="B61" s="9" t="s">
        <v>104</v>
      </c>
      <c r="C61" s="9">
        <v>111093.5</v>
      </c>
      <c r="D61" s="9" t="s">
        <v>65</v>
      </c>
      <c r="E61" s="9">
        <v>111093512</v>
      </c>
      <c r="F61" s="9" t="s">
        <v>220</v>
      </c>
      <c r="G61" s="9" t="s">
        <v>221</v>
      </c>
      <c r="H61" s="9" t="s">
        <v>166</v>
      </c>
    </row>
    <row r="62" spans="1:8" x14ac:dyDescent="0.3">
      <c r="A62" s="9">
        <v>2024</v>
      </c>
      <c r="B62" s="9" t="s">
        <v>109</v>
      </c>
      <c r="C62" s="9">
        <v>-78.900000000000006</v>
      </c>
      <c r="D62" s="9" t="s">
        <v>65</v>
      </c>
      <c r="F62" s="9" t="s">
        <v>69</v>
      </c>
      <c r="G62" s="9" t="s">
        <v>84</v>
      </c>
      <c r="H62" s="9" t="s">
        <v>166</v>
      </c>
    </row>
    <row r="63" spans="1:8" x14ac:dyDescent="0.3">
      <c r="A63" s="9">
        <v>2024</v>
      </c>
      <c r="B63" s="9" t="s">
        <v>109</v>
      </c>
      <c r="C63" s="9">
        <v>-218.5</v>
      </c>
      <c r="D63" s="9" t="s">
        <v>65</v>
      </c>
      <c r="F63" s="9" t="s">
        <v>69</v>
      </c>
      <c r="G63" s="9" t="s">
        <v>91</v>
      </c>
      <c r="H63" s="9" t="s">
        <v>166</v>
      </c>
    </row>
    <row r="64" spans="1:8" x14ac:dyDescent="0.3">
      <c r="A64" s="9">
        <v>2024</v>
      </c>
      <c r="B64" s="9" t="s">
        <v>109</v>
      </c>
      <c r="C64" s="9">
        <v>-1020.1</v>
      </c>
      <c r="D64" s="9" t="s">
        <v>65</v>
      </c>
      <c r="F64" s="10" t="s">
        <v>92</v>
      </c>
      <c r="H64" s="9" t="s">
        <v>166</v>
      </c>
    </row>
    <row r="65" spans="1:8" x14ac:dyDescent="0.3">
      <c r="A65" s="9">
        <v>2024</v>
      </c>
      <c r="B65" s="9" t="s">
        <v>109</v>
      </c>
      <c r="C65" s="9">
        <v>2093.4</v>
      </c>
      <c r="D65" s="9" t="s">
        <v>65</v>
      </c>
      <c r="E65" s="9">
        <v>2093362</v>
      </c>
      <c r="F65" s="9" t="s">
        <v>66</v>
      </c>
      <c r="G65" s="9" t="s">
        <v>205</v>
      </c>
      <c r="H65" s="9" t="s">
        <v>166</v>
      </c>
    </row>
    <row r="66" spans="1:8" x14ac:dyDescent="0.3">
      <c r="A66" s="9">
        <v>2024</v>
      </c>
      <c r="B66" s="9" t="s">
        <v>109</v>
      </c>
      <c r="C66" s="9">
        <v>4779</v>
      </c>
      <c r="D66" s="9" t="s">
        <v>65</v>
      </c>
      <c r="E66" s="9">
        <v>4778963</v>
      </c>
      <c r="F66" s="9" t="s">
        <v>69</v>
      </c>
      <c r="G66" s="9" t="s">
        <v>78</v>
      </c>
      <c r="H66" s="9" t="s">
        <v>166</v>
      </c>
    </row>
    <row r="67" spans="1:8" x14ac:dyDescent="0.3">
      <c r="A67" s="9">
        <v>2024</v>
      </c>
      <c r="B67" s="9" t="s">
        <v>109</v>
      </c>
      <c r="C67" s="9">
        <v>6400</v>
      </c>
      <c r="D67" s="9" t="s">
        <v>65</v>
      </c>
      <c r="E67" s="9">
        <v>6400000</v>
      </c>
      <c r="F67" s="9" t="s">
        <v>69</v>
      </c>
      <c r="G67" s="9" t="s">
        <v>91</v>
      </c>
      <c r="H67" s="9" t="s">
        <v>166</v>
      </c>
    </row>
    <row r="68" spans="1:8" x14ac:dyDescent="0.3">
      <c r="A68" s="9">
        <v>2024</v>
      </c>
      <c r="B68" s="9" t="s">
        <v>111</v>
      </c>
      <c r="C68" s="9">
        <v>-131.69999999999999</v>
      </c>
      <c r="D68" s="9" t="s">
        <v>65</v>
      </c>
      <c r="F68" s="9" t="s">
        <v>69</v>
      </c>
      <c r="H68" s="9" t="s">
        <v>166</v>
      </c>
    </row>
    <row r="69" spans="1:8" x14ac:dyDescent="0.3">
      <c r="A69" s="9">
        <v>2024</v>
      </c>
      <c r="B69" s="9" t="s">
        <v>111</v>
      </c>
      <c r="C69" s="9">
        <v>-804.7</v>
      </c>
      <c r="D69" s="9" t="s">
        <v>65</v>
      </c>
      <c r="F69" s="10" t="s">
        <v>92</v>
      </c>
      <c r="H69" s="9" t="s">
        <v>166</v>
      </c>
    </row>
    <row r="70" spans="1:8" x14ac:dyDescent="0.3">
      <c r="A70" s="9">
        <v>2024</v>
      </c>
      <c r="B70" s="9" t="s">
        <v>111</v>
      </c>
      <c r="C70" s="9">
        <v>6613</v>
      </c>
      <c r="D70" s="9" t="s">
        <v>65</v>
      </c>
      <c r="E70" s="9">
        <v>6613007</v>
      </c>
      <c r="F70" s="9" t="s">
        <v>69</v>
      </c>
      <c r="G70" s="9" t="s">
        <v>91</v>
      </c>
      <c r="H70" s="9" t="s">
        <v>166</v>
      </c>
    </row>
    <row r="71" spans="1:8" x14ac:dyDescent="0.3">
      <c r="A71" s="9">
        <v>2024</v>
      </c>
      <c r="B71" s="9" t="s">
        <v>111</v>
      </c>
      <c r="C71" s="9">
        <v>7048.9</v>
      </c>
      <c r="D71" s="9" t="s">
        <v>65</v>
      </c>
      <c r="E71" s="9">
        <v>7048930</v>
      </c>
      <c r="F71" s="9" t="s">
        <v>66</v>
      </c>
      <c r="G71" s="9" t="s">
        <v>205</v>
      </c>
      <c r="H71" s="9" t="s">
        <v>166</v>
      </c>
    </row>
    <row r="72" spans="1:8" x14ac:dyDescent="0.3">
      <c r="A72" s="9">
        <v>2024</v>
      </c>
      <c r="B72" s="9" t="s">
        <v>77</v>
      </c>
      <c r="C72" s="9">
        <v>-123.9</v>
      </c>
      <c r="D72" s="9" t="s">
        <v>65</v>
      </c>
      <c r="F72" s="9" t="s">
        <v>69</v>
      </c>
      <c r="H72" s="9" t="s">
        <v>166</v>
      </c>
    </row>
    <row r="73" spans="1:8" x14ac:dyDescent="0.3">
      <c r="A73" s="9">
        <v>2024</v>
      </c>
      <c r="B73" s="9" t="s">
        <v>77</v>
      </c>
      <c r="C73" s="9">
        <v>-3086.3</v>
      </c>
      <c r="D73" s="9" t="s">
        <v>65</v>
      </c>
      <c r="F73" s="10" t="s">
        <v>92</v>
      </c>
    </row>
    <row r="74" spans="1:8" x14ac:dyDescent="0.3">
      <c r="A74" s="9">
        <v>2024</v>
      </c>
      <c r="B74" s="9" t="s">
        <v>77</v>
      </c>
      <c r="C74" s="9">
        <v>400</v>
      </c>
      <c r="D74" s="9" t="s">
        <v>65</v>
      </c>
      <c r="E74" s="9">
        <v>400000</v>
      </c>
      <c r="F74" s="9" t="s">
        <v>81</v>
      </c>
      <c r="G74" s="9" t="s">
        <v>64</v>
      </c>
      <c r="H74" s="9" t="s">
        <v>166</v>
      </c>
    </row>
    <row r="75" spans="1:8" x14ac:dyDescent="0.3">
      <c r="A75" s="9">
        <v>2024</v>
      </c>
      <c r="B75" s="9" t="s">
        <v>77</v>
      </c>
      <c r="C75" s="9">
        <v>810.7</v>
      </c>
      <c r="D75" s="9" t="s">
        <v>65</v>
      </c>
      <c r="E75" s="9">
        <v>810724</v>
      </c>
      <c r="F75" s="9" t="s">
        <v>66</v>
      </c>
      <c r="G75" s="9" t="s">
        <v>205</v>
      </c>
      <c r="H75" s="9" t="s">
        <v>166</v>
      </c>
    </row>
    <row r="76" spans="1:8" x14ac:dyDescent="0.3">
      <c r="A76" s="9">
        <v>2024</v>
      </c>
      <c r="B76" s="9" t="s">
        <v>77</v>
      </c>
      <c r="C76" s="9">
        <v>2651</v>
      </c>
      <c r="D76" s="9" t="s">
        <v>65</v>
      </c>
      <c r="E76" s="9">
        <v>2650967</v>
      </c>
      <c r="F76" s="9" t="s">
        <v>81</v>
      </c>
      <c r="G76" s="9" t="s">
        <v>68</v>
      </c>
      <c r="H76" s="9" t="s">
        <v>166</v>
      </c>
    </row>
    <row r="77" spans="1:8" x14ac:dyDescent="0.3">
      <c r="A77" s="9">
        <v>2024</v>
      </c>
      <c r="B77" s="9" t="s">
        <v>77</v>
      </c>
      <c r="C77" s="9">
        <v>3680.4</v>
      </c>
      <c r="D77" s="9" t="s">
        <v>65</v>
      </c>
      <c r="E77" s="9">
        <v>3680356</v>
      </c>
      <c r="F77" s="9" t="s">
        <v>69</v>
      </c>
      <c r="G77" s="9" t="s">
        <v>78</v>
      </c>
      <c r="H77" s="9" t="s">
        <v>166</v>
      </c>
    </row>
    <row r="78" spans="1:8" x14ac:dyDescent="0.3">
      <c r="A78" s="9">
        <v>2024</v>
      </c>
      <c r="B78" s="9" t="s">
        <v>80</v>
      </c>
      <c r="C78" s="9">
        <v>-49.1</v>
      </c>
      <c r="D78" s="9" t="s">
        <v>65</v>
      </c>
      <c r="F78" s="9" t="s">
        <v>69</v>
      </c>
      <c r="G78" s="9" t="s">
        <v>91</v>
      </c>
      <c r="H78" s="9" t="s">
        <v>166</v>
      </c>
    </row>
    <row r="79" spans="1:8" x14ac:dyDescent="0.3">
      <c r="A79" s="9">
        <v>2024</v>
      </c>
      <c r="B79" s="9" t="s">
        <v>80</v>
      </c>
      <c r="C79" s="9">
        <v>-1020.1</v>
      </c>
      <c r="D79" s="9" t="s">
        <v>65</v>
      </c>
      <c r="F79" s="10" t="s">
        <v>92</v>
      </c>
    </row>
    <row r="80" spans="1:8" x14ac:dyDescent="0.3">
      <c r="A80" s="9">
        <v>2024</v>
      </c>
      <c r="B80" s="9" t="s">
        <v>80</v>
      </c>
      <c r="C80" s="9">
        <v>1066.8</v>
      </c>
      <c r="D80" s="9" t="s">
        <v>65</v>
      </c>
      <c r="E80" s="9">
        <v>1066780</v>
      </c>
      <c r="F80" s="9" t="s">
        <v>66</v>
      </c>
      <c r="G80" s="9" t="s">
        <v>205</v>
      </c>
      <c r="H80" s="9" t="s">
        <v>166</v>
      </c>
    </row>
    <row r="81" spans="1:11" x14ac:dyDescent="0.3">
      <c r="A81" s="9">
        <v>2024</v>
      </c>
      <c r="B81" s="9" t="s">
        <v>80</v>
      </c>
      <c r="C81" s="9">
        <v>5883.7</v>
      </c>
      <c r="D81" s="9" t="s">
        <v>65</v>
      </c>
      <c r="E81" s="9">
        <v>5883653</v>
      </c>
      <c r="F81" s="9" t="s">
        <v>69</v>
      </c>
      <c r="G81" s="9" t="s">
        <v>91</v>
      </c>
      <c r="H81" s="9" t="s">
        <v>166</v>
      </c>
    </row>
    <row r="82" spans="1:11" x14ac:dyDescent="0.3">
      <c r="A82" s="9">
        <v>2024</v>
      </c>
      <c r="B82" s="9" t="s">
        <v>80</v>
      </c>
      <c r="C82" s="9">
        <v>19500</v>
      </c>
      <c r="D82" s="9" t="s">
        <v>65</v>
      </c>
      <c r="E82" s="9">
        <v>19500000</v>
      </c>
      <c r="F82" s="9" t="s">
        <v>81</v>
      </c>
      <c r="G82" s="9" t="s">
        <v>68</v>
      </c>
      <c r="H82" s="9" t="s">
        <v>166</v>
      </c>
    </row>
    <row r="83" spans="1:11" x14ac:dyDescent="0.3">
      <c r="A83" s="9">
        <v>2024</v>
      </c>
      <c r="B83" s="9" t="s">
        <v>90</v>
      </c>
      <c r="C83" s="9">
        <v>-80.8</v>
      </c>
      <c r="D83" s="9" t="s">
        <v>65</v>
      </c>
      <c r="F83" s="9" t="s">
        <v>69</v>
      </c>
      <c r="G83" s="9" t="s">
        <v>91</v>
      </c>
      <c r="H83" s="9" t="s">
        <v>166</v>
      </c>
    </row>
    <row r="84" spans="1:11" x14ac:dyDescent="0.3">
      <c r="A84" s="9">
        <v>2024</v>
      </c>
      <c r="B84" s="9" t="s">
        <v>90</v>
      </c>
      <c r="C84" s="9">
        <v>-804.7</v>
      </c>
      <c r="D84" s="9" t="s">
        <v>65</v>
      </c>
      <c r="F84" s="10" t="s">
        <v>92</v>
      </c>
      <c r="H84" s="9" t="s">
        <v>166</v>
      </c>
    </row>
    <row r="85" spans="1:11" x14ac:dyDescent="0.3">
      <c r="A85" s="9">
        <v>2024</v>
      </c>
      <c r="B85" s="9" t="s">
        <v>90</v>
      </c>
      <c r="C85" s="9">
        <v>500</v>
      </c>
      <c r="D85" s="9" t="s">
        <v>65</v>
      </c>
      <c r="E85" s="9">
        <v>500000</v>
      </c>
      <c r="F85" s="9" t="s">
        <v>81</v>
      </c>
      <c r="G85" s="9" t="s">
        <v>64</v>
      </c>
      <c r="H85" s="9" t="s">
        <v>166</v>
      </c>
    </row>
    <row r="86" spans="1:11" x14ac:dyDescent="0.3">
      <c r="A86" s="9">
        <v>2024</v>
      </c>
      <c r="B86" s="9" t="s">
        <v>90</v>
      </c>
      <c r="C86" s="9">
        <v>914.2</v>
      </c>
      <c r="D86" s="9" t="s">
        <v>65</v>
      </c>
      <c r="E86" s="9">
        <v>914206</v>
      </c>
      <c r="F86" s="9" t="s">
        <v>69</v>
      </c>
      <c r="G86" s="9" t="s">
        <v>78</v>
      </c>
      <c r="H86" s="9" t="s">
        <v>166</v>
      </c>
    </row>
    <row r="87" spans="1:11" ht="14.5" x14ac:dyDescent="0.35">
      <c r="A87" s="9">
        <v>2024</v>
      </c>
      <c r="B87" s="9" t="s">
        <v>90</v>
      </c>
      <c r="C87" s="9">
        <v>3873.6</v>
      </c>
      <c r="D87" s="9" t="s">
        <v>65</v>
      </c>
      <c r="E87" s="9">
        <v>3873626</v>
      </c>
      <c r="F87" s="9" t="s">
        <v>69</v>
      </c>
      <c r="G87" s="9" t="s">
        <v>91</v>
      </c>
      <c r="H87" s="9" t="s">
        <v>166</v>
      </c>
      <c r="J87"/>
      <c r="K87"/>
    </row>
    <row r="88" spans="1:11" ht="14.5" x14ac:dyDescent="0.35">
      <c r="A88" s="9">
        <v>2024</v>
      </c>
      <c r="B88" s="9" t="s">
        <v>96</v>
      </c>
      <c r="C88" s="9">
        <v>-122.3</v>
      </c>
      <c r="D88" s="9" t="s">
        <v>65</v>
      </c>
      <c r="F88" s="9" t="s">
        <v>69</v>
      </c>
      <c r="G88" s="9" t="s">
        <v>91</v>
      </c>
      <c r="H88" s="9" t="s">
        <v>166</v>
      </c>
      <c r="J88"/>
      <c r="K88"/>
    </row>
    <row r="89" spans="1:11" ht="14.5" x14ac:dyDescent="0.35">
      <c r="A89" s="9">
        <v>2024</v>
      </c>
      <c r="B89" s="9" t="s">
        <v>96</v>
      </c>
      <c r="C89" s="9">
        <v>-2673.2</v>
      </c>
      <c r="D89" s="9" t="s">
        <v>65</v>
      </c>
      <c r="F89" s="10" t="s">
        <v>92</v>
      </c>
      <c r="G89" s="9" t="s">
        <v>93</v>
      </c>
      <c r="H89" s="9" t="s">
        <v>166</v>
      </c>
      <c r="J89"/>
      <c r="K89"/>
    </row>
    <row r="90" spans="1:11" ht="14.5" x14ac:dyDescent="0.35">
      <c r="A90" s="9">
        <v>2024</v>
      </c>
      <c r="B90" s="9" t="s">
        <v>96</v>
      </c>
      <c r="C90" s="9">
        <v>494.7</v>
      </c>
      <c r="D90" s="9" t="s">
        <v>65</v>
      </c>
      <c r="E90" s="9">
        <v>494731</v>
      </c>
      <c r="F90" s="9" t="s">
        <v>69</v>
      </c>
      <c r="G90" s="9" t="s">
        <v>78</v>
      </c>
      <c r="H90" s="9" t="s">
        <v>166</v>
      </c>
      <c r="J90"/>
      <c r="K90"/>
    </row>
    <row r="91" spans="1:11" ht="14.5" x14ac:dyDescent="0.35">
      <c r="A91" s="9">
        <v>2024</v>
      </c>
      <c r="B91" s="9" t="s">
        <v>96</v>
      </c>
      <c r="C91" s="9">
        <v>500</v>
      </c>
      <c r="D91" s="9" t="s">
        <v>65</v>
      </c>
      <c r="E91" s="9">
        <v>500000</v>
      </c>
      <c r="F91" s="10" t="s">
        <v>81</v>
      </c>
      <c r="G91" s="9" t="s">
        <v>64</v>
      </c>
      <c r="H91" s="9" t="s">
        <v>166</v>
      </c>
      <c r="J91"/>
      <c r="K91"/>
    </row>
    <row r="92" spans="1:11" ht="14.5" x14ac:dyDescent="0.35">
      <c r="A92" s="9">
        <v>2024</v>
      </c>
      <c r="B92" s="9" t="s">
        <v>96</v>
      </c>
      <c r="C92" s="9">
        <v>6948.3</v>
      </c>
      <c r="D92" s="9" t="s">
        <v>65</v>
      </c>
      <c r="E92" s="9">
        <v>6948286</v>
      </c>
      <c r="F92" s="9" t="s">
        <v>66</v>
      </c>
      <c r="G92" s="9" t="s">
        <v>205</v>
      </c>
      <c r="H92" s="9" t="s">
        <v>166</v>
      </c>
      <c r="J92"/>
      <c r="K92"/>
    </row>
    <row r="93" spans="1:11" ht="14.5" x14ac:dyDescent="0.35">
      <c r="A93" s="9">
        <v>2024</v>
      </c>
      <c r="B93" s="9" t="s">
        <v>96</v>
      </c>
      <c r="C93" s="9">
        <v>9584.6</v>
      </c>
      <c r="D93" s="9" t="s">
        <v>65</v>
      </c>
      <c r="E93" s="9">
        <v>9584568</v>
      </c>
      <c r="F93" s="10" t="s">
        <v>81</v>
      </c>
      <c r="G93" s="9" t="s">
        <v>68</v>
      </c>
      <c r="H93" s="9" t="s">
        <v>166</v>
      </c>
      <c r="J93"/>
      <c r="K93"/>
    </row>
    <row r="94" spans="1:11" ht="14.5" x14ac:dyDescent="0.35">
      <c r="A94" s="9">
        <v>2024</v>
      </c>
      <c r="B94" s="9" t="s">
        <v>97</v>
      </c>
      <c r="C94" s="9">
        <v>-111.4</v>
      </c>
      <c r="D94" s="9" t="s">
        <v>65</v>
      </c>
      <c r="F94" s="9" t="s">
        <v>69</v>
      </c>
      <c r="G94" s="9" t="s">
        <v>91</v>
      </c>
      <c r="H94" s="9" t="s">
        <v>166</v>
      </c>
      <c r="J94"/>
      <c r="K94"/>
    </row>
    <row r="95" spans="1:11" ht="14.5" x14ac:dyDescent="0.35">
      <c r="A95" s="9">
        <v>2024</v>
      </c>
      <c r="B95" s="9" t="s">
        <v>97</v>
      </c>
      <c r="C95" s="9">
        <v>-1020.1</v>
      </c>
      <c r="D95" s="9" t="s">
        <v>65</v>
      </c>
      <c r="E95" s="11">
        <f>34948091*0.015</f>
        <v>524221.36499999999</v>
      </c>
      <c r="F95" s="10" t="s">
        <v>92</v>
      </c>
      <c r="G95" s="9" t="s">
        <v>93</v>
      </c>
      <c r="H95" s="9" t="s">
        <v>166</v>
      </c>
      <c r="J95"/>
      <c r="K95"/>
    </row>
    <row r="96" spans="1:11" ht="14.5" x14ac:dyDescent="0.35">
      <c r="A96" s="9">
        <v>2024</v>
      </c>
      <c r="B96" s="9" t="s">
        <v>97</v>
      </c>
      <c r="C96" s="9">
        <v>798.8</v>
      </c>
      <c r="D96" s="9" t="s">
        <v>65</v>
      </c>
      <c r="E96" s="9">
        <v>798819</v>
      </c>
      <c r="F96" s="9" t="s">
        <v>69</v>
      </c>
      <c r="G96" s="9" t="s">
        <v>78</v>
      </c>
      <c r="H96" s="9" t="s">
        <v>166</v>
      </c>
      <c r="J96"/>
      <c r="K96"/>
    </row>
    <row r="97" spans="1:11" ht="14.5" x14ac:dyDescent="0.35">
      <c r="A97" s="9">
        <v>2024</v>
      </c>
      <c r="B97" s="9" t="s">
        <v>97</v>
      </c>
      <c r="C97" s="9">
        <v>5408.4</v>
      </c>
      <c r="D97" s="9" t="s">
        <v>65</v>
      </c>
      <c r="E97" s="9">
        <v>5408378</v>
      </c>
      <c r="F97" s="9" t="s">
        <v>69</v>
      </c>
      <c r="G97" s="9" t="s">
        <v>91</v>
      </c>
      <c r="H97" s="9" t="s">
        <v>166</v>
      </c>
      <c r="J97"/>
      <c r="K97"/>
    </row>
    <row r="98" spans="1:11" ht="14.5" x14ac:dyDescent="0.35">
      <c r="A98" s="9">
        <v>2024</v>
      </c>
      <c r="B98" s="9" t="s">
        <v>97</v>
      </c>
      <c r="C98" s="9">
        <v>8686.1</v>
      </c>
      <c r="D98" s="9" t="s">
        <v>65</v>
      </c>
      <c r="E98" s="9">
        <v>8686092</v>
      </c>
      <c r="F98" s="9" t="s">
        <v>69</v>
      </c>
      <c r="G98" s="9" t="s">
        <v>70</v>
      </c>
      <c r="H98" s="9" t="s">
        <v>166</v>
      </c>
      <c r="J98"/>
      <c r="K98"/>
    </row>
    <row r="99" spans="1:11" ht="14.5" x14ac:dyDescent="0.35">
      <c r="A99" s="9">
        <v>2024</v>
      </c>
      <c r="B99" s="9" t="s">
        <v>97</v>
      </c>
      <c r="C99" s="9">
        <v>16290</v>
      </c>
      <c r="D99" s="9" t="s">
        <v>65</v>
      </c>
      <c r="E99" s="9">
        <v>16290000</v>
      </c>
      <c r="F99" s="9" t="s">
        <v>69</v>
      </c>
      <c r="G99" s="9" t="s">
        <v>84</v>
      </c>
      <c r="H99" s="9" t="s">
        <v>166</v>
      </c>
      <c r="J99"/>
      <c r="K99"/>
    </row>
    <row r="100" spans="1:11" ht="14.5" x14ac:dyDescent="0.35">
      <c r="A100" s="9">
        <v>2024</v>
      </c>
      <c r="B100" s="9" t="s">
        <v>101</v>
      </c>
      <c r="C100" s="9">
        <v>-15.5</v>
      </c>
      <c r="D100" s="9" t="s">
        <v>65</v>
      </c>
      <c r="F100" s="9" t="s">
        <v>69</v>
      </c>
      <c r="G100" s="9" t="s">
        <v>91</v>
      </c>
      <c r="H100" s="9" t="s">
        <v>166</v>
      </c>
      <c r="J100"/>
      <c r="K100"/>
    </row>
    <row r="101" spans="1:11" ht="14.5" x14ac:dyDescent="0.35">
      <c r="A101" s="9">
        <v>2024</v>
      </c>
      <c r="B101" s="9" t="s">
        <v>101</v>
      </c>
      <c r="C101" s="9">
        <v>1609.9</v>
      </c>
      <c r="D101" s="9" t="s">
        <v>65</v>
      </c>
      <c r="E101" s="9">
        <v>1609865</v>
      </c>
      <c r="F101" s="9" t="s">
        <v>69</v>
      </c>
      <c r="G101" s="9" t="s">
        <v>91</v>
      </c>
      <c r="H101" s="9" t="s">
        <v>166</v>
      </c>
      <c r="J101"/>
      <c r="K101"/>
    </row>
    <row r="102" spans="1:11" x14ac:dyDescent="0.3">
      <c r="A102" s="9">
        <v>2024</v>
      </c>
      <c r="B102" s="9" t="s">
        <v>101</v>
      </c>
      <c r="C102" s="9">
        <v>1994.2</v>
      </c>
      <c r="D102" s="9" t="s">
        <v>65</v>
      </c>
      <c r="E102" s="9">
        <v>1994162</v>
      </c>
      <c r="F102" s="9" t="s">
        <v>66</v>
      </c>
      <c r="G102" s="9" t="s">
        <v>67</v>
      </c>
      <c r="H102" s="9" t="s">
        <v>166</v>
      </c>
    </row>
    <row r="103" spans="1:11" x14ac:dyDescent="0.3">
      <c r="A103" s="9">
        <v>2024</v>
      </c>
      <c r="B103" s="9" t="s">
        <v>102</v>
      </c>
      <c r="C103" s="9">
        <v>-49.9</v>
      </c>
      <c r="D103" s="9" t="s">
        <v>65</v>
      </c>
      <c r="F103" s="9" t="s">
        <v>69</v>
      </c>
      <c r="G103" s="9" t="s">
        <v>91</v>
      </c>
      <c r="H103" s="9" t="s">
        <v>166</v>
      </c>
    </row>
    <row r="104" spans="1:11" x14ac:dyDescent="0.3">
      <c r="A104" s="9">
        <v>2024</v>
      </c>
      <c r="B104" s="9" t="s">
        <v>102</v>
      </c>
      <c r="C104" s="9">
        <v>1226.9000000000001</v>
      </c>
      <c r="D104" s="9" t="s">
        <v>65</v>
      </c>
      <c r="E104" s="9">
        <v>1226864</v>
      </c>
      <c r="F104" s="9" t="s">
        <v>69</v>
      </c>
      <c r="G104" s="9" t="s">
        <v>78</v>
      </c>
      <c r="H104" s="9" t="s">
        <v>166</v>
      </c>
    </row>
    <row r="105" spans="1:11" x14ac:dyDescent="0.3">
      <c r="A105" s="9">
        <v>2024</v>
      </c>
      <c r="B105" s="9" t="s">
        <v>102</v>
      </c>
      <c r="C105" s="9">
        <v>1893</v>
      </c>
      <c r="D105" s="9" t="s">
        <v>65</v>
      </c>
      <c r="E105" s="9">
        <v>1893011</v>
      </c>
      <c r="F105" s="9" t="s">
        <v>66</v>
      </c>
      <c r="G105" s="9" t="s">
        <v>67</v>
      </c>
      <c r="H105" s="9" t="s">
        <v>166</v>
      </c>
    </row>
    <row r="106" spans="1:11" x14ac:dyDescent="0.3">
      <c r="A106" s="9">
        <v>2024</v>
      </c>
      <c r="B106" s="9" t="s">
        <v>102</v>
      </c>
      <c r="C106" s="9">
        <v>12859.2</v>
      </c>
      <c r="D106" s="9" t="s">
        <v>65</v>
      </c>
      <c r="E106" s="9">
        <v>12859247</v>
      </c>
      <c r="F106" s="10" t="s">
        <v>81</v>
      </c>
      <c r="G106" s="9" t="s">
        <v>68</v>
      </c>
      <c r="H106" s="9" t="s">
        <v>166</v>
      </c>
    </row>
    <row r="107" spans="1:11" x14ac:dyDescent="0.3">
      <c r="A107" s="9">
        <v>2024</v>
      </c>
      <c r="B107" s="9" t="s">
        <v>103</v>
      </c>
      <c r="C107" s="9">
        <v>1580.4</v>
      </c>
      <c r="D107" s="9" t="s">
        <v>65</v>
      </c>
      <c r="E107" s="9">
        <v>1580376</v>
      </c>
      <c r="F107" s="9" t="s">
        <v>66</v>
      </c>
      <c r="G107" s="9" t="s">
        <v>67</v>
      </c>
      <c r="H107" s="9" t="s">
        <v>166</v>
      </c>
    </row>
    <row r="108" spans="1:11" x14ac:dyDescent="0.3">
      <c r="A108" s="9">
        <v>2024</v>
      </c>
      <c r="B108" s="9" t="s">
        <v>103</v>
      </c>
      <c r="C108" s="9">
        <v>4447.1000000000004</v>
      </c>
      <c r="D108" s="9" t="s">
        <v>65</v>
      </c>
      <c r="E108" s="9">
        <v>4447120</v>
      </c>
      <c r="F108" s="9" t="s">
        <v>69</v>
      </c>
      <c r="G108" s="9" t="s">
        <v>78</v>
      </c>
      <c r="H108" s="9" t="s">
        <v>166</v>
      </c>
    </row>
    <row r="109" spans="1:11" x14ac:dyDescent="0.3">
      <c r="A109" s="9">
        <v>2023</v>
      </c>
      <c r="B109" s="9" t="s">
        <v>104</v>
      </c>
      <c r="C109" s="9">
        <v>76841.3</v>
      </c>
      <c r="D109" s="9" t="s">
        <v>98</v>
      </c>
      <c r="E109" s="9">
        <v>76841289</v>
      </c>
      <c r="F109" s="9" t="s">
        <v>99</v>
      </c>
      <c r="G109" s="9" t="s">
        <v>100</v>
      </c>
      <c r="H109" s="9" t="s">
        <v>166</v>
      </c>
    </row>
    <row r="110" spans="1:11" x14ac:dyDescent="0.3">
      <c r="A110" s="9">
        <v>2023</v>
      </c>
      <c r="B110" s="9" t="s">
        <v>104</v>
      </c>
      <c r="C110" s="9">
        <v>7896.7</v>
      </c>
      <c r="D110" s="9" t="s">
        <v>65</v>
      </c>
      <c r="E110" s="9">
        <v>7896728</v>
      </c>
      <c r="F110" s="10" t="s">
        <v>81</v>
      </c>
      <c r="G110" s="9" t="s">
        <v>106</v>
      </c>
      <c r="H110" s="9" t="s">
        <v>166</v>
      </c>
    </row>
    <row r="111" spans="1:11" x14ac:dyDescent="0.3">
      <c r="A111" s="9">
        <v>2023</v>
      </c>
      <c r="B111" s="9" t="s">
        <v>104</v>
      </c>
      <c r="C111" s="9">
        <v>34497.5</v>
      </c>
      <c r="D111" s="9" t="s">
        <v>65</v>
      </c>
      <c r="E111" s="9">
        <v>34497540</v>
      </c>
      <c r="F111" s="9" t="s">
        <v>82</v>
      </c>
      <c r="G111" s="9" t="s">
        <v>83</v>
      </c>
      <c r="H111" s="9" t="s">
        <v>166</v>
      </c>
    </row>
    <row r="112" spans="1:11" x14ac:dyDescent="0.3">
      <c r="A112" s="9">
        <v>2023</v>
      </c>
      <c r="B112" s="9" t="s">
        <v>104</v>
      </c>
      <c r="C112" s="9">
        <v>2286.6999999999998</v>
      </c>
      <c r="D112" s="9" t="s">
        <v>65</v>
      </c>
      <c r="E112" s="9">
        <v>2286725</v>
      </c>
      <c r="F112" s="9" t="s">
        <v>69</v>
      </c>
      <c r="G112" s="9" t="s">
        <v>91</v>
      </c>
      <c r="H112" s="9" t="s">
        <v>166</v>
      </c>
    </row>
    <row r="113" spans="1:8" x14ac:dyDescent="0.3">
      <c r="A113" s="9">
        <v>2023</v>
      </c>
      <c r="B113" s="9" t="s">
        <v>104</v>
      </c>
      <c r="C113" s="9">
        <v>2926.5</v>
      </c>
      <c r="D113" s="9" t="s">
        <v>65</v>
      </c>
      <c r="E113" s="9">
        <v>2926533</v>
      </c>
      <c r="F113" s="9" t="s">
        <v>66</v>
      </c>
      <c r="G113" s="9" t="s">
        <v>67</v>
      </c>
      <c r="H113" s="9" t="s">
        <v>166</v>
      </c>
    </row>
    <row r="114" spans="1:8" x14ac:dyDescent="0.3">
      <c r="A114" s="9">
        <v>2023</v>
      </c>
      <c r="B114" s="9" t="s">
        <v>104</v>
      </c>
      <c r="C114" s="9">
        <v>49570</v>
      </c>
      <c r="D114" s="9" t="s">
        <v>65</v>
      </c>
      <c r="E114" s="9">
        <v>49569991</v>
      </c>
      <c r="F114" s="10" t="s">
        <v>81</v>
      </c>
      <c r="G114" s="9" t="s">
        <v>68</v>
      </c>
      <c r="H114" s="9" t="s">
        <v>166</v>
      </c>
    </row>
    <row r="115" spans="1:8" x14ac:dyDescent="0.3">
      <c r="A115" s="9">
        <v>2023</v>
      </c>
      <c r="B115" s="9" t="s">
        <v>104</v>
      </c>
      <c r="C115" s="9">
        <v>1600</v>
      </c>
      <c r="D115" s="9" t="s">
        <v>65</v>
      </c>
      <c r="E115" s="9">
        <v>1600000</v>
      </c>
      <c r="F115" s="10" t="s">
        <v>81</v>
      </c>
      <c r="G115" s="9" t="s">
        <v>64</v>
      </c>
      <c r="H115" s="9" t="s">
        <v>166</v>
      </c>
    </row>
    <row r="116" spans="1:8" x14ac:dyDescent="0.3">
      <c r="A116" s="9">
        <v>2023</v>
      </c>
      <c r="B116" s="9" t="s">
        <v>104</v>
      </c>
      <c r="C116" s="9">
        <v>8720.7000000000007</v>
      </c>
      <c r="D116" s="9" t="s">
        <v>65</v>
      </c>
      <c r="E116" s="9">
        <v>8720735</v>
      </c>
      <c r="F116" s="9" t="s">
        <v>69</v>
      </c>
      <c r="G116" s="9" t="s">
        <v>78</v>
      </c>
      <c r="H116" s="9" t="s">
        <v>166</v>
      </c>
    </row>
    <row r="117" spans="1:8" x14ac:dyDescent="0.3">
      <c r="A117" s="9">
        <v>2024</v>
      </c>
      <c r="B117" s="9" t="s">
        <v>121</v>
      </c>
      <c r="C117" s="9">
        <v>-62.1</v>
      </c>
      <c r="D117" s="9" t="s">
        <v>65</v>
      </c>
      <c r="F117" s="9" t="s">
        <v>69</v>
      </c>
      <c r="G117" s="9" t="s">
        <v>91</v>
      </c>
    </row>
    <row r="118" spans="1:8" x14ac:dyDescent="0.3">
      <c r="A118" s="9">
        <v>2023</v>
      </c>
      <c r="B118" s="9" t="s">
        <v>104</v>
      </c>
      <c r="C118" s="9">
        <f>445811.6-453055.5</f>
        <v>-7243.9000000000233</v>
      </c>
      <c r="D118" s="9" t="s">
        <v>65</v>
      </c>
      <c r="F118" s="10" t="s">
        <v>81</v>
      </c>
      <c r="H118" s="9" t="s">
        <v>166</v>
      </c>
    </row>
    <row r="119" spans="1:8" x14ac:dyDescent="0.3">
      <c r="A119" s="9">
        <v>2023</v>
      </c>
      <c r="B119" s="9" t="s">
        <v>104</v>
      </c>
      <c r="C119" s="9">
        <f>99515-99563.6652</f>
        <v>-48.665200000003097</v>
      </c>
      <c r="D119" s="9" t="s">
        <v>65</v>
      </c>
      <c r="F119" s="9" t="s">
        <v>69</v>
      </c>
      <c r="H119" s="9" t="s">
        <v>166</v>
      </c>
    </row>
    <row r="120" spans="1:8" x14ac:dyDescent="0.3">
      <c r="A120" s="9">
        <v>2023</v>
      </c>
      <c r="B120" s="9" t="s">
        <v>109</v>
      </c>
      <c r="C120" s="9">
        <v>10797.1</v>
      </c>
      <c r="D120" s="10" t="s">
        <v>65</v>
      </c>
      <c r="E120" s="9">
        <v>10797144</v>
      </c>
      <c r="F120" s="9" t="s">
        <v>69</v>
      </c>
      <c r="G120" s="10" t="s">
        <v>70</v>
      </c>
      <c r="H120" s="9" t="s">
        <v>166</v>
      </c>
    </row>
    <row r="121" spans="1:8" x14ac:dyDescent="0.3">
      <c r="A121" s="9">
        <v>2023</v>
      </c>
      <c r="B121" s="9" t="s">
        <v>109</v>
      </c>
      <c r="C121" s="9">
        <v>1551.5</v>
      </c>
      <c r="D121" s="10" t="s">
        <v>65</v>
      </c>
      <c r="E121" s="9">
        <v>1551604</v>
      </c>
      <c r="F121" s="9" t="s">
        <v>69</v>
      </c>
      <c r="G121" s="9" t="s">
        <v>91</v>
      </c>
      <c r="H121" s="9" t="s">
        <v>166</v>
      </c>
    </row>
    <row r="122" spans="1:8" x14ac:dyDescent="0.3">
      <c r="A122" s="9">
        <v>2023</v>
      </c>
      <c r="B122" s="9" t="s">
        <v>109</v>
      </c>
      <c r="C122" s="9">
        <v>12000</v>
      </c>
      <c r="D122" s="10" t="s">
        <v>65</v>
      </c>
      <c r="E122" s="9">
        <v>12000000</v>
      </c>
      <c r="F122" s="10" t="s">
        <v>81</v>
      </c>
      <c r="G122" s="9" t="s">
        <v>68</v>
      </c>
      <c r="H122" s="9" t="s">
        <v>166</v>
      </c>
    </row>
    <row r="123" spans="1:8" x14ac:dyDescent="0.3">
      <c r="A123" s="9">
        <v>2023</v>
      </c>
      <c r="B123" s="9" t="s">
        <v>109</v>
      </c>
      <c r="C123" s="9">
        <v>6572.5</v>
      </c>
      <c r="D123" s="10" t="s">
        <v>65</v>
      </c>
      <c r="E123" s="9">
        <v>6572481</v>
      </c>
      <c r="F123" s="9" t="s">
        <v>66</v>
      </c>
      <c r="G123" s="9" t="s">
        <v>67</v>
      </c>
      <c r="H123" s="9" t="s">
        <v>166</v>
      </c>
    </row>
    <row r="124" spans="1:8" x14ac:dyDescent="0.3">
      <c r="A124" s="9">
        <v>2023</v>
      </c>
      <c r="B124" s="9" t="s">
        <v>109</v>
      </c>
      <c r="C124" s="9">
        <v>1800</v>
      </c>
      <c r="D124" s="10" t="s">
        <v>65</v>
      </c>
      <c r="E124" s="9">
        <v>1800000</v>
      </c>
      <c r="F124" s="10" t="s">
        <v>81</v>
      </c>
      <c r="G124" s="10" t="s">
        <v>64</v>
      </c>
      <c r="H124" s="9" t="s">
        <v>166</v>
      </c>
    </row>
    <row r="125" spans="1:8" x14ac:dyDescent="0.3">
      <c r="A125" s="9">
        <v>2023</v>
      </c>
      <c r="B125" s="9" t="s">
        <v>111</v>
      </c>
      <c r="C125" s="9">
        <v>500</v>
      </c>
      <c r="D125" s="10" t="s">
        <v>65</v>
      </c>
      <c r="E125" s="9">
        <v>500000</v>
      </c>
      <c r="F125" s="9" t="s">
        <v>69</v>
      </c>
      <c r="G125" s="9" t="s">
        <v>91</v>
      </c>
      <c r="H125" s="9" t="s">
        <v>166</v>
      </c>
    </row>
    <row r="126" spans="1:8" x14ac:dyDescent="0.3">
      <c r="A126" s="9">
        <v>2023</v>
      </c>
      <c r="B126" s="9" t="s">
        <v>111</v>
      </c>
      <c r="C126" s="9">
        <v>21091.3</v>
      </c>
      <c r="D126" s="10" t="s">
        <v>65</v>
      </c>
      <c r="E126" s="9">
        <v>21091262</v>
      </c>
      <c r="F126" s="9" t="s">
        <v>66</v>
      </c>
      <c r="G126" s="9" t="s">
        <v>67</v>
      </c>
      <c r="H126" s="9" t="s">
        <v>166</v>
      </c>
    </row>
    <row r="127" spans="1:8" x14ac:dyDescent="0.3">
      <c r="A127" s="9">
        <v>2023</v>
      </c>
      <c r="B127" s="9" t="s">
        <v>111</v>
      </c>
      <c r="C127" s="9">
        <v>400</v>
      </c>
      <c r="D127" s="10" t="s">
        <v>65</v>
      </c>
      <c r="E127" s="9">
        <v>400000</v>
      </c>
      <c r="F127" s="10" t="s">
        <v>81</v>
      </c>
      <c r="G127" s="9" t="s">
        <v>64</v>
      </c>
      <c r="H127" s="9" t="s">
        <v>166</v>
      </c>
    </row>
    <row r="128" spans="1:8" x14ac:dyDescent="0.3">
      <c r="A128" s="9">
        <v>2023</v>
      </c>
      <c r="B128" s="9" t="s">
        <v>77</v>
      </c>
      <c r="C128" s="9">
        <v>1100</v>
      </c>
      <c r="D128" s="10" t="s">
        <v>65</v>
      </c>
      <c r="E128" s="10">
        <v>1100000</v>
      </c>
      <c r="F128" s="10" t="s">
        <v>81</v>
      </c>
      <c r="G128" s="10" t="s">
        <v>64</v>
      </c>
      <c r="H128" s="9" t="s">
        <v>166</v>
      </c>
    </row>
    <row r="129" spans="1:8" x14ac:dyDescent="0.3">
      <c r="A129" s="9">
        <v>2023</v>
      </c>
      <c r="B129" s="9" t="s">
        <v>77</v>
      </c>
      <c r="C129" s="9">
        <v>13767</v>
      </c>
      <c r="D129" s="10" t="s">
        <v>65</v>
      </c>
      <c r="E129" s="10">
        <v>13766983</v>
      </c>
      <c r="F129" s="9" t="s">
        <v>66</v>
      </c>
      <c r="G129" s="10" t="s">
        <v>67</v>
      </c>
      <c r="H129" s="9" t="s">
        <v>166</v>
      </c>
    </row>
    <row r="130" spans="1:8" x14ac:dyDescent="0.3">
      <c r="A130" s="9">
        <v>2023</v>
      </c>
      <c r="B130" s="9" t="s">
        <v>77</v>
      </c>
      <c r="C130" s="9">
        <v>19984.900000000001</v>
      </c>
      <c r="D130" s="10" t="s">
        <v>65</v>
      </c>
      <c r="E130" s="10">
        <v>19984872</v>
      </c>
      <c r="F130" s="10" t="s">
        <v>81</v>
      </c>
      <c r="G130" s="10" t="s">
        <v>68</v>
      </c>
      <c r="H130" s="9" t="s">
        <v>166</v>
      </c>
    </row>
    <row r="131" spans="1:8" x14ac:dyDescent="0.3">
      <c r="A131" s="9">
        <v>2023</v>
      </c>
      <c r="B131" s="9" t="s">
        <v>77</v>
      </c>
      <c r="C131" s="9">
        <v>1E-3</v>
      </c>
      <c r="D131" s="10" t="s">
        <v>65</v>
      </c>
      <c r="E131" s="10">
        <v>1</v>
      </c>
      <c r="F131" s="9" t="s">
        <v>69</v>
      </c>
      <c r="G131" s="10" t="s">
        <v>70</v>
      </c>
      <c r="H131" s="9" t="s">
        <v>166</v>
      </c>
    </row>
    <row r="132" spans="1:8" x14ac:dyDescent="0.3">
      <c r="A132" s="9">
        <v>2023</v>
      </c>
      <c r="B132" s="9" t="s">
        <v>77</v>
      </c>
      <c r="C132" s="9">
        <v>21237.1</v>
      </c>
      <c r="D132" s="10" t="s">
        <v>65</v>
      </c>
      <c r="E132" s="9">
        <v>21237134</v>
      </c>
      <c r="F132" s="9" t="s">
        <v>69</v>
      </c>
      <c r="G132" s="9" t="s">
        <v>78</v>
      </c>
      <c r="H132" s="9" t="s">
        <v>166</v>
      </c>
    </row>
    <row r="133" spans="1:8" x14ac:dyDescent="0.3">
      <c r="A133" s="9">
        <v>2023</v>
      </c>
      <c r="B133" s="9" t="s">
        <v>80</v>
      </c>
      <c r="C133" s="9">
        <v>2241.6</v>
      </c>
      <c r="D133" s="10" t="s">
        <v>65</v>
      </c>
      <c r="E133" s="9">
        <v>2241607</v>
      </c>
      <c r="F133" s="9" t="s">
        <v>66</v>
      </c>
      <c r="G133" s="9" t="s">
        <v>67</v>
      </c>
      <c r="H133" s="9" t="s">
        <v>166</v>
      </c>
    </row>
    <row r="134" spans="1:8" x14ac:dyDescent="0.3">
      <c r="A134" s="9">
        <v>2023</v>
      </c>
      <c r="B134" s="9" t="s">
        <v>80</v>
      </c>
      <c r="C134" s="9">
        <v>4600</v>
      </c>
      <c r="D134" s="10" t="s">
        <v>65</v>
      </c>
      <c r="E134" s="9">
        <v>4600000</v>
      </c>
      <c r="F134" s="10" t="s">
        <v>81</v>
      </c>
      <c r="G134" s="9" t="s">
        <v>68</v>
      </c>
      <c r="H134" s="9" t="s">
        <v>166</v>
      </c>
    </row>
    <row r="135" spans="1:8" x14ac:dyDescent="0.3">
      <c r="A135" s="9">
        <v>2023</v>
      </c>
      <c r="B135" s="9" t="s">
        <v>80</v>
      </c>
      <c r="C135" s="9">
        <v>123643</v>
      </c>
      <c r="D135" s="10" t="s">
        <v>65</v>
      </c>
      <c r="E135" s="9">
        <v>123643009</v>
      </c>
      <c r="F135" s="9" t="s">
        <v>82</v>
      </c>
      <c r="G135" s="9" t="s">
        <v>83</v>
      </c>
      <c r="H135" s="9" t="s">
        <v>166</v>
      </c>
    </row>
    <row r="136" spans="1:8" x14ac:dyDescent="0.3">
      <c r="A136" s="9">
        <v>2023</v>
      </c>
      <c r="B136" s="9" t="s">
        <v>80</v>
      </c>
      <c r="C136" s="9">
        <v>12766</v>
      </c>
      <c r="D136" s="10" t="s">
        <v>65</v>
      </c>
      <c r="E136" s="9">
        <v>12766000</v>
      </c>
      <c r="F136" s="9" t="s">
        <v>69</v>
      </c>
      <c r="G136" s="9" t="s">
        <v>84</v>
      </c>
      <c r="H136" s="9" t="s">
        <v>166</v>
      </c>
    </row>
    <row r="137" spans="1:8" x14ac:dyDescent="0.3">
      <c r="A137" s="9">
        <v>2023</v>
      </c>
      <c r="B137" s="9" t="s">
        <v>80</v>
      </c>
      <c r="C137" s="9">
        <v>16054.2</v>
      </c>
      <c r="D137" s="10" t="s">
        <v>65</v>
      </c>
      <c r="E137" s="9">
        <v>16054214</v>
      </c>
      <c r="F137" s="9" t="s">
        <v>69</v>
      </c>
      <c r="G137" s="9" t="s">
        <v>70</v>
      </c>
      <c r="H137" s="9" t="s">
        <v>166</v>
      </c>
    </row>
    <row r="138" spans="1:8" x14ac:dyDescent="0.3">
      <c r="A138" s="9">
        <v>2023</v>
      </c>
      <c r="B138" s="9" t="s">
        <v>90</v>
      </c>
      <c r="C138" s="9">
        <v>3134.9</v>
      </c>
      <c r="D138" s="10" t="s">
        <v>65</v>
      </c>
      <c r="E138" s="9">
        <v>3134869</v>
      </c>
      <c r="F138" s="9" t="s">
        <v>66</v>
      </c>
      <c r="G138" s="9" t="s">
        <v>67</v>
      </c>
      <c r="H138" s="9" t="s">
        <v>166</v>
      </c>
    </row>
    <row r="139" spans="1:8" x14ac:dyDescent="0.3">
      <c r="A139" s="9">
        <v>2023</v>
      </c>
      <c r="B139" s="9" t="s">
        <v>90</v>
      </c>
      <c r="C139" s="9">
        <v>2000</v>
      </c>
      <c r="D139" s="10" t="s">
        <v>65</v>
      </c>
      <c r="E139" s="9">
        <v>2000000</v>
      </c>
      <c r="F139" s="9" t="s">
        <v>69</v>
      </c>
      <c r="G139" s="9" t="s">
        <v>91</v>
      </c>
      <c r="H139" s="9" t="s">
        <v>166</v>
      </c>
    </row>
    <row r="140" spans="1:8" x14ac:dyDescent="0.3">
      <c r="A140" s="9">
        <v>2023</v>
      </c>
      <c r="B140" s="9" t="s">
        <v>96</v>
      </c>
      <c r="C140" s="9">
        <v>9361.9</v>
      </c>
      <c r="D140" s="10" t="s">
        <v>65</v>
      </c>
      <c r="E140" s="11">
        <v>9361922</v>
      </c>
      <c r="F140" s="9" t="s">
        <v>66</v>
      </c>
      <c r="G140" s="9" t="s">
        <v>67</v>
      </c>
      <c r="H140" s="9" t="s">
        <v>166</v>
      </c>
    </row>
    <row r="141" spans="1:8" x14ac:dyDescent="0.3">
      <c r="A141" s="9">
        <v>2023</v>
      </c>
      <c r="B141" s="9" t="s">
        <v>96</v>
      </c>
      <c r="C141" s="9">
        <v>28300</v>
      </c>
      <c r="D141" s="10" t="s">
        <v>65</v>
      </c>
      <c r="E141" s="9">
        <v>28300000</v>
      </c>
      <c r="F141" s="10" t="s">
        <v>81</v>
      </c>
      <c r="G141" s="9" t="s">
        <v>68</v>
      </c>
      <c r="H141" s="9" t="s">
        <v>166</v>
      </c>
    </row>
    <row r="142" spans="1:8" x14ac:dyDescent="0.3">
      <c r="A142" s="9">
        <v>2023</v>
      </c>
      <c r="B142" s="9" t="s">
        <v>96</v>
      </c>
      <c r="C142" s="9">
        <v>17248.8</v>
      </c>
      <c r="D142" s="10" t="s">
        <v>65</v>
      </c>
      <c r="E142" s="9">
        <v>17248770</v>
      </c>
      <c r="F142" s="9" t="s">
        <v>82</v>
      </c>
      <c r="G142" s="9" t="s">
        <v>83</v>
      </c>
      <c r="H142" s="9" t="s">
        <v>166</v>
      </c>
    </row>
    <row r="143" spans="1:8" x14ac:dyDescent="0.3">
      <c r="A143" s="9">
        <v>2023</v>
      </c>
      <c r="B143" s="9" t="s">
        <v>96</v>
      </c>
      <c r="C143" s="9">
        <v>1578.2</v>
      </c>
      <c r="D143" s="10" t="s">
        <v>65</v>
      </c>
      <c r="E143" s="9">
        <v>1578243</v>
      </c>
      <c r="F143" s="9" t="s">
        <v>69</v>
      </c>
      <c r="G143" s="9" t="s">
        <v>91</v>
      </c>
      <c r="H143" s="9" t="s">
        <v>166</v>
      </c>
    </row>
    <row r="144" spans="1:8" x14ac:dyDescent="0.3">
      <c r="A144" s="9">
        <v>2023</v>
      </c>
      <c r="B144" s="9" t="s">
        <v>96</v>
      </c>
      <c r="C144" s="9">
        <v>15450</v>
      </c>
      <c r="D144" s="10" t="s">
        <v>65</v>
      </c>
      <c r="E144" s="9">
        <v>15450000</v>
      </c>
      <c r="F144" s="9" t="s">
        <v>69</v>
      </c>
      <c r="G144" s="9" t="s">
        <v>84</v>
      </c>
      <c r="H144" s="9" t="s">
        <v>166</v>
      </c>
    </row>
    <row r="145" spans="1:8" x14ac:dyDescent="0.3">
      <c r="A145" s="9">
        <v>2023</v>
      </c>
      <c r="B145" s="9" t="s">
        <v>96</v>
      </c>
      <c r="C145" s="9">
        <v>6622.2</v>
      </c>
      <c r="D145" s="10" t="s">
        <v>65</v>
      </c>
      <c r="E145" s="9">
        <v>6622214</v>
      </c>
      <c r="F145" s="9" t="s">
        <v>69</v>
      </c>
      <c r="G145" s="9" t="s">
        <v>70</v>
      </c>
      <c r="H145" s="9" t="s">
        <v>166</v>
      </c>
    </row>
    <row r="146" spans="1:8" x14ac:dyDescent="0.3">
      <c r="A146" s="9">
        <v>2023</v>
      </c>
      <c r="B146" s="9" t="s">
        <v>97</v>
      </c>
      <c r="C146" s="9">
        <v>5675.3</v>
      </c>
      <c r="D146" s="10" t="s">
        <v>65</v>
      </c>
      <c r="E146" s="9">
        <v>5675261</v>
      </c>
      <c r="F146" s="9" t="s">
        <v>66</v>
      </c>
      <c r="G146" s="9" t="s">
        <v>67</v>
      </c>
      <c r="H146" s="9" t="s">
        <v>166</v>
      </c>
    </row>
    <row r="147" spans="1:8" x14ac:dyDescent="0.3">
      <c r="A147" s="9">
        <v>2023</v>
      </c>
      <c r="B147" s="9" t="s">
        <v>97</v>
      </c>
      <c r="C147" s="9">
        <v>10000</v>
      </c>
      <c r="D147" s="9" t="s">
        <v>98</v>
      </c>
      <c r="E147" s="9">
        <v>10000000</v>
      </c>
      <c r="F147" s="9" t="s">
        <v>99</v>
      </c>
      <c r="G147" s="9" t="s">
        <v>100</v>
      </c>
      <c r="H147" s="9" t="s">
        <v>166</v>
      </c>
    </row>
    <row r="148" spans="1:8" x14ac:dyDescent="0.3">
      <c r="A148" s="9">
        <v>2023</v>
      </c>
      <c r="B148" s="9" t="s">
        <v>101</v>
      </c>
      <c r="C148" s="9">
        <v>6343.1</v>
      </c>
      <c r="D148" s="10" t="s">
        <v>65</v>
      </c>
      <c r="E148" s="9">
        <v>6343082</v>
      </c>
      <c r="F148" s="9" t="s">
        <v>66</v>
      </c>
      <c r="G148" s="9" t="s">
        <v>67</v>
      </c>
      <c r="H148" s="9" t="s">
        <v>166</v>
      </c>
    </row>
    <row r="149" spans="1:8" x14ac:dyDescent="0.3">
      <c r="A149" s="9">
        <v>2023</v>
      </c>
      <c r="B149" s="9" t="s">
        <v>101</v>
      </c>
      <c r="C149" s="9">
        <v>1700</v>
      </c>
      <c r="D149" s="10" t="s">
        <v>65</v>
      </c>
      <c r="E149" s="9">
        <v>1700000</v>
      </c>
      <c r="F149" s="9" t="s">
        <v>81</v>
      </c>
      <c r="G149" s="9" t="s">
        <v>68</v>
      </c>
      <c r="H149" s="9" t="s">
        <v>166</v>
      </c>
    </row>
    <row r="150" spans="1:8" x14ac:dyDescent="0.3">
      <c r="A150" s="9">
        <v>2023</v>
      </c>
      <c r="B150" s="9" t="s">
        <v>102</v>
      </c>
      <c r="C150" s="9">
        <v>11886</v>
      </c>
      <c r="D150" s="10" t="s">
        <v>65</v>
      </c>
      <c r="E150" s="9">
        <v>11886000</v>
      </c>
      <c r="F150" s="9" t="s">
        <v>66</v>
      </c>
      <c r="G150" s="9" t="s">
        <v>67</v>
      </c>
      <c r="H150" s="9" t="s">
        <v>166</v>
      </c>
    </row>
    <row r="151" spans="1:8" x14ac:dyDescent="0.3">
      <c r="A151" s="9">
        <v>2022</v>
      </c>
      <c r="B151" s="9" t="s">
        <v>104</v>
      </c>
      <c r="C151" s="9">
        <v>115000</v>
      </c>
      <c r="D151" s="10" t="s">
        <v>65</v>
      </c>
      <c r="E151" s="9">
        <v>115000000</v>
      </c>
      <c r="F151" s="9" t="s">
        <v>81</v>
      </c>
      <c r="G151" s="9" t="s">
        <v>105</v>
      </c>
      <c r="H151" s="9" t="s">
        <v>166</v>
      </c>
    </row>
    <row r="152" spans="1:8" x14ac:dyDescent="0.3">
      <c r="A152" s="9">
        <v>2022</v>
      </c>
      <c r="B152" s="9" t="s">
        <v>104</v>
      </c>
      <c r="C152" s="9">
        <v>66940.600000000006</v>
      </c>
      <c r="D152" s="10" t="s">
        <v>65</v>
      </c>
      <c r="E152" s="9">
        <v>66940563</v>
      </c>
      <c r="F152" s="9" t="s">
        <v>81</v>
      </c>
      <c r="G152" s="9" t="s">
        <v>68</v>
      </c>
      <c r="H152" s="9" t="s">
        <v>166</v>
      </c>
    </row>
    <row r="153" spans="1:8" x14ac:dyDescent="0.3">
      <c r="A153" s="9">
        <v>2022</v>
      </c>
      <c r="B153" s="9" t="s">
        <v>104</v>
      </c>
      <c r="C153" s="9">
        <v>17703.3</v>
      </c>
      <c r="D153" s="10" t="s">
        <v>65</v>
      </c>
      <c r="E153" s="9">
        <v>17703272</v>
      </c>
      <c r="F153" s="9" t="s">
        <v>81</v>
      </c>
      <c r="G153" s="9" t="s">
        <v>106</v>
      </c>
      <c r="H153" s="9" t="s">
        <v>166</v>
      </c>
    </row>
    <row r="154" spans="1:8" x14ac:dyDescent="0.3">
      <c r="A154" s="9">
        <v>2022</v>
      </c>
      <c r="B154" s="9" t="s">
        <v>109</v>
      </c>
      <c r="C154" s="9">
        <v>35000</v>
      </c>
      <c r="D154" s="10" t="s">
        <v>65</v>
      </c>
      <c r="E154" s="9">
        <v>35000000</v>
      </c>
      <c r="F154" s="9" t="s">
        <v>81</v>
      </c>
      <c r="G154" s="9" t="s">
        <v>105</v>
      </c>
      <c r="H154" s="9" t="s">
        <v>166</v>
      </c>
    </row>
    <row r="155" spans="1:8" x14ac:dyDescent="0.3">
      <c r="A155" s="9">
        <v>2022</v>
      </c>
      <c r="B155" s="9" t="s">
        <v>109</v>
      </c>
      <c r="C155" s="9">
        <v>18300</v>
      </c>
      <c r="D155" s="9" t="s">
        <v>98</v>
      </c>
      <c r="E155" s="9">
        <v>18300000</v>
      </c>
      <c r="F155" s="9" t="s">
        <v>99</v>
      </c>
      <c r="G155" s="9" t="s">
        <v>100</v>
      </c>
      <c r="H155" s="9" t="s">
        <v>166</v>
      </c>
    </row>
    <row r="156" spans="1:8" x14ac:dyDescent="0.3">
      <c r="A156" s="9">
        <v>2022</v>
      </c>
      <c r="B156" s="9" t="s">
        <v>109</v>
      </c>
      <c r="C156" s="9">
        <v>12457.5</v>
      </c>
      <c r="D156" s="10" t="s">
        <v>65</v>
      </c>
      <c r="E156" s="9">
        <v>12457517</v>
      </c>
      <c r="F156" s="9" t="s">
        <v>110</v>
      </c>
      <c r="G156" s="9" t="s">
        <v>67</v>
      </c>
      <c r="H156" s="9" t="s">
        <v>166</v>
      </c>
    </row>
    <row r="157" spans="1:8" x14ac:dyDescent="0.3">
      <c r="A157" s="9">
        <v>2022</v>
      </c>
      <c r="B157" s="9" t="s">
        <v>111</v>
      </c>
      <c r="C157" s="9">
        <v>5031.2</v>
      </c>
      <c r="D157" s="10" t="s">
        <v>65</v>
      </c>
      <c r="E157" s="9">
        <v>5031235</v>
      </c>
      <c r="F157" s="9" t="s">
        <v>110</v>
      </c>
      <c r="G157" s="9" t="s">
        <v>67</v>
      </c>
      <c r="H157" s="9" t="s">
        <v>166</v>
      </c>
    </row>
    <row r="158" spans="1:8" x14ac:dyDescent="0.3">
      <c r="A158" s="9">
        <v>2022</v>
      </c>
      <c r="B158" s="9" t="s">
        <v>77</v>
      </c>
      <c r="C158" s="9">
        <v>4607.3</v>
      </c>
      <c r="D158" s="10" t="s">
        <v>65</v>
      </c>
      <c r="E158" s="9">
        <v>4607263</v>
      </c>
      <c r="F158" s="9" t="s">
        <v>110</v>
      </c>
      <c r="G158" s="9" t="s">
        <v>67</v>
      </c>
      <c r="H158" s="9" t="s">
        <v>166</v>
      </c>
    </row>
    <row r="159" spans="1:8" x14ac:dyDescent="0.3">
      <c r="A159" s="9">
        <v>2022</v>
      </c>
      <c r="B159" s="9" t="s">
        <v>80</v>
      </c>
      <c r="C159" s="9">
        <v>2078.6</v>
      </c>
      <c r="D159" s="10" t="s">
        <v>65</v>
      </c>
      <c r="E159" s="9">
        <v>2078621</v>
      </c>
      <c r="F159" s="9" t="s">
        <v>110</v>
      </c>
      <c r="G159" s="9" t="s">
        <v>67</v>
      </c>
      <c r="H159" s="9" t="s">
        <v>166</v>
      </c>
    </row>
    <row r="160" spans="1:8" x14ac:dyDescent="0.3">
      <c r="A160" s="9">
        <v>2022</v>
      </c>
      <c r="B160" s="9" t="s">
        <v>90</v>
      </c>
      <c r="C160" s="9">
        <v>1569.6</v>
      </c>
      <c r="D160" s="10" t="s">
        <v>65</v>
      </c>
      <c r="E160" s="9">
        <v>1569640</v>
      </c>
      <c r="F160" s="9" t="s">
        <v>110</v>
      </c>
      <c r="G160" s="9" t="s">
        <v>67</v>
      </c>
      <c r="H160" s="9" t="s">
        <v>166</v>
      </c>
    </row>
    <row r="161" spans="1:8" x14ac:dyDescent="0.3">
      <c r="A161" s="9">
        <v>2022</v>
      </c>
      <c r="B161" s="9" t="s">
        <v>96</v>
      </c>
      <c r="C161" s="9">
        <v>4203.7</v>
      </c>
      <c r="D161" s="10" t="s">
        <v>65</v>
      </c>
      <c r="E161" s="9">
        <v>4203745</v>
      </c>
      <c r="F161" s="9" t="s">
        <v>110</v>
      </c>
      <c r="G161" s="9" t="s">
        <v>67</v>
      </c>
      <c r="H161" s="9" t="s">
        <v>166</v>
      </c>
    </row>
    <row r="162" spans="1:8" x14ac:dyDescent="0.3">
      <c r="A162" s="9">
        <v>2022</v>
      </c>
      <c r="B162" s="9" t="s">
        <v>97</v>
      </c>
      <c r="C162" s="9">
        <v>3038</v>
      </c>
      <c r="D162" s="10" t="s">
        <v>65</v>
      </c>
      <c r="E162" s="9">
        <v>3037979</v>
      </c>
      <c r="F162" s="9" t="s">
        <v>110</v>
      </c>
      <c r="G162" s="9" t="s">
        <v>67</v>
      </c>
      <c r="H162" s="9" t="s">
        <v>166</v>
      </c>
    </row>
    <row r="163" spans="1:8" x14ac:dyDescent="0.3">
      <c r="A163" s="9">
        <v>2022</v>
      </c>
      <c r="B163" s="9" t="s">
        <v>101</v>
      </c>
      <c r="C163" s="9">
        <v>4014</v>
      </c>
      <c r="D163" s="10" t="s">
        <v>65</v>
      </c>
      <c r="E163" s="9">
        <v>4014000</v>
      </c>
      <c r="F163" s="9" t="s">
        <v>110</v>
      </c>
      <c r="G163" s="9" t="s">
        <v>67</v>
      </c>
      <c r="H163" s="9" t="s">
        <v>166</v>
      </c>
    </row>
    <row r="164" spans="1:8" x14ac:dyDescent="0.3">
      <c r="A164" s="9">
        <v>2021</v>
      </c>
      <c r="B164" s="9" t="s">
        <v>96</v>
      </c>
      <c r="C164" s="9">
        <v>13830</v>
      </c>
      <c r="D164" s="9" t="s">
        <v>98</v>
      </c>
      <c r="E164" s="9">
        <v>13830000</v>
      </c>
      <c r="F164" s="9" t="s">
        <v>99</v>
      </c>
      <c r="G164" s="9" t="s">
        <v>115</v>
      </c>
      <c r="H164" s="9" t="s">
        <v>166</v>
      </c>
    </row>
    <row r="165" spans="1:8" x14ac:dyDescent="0.3">
      <c r="A165" s="9">
        <v>2021</v>
      </c>
      <c r="B165" s="9" t="s">
        <v>97</v>
      </c>
      <c r="C165" s="9">
        <v>1670</v>
      </c>
      <c r="D165" s="9" t="s">
        <v>98</v>
      </c>
      <c r="E165" s="9">
        <v>1670000</v>
      </c>
      <c r="F165" s="9" t="s">
        <v>99</v>
      </c>
      <c r="G165" s="9" t="s">
        <v>115</v>
      </c>
      <c r="H165" s="9" t="s">
        <v>166</v>
      </c>
    </row>
    <row r="166" spans="1:8" x14ac:dyDescent="0.3">
      <c r="A166" s="9">
        <v>2020</v>
      </c>
      <c r="B166" s="9" t="s">
        <v>104</v>
      </c>
      <c r="C166" s="9">
        <v>24500</v>
      </c>
      <c r="D166" s="9" t="s">
        <v>98</v>
      </c>
      <c r="E166" s="9">
        <v>24500000</v>
      </c>
      <c r="F166" s="9" t="s">
        <v>99</v>
      </c>
      <c r="G166" s="9" t="s">
        <v>115</v>
      </c>
      <c r="H166" s="9" t="s">
        <v>166</v>
      </c>
    </row>
    <row r="167" spans="1:8" x14ac:dyDescent="0.3">
      <c r="A167" s="9">
        <v>2020</v>
      </c>
      <c r="B167" s="9" t="s">
        <v>80</v>
      </c>
      <c r="C167" s="9">
        <v>2150</v>
      </c>
      <c r="D167" s="9" t="s">
        <v>65</v>
      </c>
      <c r="E167" s="9">
        <v>2150000</v>
      </c>
      <c r="F167" s="9" t="s">
        <v>81</v>
      </c>
      <c r="G167" s="9" t="s">
        <v>64</v>
      </c>
      <c r="H167" s="9" t="s">
        <v>166</v>
      </c>
    </row>
    <row r="168" spans="1:8" x14ac:dyDescent="0.3">
      <c r="A168" s="9">
        <v>2020</v>
      </c>
      <c r="B168" s="9" t="s">
        <v>80</v>
      </c>
      <c r="C168" s="9">
        <v>7359.9</v>
      </c>
      <c r="D168" s="9" t="s">
        <v>98</v>
      </c>
      <c r="E168" s="9">
        <v>7359900</v>
      </c>
      <c r="F168" s="9" t="s">
        <v>99</v>
      </c>
      <c r="G168" s="9" t="s">
        <v>115</v>
      </c>
      <c r="H168" s="9" t="s">
        <v>166</v>
      </c>
    </row>
    <row r="169" spans="1:8" x14ac:dyDescent="0.3">
      <c r="A169" s="9">
        <v>2020</v>
      </c>
      <c r="B169" s="9" t="s">
        <v>90</v>
      </c>
      <c r="C169" s="9">
        <v>13600</v>
      </c>
      <c r="D169" s="9" t="s">
        <v>65</v>
      </c>
      <c r="E169" s="9">
        <v>13600000</v>
      </c>
      <c r="F169" s="9" t="s">
        <v>81</v>
      </c>
      <c r="G169" s="9" t="s">
        <v>64</v>
      </c>
      <c r="H169" s="9" t="s">
        <v>166</v>
      </c>
    </row>
    <row r="170" spans="1:8" x14ac:dyDescent="0.3">
      <c r="A170" s="9">
        <v>2020</v>
      </c>
      <c r="B170" s="9" t="s">
        <v>90</v>
      </c>
      <c r="C170" s="9">
        <v>6500</v>
      </c>
      <c r="D170" s="9" t="s">
        <v>98</v>
      </c>
      <c r="E170" s="9">
        <v>6500000</v>
      </c>
      <c r="F170" s="9" t="s">
        <v>99</v>
      </c>
      <c r="G170" s="9" t="s">
        <v>115</v>
      </c>
      <c r="H170" s="9" t="s">
        <v>166</v>
      </c>
    </row>
    <row r="171" spans="1:8" x14ac:dyDescent="0.3">
      <c r="A171" s="9">
        <v>2020</v>
      </c>
      <c r="B171" s="9" t="s">
        <v>96</v>
      </c>
      <c r="C171" s="9">
        <v>3000</v>
      </c>
      <c r="D171" s="9" t="s">
        <v>65</v>
      </c>
      <c r="E171" s="9">
        <v>3000000</v>
      </c>
      <c r="F171" s="9" t="s">
        <v>81</v>
      </c>
      <c r="G171" s="9" t="s">
        <v>64</v>
      </c>
      <c r="H171" s="9" t="s">
        <v>166</v>
      </c>
    </row>
    <row r="172" spans="1:8" x14ac:dyDescent="0.3">
      <c r="A172" s="9">
        <v>2020</v>
      </c>
      <c r="B172" s="9" t="s">
        <v>97</v>
      </c>
      <c r="C172" s="9">
        <v>6640.1</v>
      </c>
      <c r="D172" s="9" t="s">
        <v>98</v>
      </c>
      <c r="E172" s="9">
        <v>6640100</v>
      </c>
      <c r="F172" s="9" t="s">
        <v>99</v>
      </c>
      <c r="G172" s="9" t="s">
        <v>115</v>
      </c>
      <c r="H172" s="9" t="s">
        <v>166</v>
      </c>
    </row>
    <row r="173" spans="1:8" x14ac:dyDescent="0.3">
      <c r="A173" s="9">
        <v>2020</v>
      </c>
      <c r="B173" s="9" t="s">
        <v>101</v>
      </c>
      <c r="C173" s="9">
        <v>3000</v>
      </c>
      <c r="D173" s="9" t="s">
        <v>65</v>
      </c>
      <c r="E173" s="9">
        <v>3000000</v>
      </c>
      <c r="F173" s="9" t="s">
        <v>81</v>
      </c>
      <c r="G173" s="9" t="s">
        <v>64</v>
      </c>
      <c r="H173" s="9" t="s">
        <v>166</v>
      </c>
    </row>
    <row r="174" spans="1:8" x14ac:dyDescent="0.3">
      <c r="A174" s="9">
        <v>2020</v>
      </c>
      <c r="B174" s="9" t="s">
        <v>103</v>
      </c>
      <c r="C174" s="9">
        <v>6000</v>
      </c>
      <c r="D174" s="9" t="s">
        <v>65</v>
      </c>
      <c r="E174" s="9">
        <v>6000000</v>
      </c>
      <c r="F174" s="9" t="s">
        <v>81</v>
      </c>
      <c r="G174" s="9" t="s">
        <v>64</v>
      </c>
      <c r="H174" s="9" t="s">
        <v>166</v>
      </c>
    </row>
    <row r="175" spans="1:8" x14ac:dyDescent="0.3">
      <c r="A175" s="9">
        <v>2019</v>
      </c>
      <c r="B175" s="9" t="s">
        <v>109</v>
      </c>
      <c r="C175" s="9">
        <v>4000</v>
      </c>
      <c r="D175" s="9" t="s">
        <v>65</v>
      </c>
      <c r="E175" s="9">
        <v>4000000</v>
      </c>
      <c r="F175" s="9" t="s">
        <v>81</v>
      </c>
      <c r="G175" s="9" t="s">
        <v>64</v>
      </c>
      <c r="H175" s="9" t="s">
        <v>166</v>
      </c>
    </row>
    <row r="176" spans="1:8" x14ac:dyDescent="0.3">
      <c r="A176" s="9">
        <v>2019</v>
      </c>
      <c r="B176" s="9" t="s">
        <v>109</v>
      </c>
      <c r="C176" s="9">
        <v>4055.2</v>
      </c>
      <c r="D176" s="9" t="s">
        <v>98</v>
      </c>
      <c r="E176" s="9">
        <v>4055202</v>
      </c>
      <c r="F176" s="9" t="s">
        <v>99</v>
      </c>
      <c r="G176" s="9" t="s">
        <v>115</v>
      </c>
      <c r="H176" s="9" t="s">
        <v>166</v>
      </c>
    </row>
    <row r="177" spans="1:8" x14ac:dyDescent="0.3">
      <c r="A177" s="9">
        <v>2019</v>
      </c>
      <c r="B177" s="9" t="s">
        <v>111</v>
      </c>
      <c r="C177" s="9">
        <v>2500</v>
      </c>
      <c r="D177" s="9" t="s">
        <v>65</v>
      </c>
      <c r="E177" s="9">
        <v>2500000</v>
      </c>
      <c r="F177" s="9" t="s">
        <v>81</v>
      </c>
      <c r="G177" s="9" t="s">
        <v>64</v>
      </c>
      <c r="H177" s="9" t="s">
        <v>166</v>
      </c>
    </row>
    <row r="178" spans="1:8" x14ac:dyDescent="0.3">
      <c r="A178" s="9">
        <v>2019</v>
      </c>
      <c r="B178" s="9" t="s">
        <v>111</v>
      </c>
      <c r="C178" s="9">
        <v>15444.8</v>
      </c>
      <c r="D178" s="9" t="s">
        <v>98</v>
      </c>
      <c r="E178" s="9">
        <v>15444798</v>
      </c>
      <c r="F178" s="9" t="s">
        <v>99</v>
      </c>
      <c r="G178" s="9" t="s">
        <v>115</v>
      </c>
      <c r="H178" s="9" t="s">
        <v>166</v>
      </c>
    </row>
    <row r="179" spans="1:8" x14ac:dyDescent="0.3">
      <c r="A179" s="9">
        <v>2019</v>
      </c>
      <c r="B179" s="9" t="s">
        <v>77</v>
      </c>
      <c r="C179" s="9">
        <v>2000</v>
      </c>
      <c r="D179" s="9" t="s">
        <v>65</v>
      </c>
      <c r="E179" s="9">
        <v>2000000</v>
      </c>
      <c r="F179" s="9" t="s">
        <v>81</v>
      </c>
      <c r="G179" s="9" t="s">
        <v>64</v>
      </c>
      <c r="H179" s="9" t="s">
        <v>166</v>
      </c>
    </row>
    <row r="180" spans="1:8" x14ac:dyDescent="0.3">
      <c r="A180" s="9">
        <v>2019</v>
      </c>
      <c r="B180" s="9" t="s">
        <v>90</v>
      </c>
      <c r="C180" s="9">
        <v>500</v>
      </c>
      <c r="D180" s="9" t="s">
        <v>65</v>
      </c>
      <c r="E180" s="9">
        <v>500000</v>
      </c>
      <c r="F180" s="9" t="s">
        <v>81</v>
      </c>
      <c r="G180" s="9" t="s">
        <v>64</v>
      </c>
      <c r="H180" s="9" t="s">
        <v>166</v>
      </c>
    </row>
    <row r="181" spans="1:8" x14ac:dyDescent="0.3">
      <c r="A181" s="9">
        <v>2019</v>
      </c>
      <c r="B181" s="9" t="s">
        <v>96</v>
      </c>
      <c r="C181" s="9">
        <v>2000</v>
      </c>
      <c r="D181" s="9" t="s">
        <v>65</v>
      </c>
      <c r="E181" s="9">
        <v>2000000</v>
      </c>
      <c r="F181" s="9" t="s">
        <v>81</v>
      </c>
      <c r="G181" s="9" t="s">
        <v>64</v>
      </c>
      <c r="H181" s="9" t="s">
        <v>166</v>
      </c>
    </row>
    <row r="182" spans="1:8" x14ac:dyDescent="0.3">
      <c r="A182" s="9">
        <v>2019</v>
      </c>
      <c r="B182" s="9" t="s">
        <v>97</v>
      </c>
      <c r="C182" s="9">
        <v>3000</v>
      </c>
      <c r="D182" s="9" t="s">
        <v>65</v>
      </c>
      <c r="E182" s="9">
        <v>3000000</v>
      </c>
      <c r="F182" s="9" t="s">
        <v>81</v>
      </c>
      <c r="G182" s="9" t="s">
        <v>64</v>
      </c>
      <c r="H182" s="9" t="s">
        <v>166</v>
      </c>
    </row>
    <row r="183" spans="1:8" x14ac:dyDescent="0.3">
      <c r="A183" s="9">
        <v>2019</v>
      </c>
      <c r="B183" s="9" t="s">
        <v>121</v>
      </c>
      <c r="C183" s="9">
        <v>2000</v>
      </c>
      <c r="D183" s="9" t="s">
        <v>65</v>
      </c>
      <c r="E183" s="9">
        <v>2000000</v>
      </c>
      <c r="F183" s="9" t="s">
        <v>81</v>
      </c>
      <c r="G183" s="9" t="s">
        <v>64</v>
      </c>
      <c r="H183" s="9" t="s">
        <v>166</v>
      </c>
    </row>
    <row r="184" spans="1:8" x14ac:dyDescent="0.3">
      <c r="A184" s="9">
        <v>2018</v>
      </c>
      <c r="B184" s="9" t="s">
        <v>104</v>
      </c>
      <c r="C184" s="9">
        <v>12240.8</v>
      </c>
      <c r="D184" s="9" t="s">
        <v>65</v>
      </c>
      <c r="E184" s="9">
        <v>12240800</v>
      </c>
      <c r="F184" s="9" t="s">
        <v>81</v>
      </c>
      <c r="G184" s="9" t="s">
        <v>64</v>
      </c>
      <c r="H184" s="9" t="s">
        <v>166</v>
      </c>
    </row>
    <row r="185" spans="1:8" x14ac:dyDescent="0.3">
      <c r="A185" s="9">
        <v>2018</v>
      </c>
      <c r="B185" s="9" t="s">
        <v>104</v>
      </c>
      <c r="C185" s="9">
        <v>20000</v>
      </c>
      <c r="D185" s="9" t="s">
        <v>98</v>
      </c>
      <c r="E185" s="9">
        <v>20000000</v>
      </c>
      <c r="F185" s="9" t="s">
        <v>99</v>
      </c>
      <c r="G185" s="9" t="s">
        <v>115</v>
      </c>
      <c r="H185" s="9" t="s">
        <v>166</v>
      </c>
    </row>
    <row r="186" spans="1:8" x14ac:dyDescent="0.3">
      <c r="A186" s="9">
        <v>2018</v>
      </c>
      <c r="B186" s="9" t="s">
        <v>109</v>
      </c>
      <c r="C186" s="9">
        <v>12759.2</v>
      </c>
      <c r="D186" s="9" t="s">
        <v>65</v>
      </c>
      <c r="E186" s="9">
        <v>12759200</v>
      </c>
      <c r="F186" s="9" t="s">
        <v>81</v>
      </c>
      <c r="G186" s="9" t="s">
        <v>64</v>
      </c>
      <c r="H186" s="9" t="s">
        <v>166</v>
      </c>
    </row>
    <row r="187" spans="1:8" x14ac:dyDescent="0.3">
      <c r="A187" s="9">
        <v>2018</v>
      </c>
      <c r="B187" s="9" t="s">
        <v>111</v>
      </c>
      <c r="C187" s="9">
        <v>2000</v>
      </c>
      <c r="D187" s="9" t="s">
        <v>65</v>
      </c>
      <c r="E187" s="9">
        <v>2000000</v>
      </c>
      <c r="F187" s="9" t="s">
        <v>81</v>
      </c>
      <c r="G187" s="9" t="s">
        <v>64</v>
      </c>
      <c r="H187" s="9" t="s">
        <v>166</v>
      </c>
    </row>
    <row r="188" spans="1:8" x14ac:dyDescent="0.3">
      <c r="A188" s="9">
        <v>2018</v>
      </c>
      <c r="B188" s="9" t="s">
        <v>77</v>
      </c>
      <c r="C188" s="9">
        <v>2000</v>
      </c>
      <c r="D188" s="9" t="s">
        <v>65</v>
      </c>
      <c r="E188" s="9">
        <v>2000000</v>
      </c>
      <c r="F188" s="9" t="s">
        <v>81</v>
      </c>
      <c r="G188" s="9" t="s">
        <v>64</v>
      </c>
      <c r="H188" s="9" t="s">
        <v>166</v>
      </c>
    </row>
    <row r="189" spans="1:8" x14ac:dyDescent="0.3">
      <c r="A189" s="9">
        <v>2017</v>
      </c>
      <c r="B189" s="9" t="s">
        <v>80</v>
      </c>
      <c r="C189" s="9">
        <v>16710</v>
      </c>
      <c r="D189" s="9" t="s">
        <v>65</v>
      </c>
      <c r="E189" s="9">
        <v>16710000</v>
      </c>
      <c r="F189" s="9" t="s">
        <v>81</v>
      </c>
      <c r="G189" s="9" t="s">
        <v>64</v>
      </c>
      <c r="H189" s="9" t="s">
        <v>166</v>
      </c>
    </row>
    <row r="190" spans="1:8" x14ac:dyDescent="0.3">
      <c r="A190" s="9">
        <v>2015</v>
      </c>
      <c r="B190" s="9" t="s">
        <v>104</v>
      </c>
      <c r="C190" s="9">
        <v>118600</v>
      </c>
      <c r="D190" s="9" t="s">
        <v>65</v>
      </c>
      <c r="E190" s="9">
        <v>1750000</v>
      </c>
      <c r="F190" s="9" t="s">
        <v>113</v>
      </c>
      <c r="G190" s="9" t="s">
        <v>114</v>
      </c>
      <c r="H190" s="9" t="s">
        <v>166</v>
      </c>
    </row>
    <row r="191" spans="1:8" x14ac:dyDescent="0.3">
      <c r="A191" s="9">
        <v>2015</v>
      </c>
      <c r="B191" s="9" t="s">
        <v>109</v>
      </c>
      <c r="C191" s="9">
        <v>75000</v>
      </c>
      <c r="D191" s="9" t="s">
        <v>65</v>
      </c>
      <c r="E191" s="9">
        <v>1156206</v>
      </c>
      <c r="F191" s="9" t="s">
        <v>85</v>
      </c>
      <c r="G191" s="10" t="s">
        <v>87</v>
      </c>
      <c r="H191" s="9" t="s">
        <v>166</v>
      </c>
    </row>
    <row r="192" spans="1:8" x14ac:dyDescent="0.3">
      <c r="A192" s="9">
        <v>2015</v>
      </c>
      <c r="B192" s="9" t="s">
        <v>102</v>
      </c>
      <c r="C192" s="9">
        <v>50000</v>
      </c>
      <c r="D192" s="9" t="s">
        <v>98</v>
      </c>
      <c r="E192" s="9">
        <v>50000000</v>
      </c>
      <c r="F192" s="9" t="s">
        <v>99</v>
      </c>
      <c r="G192" s="9" t="s">
        <v>115</v>
      </c>
      <c r="H192" s="9" t="s">
        <v>166</v>
      </c>
    </row>
    <row r="193" spans="1:8" x14ac:dyDescent="0.3">
      <c r="A193" s="9">
        <v>2015</v>
      </c>
      <c r="B193" s="9" t="s">
        <v>102</v>
      </c>
      <c r="C193" s="9">
        <v>57500</v>
      </c>
      <c r="D193" s="9" t="s">
        <v>98</v>
      </c>
      <c r="E193" s="9">
        <v>57500000</v>
      </c>
      <c r="F193" s="9" t="s">
        <v>123</v>
      </c>
      <c r="G193" s="9" t="s">
        <v>124</v>
      </c>
      <c r="H193" s="9" t="s">
        <v>166</v>
      </c>
    </row>
    <row r="194" spans="1:8" x14ac:dyDescent="0.3">
      <c r="A194" s="9">
        <v>2015</v>
      </c>
      <c r="B194" s="9" t="s">
        <v>103</v>
      </c>
      <c r="C194" s="9">
        <v>75000</v>
      </c>
      <c r="D194" s="9" t="s">
        <v>65</v>
      </c>
      <c r="E194" s="9">
        <v>1207024</v>
      </c>
      <c r="F194" s="9" t="s">
        <v>85</v>
      </c>
      <c r="G194" s="10" t="s">
        <v>87</v>
      </c>
      <c r="H194" s="9" t="s">
        <v>166</v>
      </c>
    </row>
    <row r="195" spans="1:8" x14ac:dyDescent="0.3">
      <c r="A195" s="9">
        <v>2014</v>
      </c>
      <c r="B195" s="9" t="s">
        <v>104</v>
      </c>
      <c r="C195" s="9">
        <v>1080</v>
      </c>
      <c r="D195" s="9" t="s">
        <v>65</v>
      </c>
      <c r="E195" s="9">
        <v>1080000</v>
      </c>
      <c r="F195" s="9" t="s">
        <v>107</v>
      </c>
      <c r="G195" s="9" t="s">
        <v>108</v>
      </c>
      <c r="H195" s="9" t="s">
        <v>166</v>
      </c>
    </row>
    <row r="196" spans="1:8" x14ac:dyDescent="0.3">
      <c r="A196" s="9">
        <v>2014</v>
      </c>
      <c r="B196" s="9" t="s">
        <v>104</v>
      </c>
      <c r="C196" s="9">
        <v>4050</v>
      </c>
      <c r="D196" s="9" t="s">
        <v>65</v>
      </c>
      <c r="E196" s="9">
        <v>4050000</v>
      </c>
      <c r="F196" s="9" t="s">
        <v>125</v>
      </c>
      <c r="G196" s="9" t="s">
        <v>126</v>
      </c>
      <c r="H196" s="9" t="s">
        <v>166</v>
      </c>
    </row>
    <row r="197" spans="1:8" x14ac:dyDescent="0.3">
      <c r="A197" s="9">
        <v>2023</v>
      </c>
      <c r="B197" s="9" t="s">
        <v>111</v>
      </c>
      <c r="C197" s="9">
        <v>-0.02</v>
      </c>
      <c r="D197" s="9" t="s">
        <v>65</v>
      </c>
      <c r="E197" s="9">
        <f>20000/(2000000/2000000)</f>
        <v>20000</v>
      </c>
      <c r="F197" s="10" t="s">
        <v>69</v>
      </c>
      <c r="G197" s="9" t="s">
        <v>91</v>
      </c>
      <c r="H197" s="9" t="s">
        <v>166</v>
      </c>
    </row>
    <row r="198" spans="1:8" x14ac:dyDescent="0.3">
      <c r="A198" s="9">
        <v>2023</v>
      </c>
      <c r="B198" s="9" t="s">
        <v>111</v>
      </c>
      <c r="C198" s="9">
        <v>-524.20000000000005</v>
      </c>
      <c r="D198" s="9" t="s">
        <v>65</v>
      </c>
      <c r="E198" s="11">
        <f>34948091*0.015</f>
        <v>524221.36499999999</v>
      </c>
      <c r="F198" s="9" t="s">
        <v>92</v>
      </c>
      <c r="G198" s="9" t="s">
        <v>93</v>
      </c>
      <c r="H198" s="9" t="s">
        <v>166</v>
      </c>
    </row>
    <row r="199" spans="1:8" x14ac:dyDescent="0.3">
      <c r="A199" s="9">
        <v>2023</v>
      </c>
      <c r="B199" s="9" t="s">
        <v>77</v>
      </c>
      <c r="C199" s="9">
        <v>-2298.9</v>
      </c>
      <c r="D199" s="9" t="s">
        <v>65</v>
      </c>
      <c r="E199" s="11">
        <f>2298929*1</f>
        <v>2298929</v>
      </c>
      <c r="F199" s="10" t="s">
        <v>86</v>
      </c>
      <c r="G199" s="9" t="s">
        <v>88</v>
      </c>
      <c r="H199" s="9" t="s">
        <v>166</v>
      </c>
    </row>
    <row r="200" spans="1:8" x14ac:dyDescent="0.3">
      <c r="A200" s="9">
        <v>2023</v>
      </c>
      <c r="B200" s="9" t="s">
        <v>77</v>
      </c>
      <c r="C200" s="9">
        <v>-1.5800000000000002E-2</v>
      </c>
      <c r="D200" s="9" t="s">
        <v>65</v>
      </c>
      <c r="E200" s="11">
        <f>15800/(1578243000/1578243)</f>
        <v>15.8</v>
      </c>
      <c r="F200" s="10" t="s">
        <v>69</v>
      </c>
      <c r="G200" s="9" t="s">
        <v>89</v>
      </c>
      <c r="H200" s="9" t="s">
        <v>166</v>
      </c>
    </row>
    <row r="201" spans="1:8" x14ac:dyDescent="0.3">
      <c r="A201" s="9">
        <v>2023</v>
      </c>
      <c r="B201" s="9" t="s">
        <v>80</v>
      </c>
      <c r="C201" s="10">
        <v>-6775.9</v>
      </c>
      <c r="D201" s="9" t="s">
        <v>65</v>
      </c>
      <c r="E201" s="11">
        <f>1207024*0.0588</f>
        <v>70973.011199999994</v>
      </c>
      <c r="F201" s="9" t="s">
        <v>85</v>
      </c>
      <c r="G201" s="10" t="s">
        <v>87</v>
      </c>
      <c r="H201" s="9" t="s">
        <v>166</v>
      </c>
    </row>
    <row r="202" spans="1:8" x14ac:dyDescent="0.3">
      <c r="A202" s="9">
        <v>2023</v>
      </c>
      <c r="B202" s="9" t="s">
        <v>90</v>
      </c>
      <c r="C202" s="9">
        <v>-524.20000000000005</v>
      </c>
      <c r="D202" s="10" t="s">
        <v>65</v>
      </c>
      <c r="E202" s="11">
        <f>34948091*0.015</f>
        <v>524221.36499999999</v>
      </c>
      <c r="F202" s="10" t="s">
        <v>92</v>
      </c>
      <c r="G202" s="9" t="s">
        <v>93</v>
      </c>
      <c r="H202" s="9" t="s">
        <v>166</v>
      </c>
    </row>
    <row r="203" spans="1:8" x14ac:dyDescent="0.3">
      <c r="A203" s="9">
        <v>2023</v>
      </c>
      <c r="B203" s="9" t="s">
        <v>90</v>
      </c>
      <c r="C203" s="9">
        <v>-11851.9</v>
      </c>
      <c r="D203" s="10" t="s">
        <v>65</v>
      </c>
      <c r="E203" s="11">
        <v>11851945</v>
      </c>
      <c r="F203" s="9" t="s">
        <v>94</v>
      </c>
      <c r="G203" s="9" t="s">
        <v>95</v>
      </c>
      <c r="H203" s="9" t="s">
        <v>166</v>
      </c>
    </row>
    <row r="204" spans="1:8" x14ac:dyDescent="0.3">
      <c r="A204" s="9">
        <v>2023</v>
      </c>
      <c r="B204" s="9" t="s">
        <v>96</v>
      </c>
      <c r="C204" s="10">
        <v>-5498.3</v>
      </c>
      <c r="D204" s="9" t="s">
        <v>65</v>
      </c>
      <c r="E204" s="11">
        <f>1156206*0.0588</f>
        <v>67984.912799999991</v>
      </c>
      <c r="F204" s="9" t="s">
        <v>85</v>
      </c>
      <c r="G204" s="10" t="s">
        <v>87</v>
      </c>
      <c r="H204" s="9" t="s">
        <v>166</v>
      </c>
    </row>
    <row r="205" spans="1:8" x14ac:dyDescent="0.3">
      <c r="A205" s="9">
        <v>2023</v>
      </c>
      <c r="B205" s="9" t="s">
        <v>103</v>
      </c>
      <c r="C205" s="9">
        <v>-5353.7</v>
      </c>
      <c r="D205" s="9" t="s">
        <v>65</v>
      </c>
      <c r="E205" s="11">
        <f>1207024*0.0588</f>
        <v>70973.011199999994</v>
      </c>
      <c r="F205" s="9" t="s">
        <v>85</v>
      </c>
      <c r="G205" s="10" t="s">
        <v>87</v>
      </c>
      <c r="H205" s="9" t="s">
        <v>166</v>
      </c>
    </row>
    <row r="206" spans="1:8" x14ac:dyDescent="0.3">
      <c r="A206" s="9">
        <v>2022</v>
      </c>
      <c r="B206" s="9" t="s">
        <v>104</v>
      </c>
      <c r="C206" s="9">
        <v>-4199.8</v>
      </c>
      <c r="D206" s="9" t="s">
        <v>65</v>
      </c>
      <c r="E206" s="11">
        <f>1156206*0.0588</f>
        <v>67984.912799999991</v>
      </c>
      <c r="F206" s="9" t="s">
        <v>85</v>
      </c>
      <c r="G206" s="10" t="s">
        <v>87</v>
      </c>
      <c r="H206" s="9" t="s">
        <v>166</v>
      </c>
    </row>
    <row r="207" spans="1:8" x14ac:dyDescent="0.3">
      <c r="A207" s="9">
        <v>2022</v>
      </c>
      <c r="B207" s="9" t="s">
        <v>104</v>
      </c>
      <c r="C207" s="9">
        <v>-1080</v>
      </c>
      <c r="D207" s="9" t="s">
        <v>65</v>
      </c>
      <c r="E207" s="11">
        <f>1080000*1</f>
        <v>1080000</v>
      </c>
      <c r="F207" s="9" t="s">
        <v>107</v>
      </c>
      <c r="G207" s="9" t="s">
        <v>108</v>
      </c>
      <c r="H207" s="9" t="s">
        <v>166</v>
      </c>
    </row>
    <row r="208" spans="1:8" x14ac:dyDescent="0.3">
      <c r="A208" s="9">
        <v>2022</v>
      </c>
      <c r="B208" s="9" t="s">
        <v>80</v>
      </c>
      <c r="C208" s="9">
        <v>-4284.2</v>
      </c>
      <c r="D208" s="9" t="s">
        <v>65</v>
      </c>
      <c r="E208" s="11">
        <f>1207024*0.0588</f>
        <v>70973.011199999994</v>
      </c>
      <c r="F208" s="9" t="s">
        <v>85</v>
      </c>
      <c r="G208" s="10" t="s">
        <v>87</v>
      </c>
      <c r="H208" s="9" t="s">
        <v>166</v>
      </c>
    </row>
    <row r="209" spans="1:8" x14ac:dyDescent="0.3">
      <c r="A209" s="9">
        <v>2022</v>
      </c>
      <c r="B209" s="9" t="s">
        <v>102</v>
      </c>
      <c r="C209" s="9">
        <v>-6640.2</v>
      </c>
      <c r="D209" s="9" t="s">
        <v>65</v>
      </c>
      <c r="E209" s="11">
        <f>1207024*0.0588</f>
        <v>70973.011199999994</v>
      </c>
      <c r="F209" s="9" t="s">
        <v>85</v>
      </c>
      <c r="G209" s="10" t="s">
        <v>87</v>
      </c>
      <c r="H209" s="9" t="s">
        <v>166</v>
      </c>
    </row>
    <row r="210" spans="1:8" x14ac:dyDescent="0.3">
      <c r="A210" s="9">
        <v>2022</v>
      </c>
      <c r="B210" s="9" t="s">
        <v>103</v>
      </c>
      <c r="C210" s="9">
        <f>-(49898.6+91903.4)</f>
        <v>-141802</v>
      </c>
      <c r="D210" s="9" t="s">
        <v>65</v>
      </c>
      <c r="E210" s="11">
        <v>1750000</v>
      </c>
      <c r="F210" s="9" t="s">
        <v>113</v>
      </c>
      <c r="G210" s="9" t="s">
        <v>114</v>
      </c>
      <c r="H210" s="9" t="s">
        <v>166</v>
      </c>
    </row>
  </sheetData>
  <autoFilter ref="A1:G210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D2" sqref="D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234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Main_!AK22+Main_!AK23+Main_!AK37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213000-(Main_!AK22-Main_!AD22)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232</v>
      </c>
      <c r="B4" s="23">
        <v>2165514</v>
      </c>
      <c r="C4" s="23">
        <v>300000</v>
      </c>
      <c r="D4" s="23">
        <f>Main_!AI33+Main_!AI34+Main_!AI35+Main_!AI36</f>
        <v>300000</v>
      </c>
      <c r="E4" s="29">
        <f>D4/C4</f>
        <v>1</v>
      </c>
      <c r="F4" s="23">
        <f>C4-D4</f>
        <v>0</v>
      </c>
      <c r="G4" s="23" t="s">
        <v>233</v>
      </c>
      <c r="H4" s="23">
        <f>300000-D4</f>
        <v>0</v>
      </c>
      <c r="I4" s="23" t="s">
        <v>235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L5" sqref="L5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230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t="s">
        <v>228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v>316</v>
      </c>
      <c r="B5" s="1">
        <v>316</v>
      </c>
      <c r="C5" s="1">
        <f>B5</f>
        <v>316</v>
      </c>
      <c r="D5" s="1">
        <f>C5</f>
        <v>316</v>
      </c>
      <c r="E5" s="1">
        <f>D5+26885</f>
        <v>27201</v>
      </c>
      <c r="F5" s="1">
        <f>E5</f>
        <v>27201</v>
      </c>
      <c r="G5" s="1">
        <f>F5</f>
        <v>27201</v>
      </c>
      <c r="H5" s="1">
        <f>G5+62050</f>
        <v>89251</v>
      </c>
      <c r="I5" s="1">
        <f>H5</f>
        <v>89251</v>
      </c>
      <c r="J5" s="1">
        <f>I5+137039</f>
        <v>226290</v>
      </c>
      <c r="K5" s="1">
        <v>304138</v>
      </c>
      <c r="L5" s="1">
        <v>304138</v>
      </c>
      <c r="M5" s="4">
        <f>L5+L7</f>
        <v>305637.85863013699</v>
      </c>
      <c r="N5" s="4">
        <f>M5+M7</f>
        <v>307145.11382338149</v>
      </c>
      <c r="O5" s="4">
        <f t="shared" ref="O5:BH5" si="0">N5+N7</f>
        <v>308659.80205593514</v>
      </c>
      <c r="P5" s="4">
        <f t="shared" si="0"/>
        <v>310181.9599838822</v>
      </c>
      <c r="Q5" s="4">
        <f t="shared" si="0"/>
        <v>311711.62444407667</v>
      </c>
      <c r="R5" s="4">
        <f t="shared" si="0"/>
        <v>313248.83245503379</v>
      </c>
      <c r="S5" s="4">
        <f t="shared" si="0"/>
        <v>314793.62121782574</v>
      </c>
      <c r="T5" s="4">
        <f t="shared" si="0"/>
        <v>316346.02811698214</v>
      </c>
      <c r="U5" s="4">
        <f t="shared" si="0"/>
        <v>317906.09072139463</v>
      </c>
      <c r="V5" s="4">
        <f t="shared" si="0"/>
        <v>319473.8467852262</v>
      </c>
      <c r="W5" s="4">
        <f t="shared" si="0"/>
        <v>321049.33424882457</v>
      </c>
      <c r="X5" s="4">
        <f t="shared" si="0"/>
        <v>322632.59123964066</v>
      </c>
      <c r="Y5" s="4">
        <f t="shared" si="0"/>
        <v>324223.65607315121</v>
      </c>
      <c r="Z5" s="4">
        <f t="shared" si="0"/>
        <v>325822.56725378591</v>
      </c>
      <c r="AA5" s="4">
        <f t="shared" si="0"/>
        <v>327429.3634758594</v>
      </c>
      <c r="AB5" s="4">
        <f t="shared" si="0"/>
        <v>329044.08362450748</v>
      </c>
      <c r="AC5" s="4">
        <f t="shared" si="0"/>
        <v>330666.76677662833</v>
      </c>
      <c r="AD5" s="4">
        <f t="shared" si="0"/>
        <v>332297.45220182813</v>
      </c>
      <c r="AE5" s="4">
        <f t="shared" si="0"/>
        <v>333936.1793633714</v>
      </c>
      <c r="AF5" s="4">
        <f t="shared" si="0"/>
        <v>335582.98791913595</v>
      </c>
      <c r="AG5" s="4">
        <f t="shared" si="0"/>
        <v>337237.91772257281</v>
      </c>
      <c r="AH5" s="4">
        <f t="shared" si="0"/>
        <v>338901.00882367045</v>
      </c>
      <c r="AI5" s="4">
        <f t="shared" si="0"/>
        <v>340572.30146992416</v>
      </c>
      <c r="AJ5" s="4">
        <f t="shared" si="0"/>
        <v>342251.83610731008</v>
      </c>
      <c r="AK5" s="4">
        <f t="shared" si="0"/>
        <v>343939.65338126395</v>
      </c>
      <c r="AL5" s="4">
        <f t="shared" si="0"/>
        <v>345635.79413766472</v>
      </c>
      <c r="AM5" s="4">
        <f t="shared" si="0"/>
        <v>347340.29942382307</v>
      </c>
      <c r="AN5" s="4">
        <f t="shared" si="0"/>
        <v>349053.21048947482</v>
      </c>
      <c r="AO5" s="4">
        <f t="shared" si="0"/>
        <v>350774.56878777908</v>
      </c>
      <c r="AP5" s="4">
        <f t="shared" si="0"/>
        <v>352504.41597632156</v>
      </c>
      <c r="AQ5" s="4">
        <f t="shared" si="0"/>
        <v>354242.7939181226</v>
      </c>
      <c r="AR5" s="4">
        <f t="shared" si="0"/>
        <v>355989.74468265031</v>
      </c>
      <c r="AS5" s="4">
        <f t="shared" si="0"/>
        <v>357745.31054683874</v>
      </c>
      <c r="AT5" s="4">
        <f t="shared" si="0"/>
        <v>359509.53399611084</v>
      </c>
      <c r="AU5" s="4">
        <f t="shared" si="0"/>
        <v>361282.45772540674</v>
      </c>
      <c r="AV5" s="4">
        <f t="shared" si="0"/>
        <v>363064.12464021699</v>
      </c>
      <c r="AW5" s="4">
        <f t="shared" si="0"/>
        <v>364854.57785762078</v>
      </c>
      <c r="AX5" s="4">
        <f t="shared" si="0"/>
        <v>366653.86070732959</v>
      </c>
      <c r="AY5" s="4">
        <f t="shared" si="0"/>
        <v>368462.01673273562</v>
      </c>
      <c r="AZ5" s="4">
        <f t="shared" si="0"/>
        <v>370279.08969196555</v>
      </c>
      <c r="BA5" s="4">
        <f t="shared" si="0"/>
        <v>372105.12355893961</v>
      </c>
      <c r="BB5" s="4">
        <f t="shared" si="0"/>
        <v>373940.16252443573</v>
      </c>
      <c r="BC5" s="4">
        <f t="shared" si="0"/>
        <v>375784.25099715899</v>
      </c>
      <c r="BD5" s="4">
        <f t="shared" si="0"/>
        <v>377637.43360481621</v>
      </c>
      <c r="BE5" s="4">
        <f t="shared" si="0"/>
        <v>379499.75519519614</v>
      </c>
      <c r="BF5" s="4">
        <f t="shared" si="0"/>
        <v>381371.26083725464</v>
      </c>
      <c r="BG5" s="4">
        <f t="shared" si="0"/>
        <v>383251.9958222055</v>
      </c>
      <c r="BH5" s="4">
        <f t="shared" si="0"/>
        <v>385142.00566461636</v>
      </c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1">A5*A6*A4/365</f>
        <v>1.0389041095890412</v>
      </c>
      <c r="B7" s="20">
        <f t="shared" si="1"/>
        <v>1.6103013698630138</v>
      </c>
      <c r="C7" s="20">
        <f t="shared" si="1"/>
        <v>1.5583561643835617</v>
      </c>
      <c r="D7" s="20">
        <f t="shared" si="1"/>
        <v>1.6103013698630138</v>
      </c>
      <c r="E7" s="20">
        <f t="shared" si="1"/>
        <v>138.61331506849316</v>
      </c>
      <c r="F7" s="20">
        <f t="shared" si="1"/>
        <v>134.14191780821918</v>
      </c>
      <c r="G7" s="20">
        <f t="shared" si="1"/>
        <v>138.61331506849316</v>
      </c>
      <c r="H7" s="20">
        <f t="shared" si="1"/>
        <v>440.14191780821915</v>
      </c>
      <c r="I7" s="20">
        <f t="shared" si="1"/>
        <v>454.81331506849313</v>
      </c>
      <c r="J7" s="20">
        <f t="shared" si="1"/>
        <v>1153.1490410958904</v>
      </c>
      <c r="K7" s="20">
        <f t="shared" si="1"/>
        <v>1399.8680547945205</v>
      </c>
      <c r="L7" s="20">
        <f t="shared" si="1"/>
        <v>1499.858630136986</v>
      </c>
      <c r="M7" s="22">
        <f t="shared" si="1"/>
        <v>1507.2551932445112</v>
      </c>
      <c r="N7" s="22">
        <f t="shared" si="1"/>
        <v>1514.6882325536619</v>
      </c>
      <c r="O7" s="22">
        <f t="shared" si="1"/>
        <v>1522.1579279470775</v>
      </c>
      <c r="P7" s="22">
        <f t="shared" si="1"/>
        <v>1529.6644601944874</v>
      </c>
      <c r="Q7" s="22">
        <f t="shared" si="1"/>
        <v>1537.2080109570907</v>
      </c>
      <c r="R7" s="22">
        <f t="shared" si="1"/>
        <v>1544.7887627919472</v>
      </c>
      <c r="S7" s="22">
        <f t="shared" si="1"/>
        <v>1552.4068991564006</v>
      </c>
      <c r="T7" s="22">
        <f t="shared" si="1"/>
        <v>1560.0626044125147</v>
      </c>
      <c r="U7" s="22">
        <f t="shared" si="1"/>
        <v>1567.7560638315351</v>
      </c>
      <c r="V7" s="22">
        <f t="shared" si="1"/>
        <v>1575.4874635983756</v>
      </c>
      <c r="W7" s="22">
        <f t="shared" si="1"/>
        <v>1583.2569908161211</v>
      </c>
      <c r="X7" s="22">
        <f t="shared" si="1"/>
        <v>1591.0648335105568</v>
      </c>
      <c r="Y7" s="22">
        <f t="shared" si="1"/>
        <v>1598.9111806347182</v>
      </c>
      <c r="Z7" s="22">
        <f t="shared" si="1"/>
        <v>1606.7962220734646</v>
      </c>
      <c r="AA7" s="22">
        <f t="shared" si="1"/>
        <v>1614.7201486480737</v>
      </c>
      <c r="AB7" s="22">
        <f t="shared" si="1"/>
        <v>1622.6831521208587</v>
      </c>
      <c r="AC7" s="22">
        <f t="shared" si="1"/>
        <v>1630.6854251998107</v>
      </c>
      <c r="AD7" s="22">
        <f t="shared" si="1"/>
        <v>1638.7271615432619</v>
      </c>
      <c r="AE7" s="22">
        <f t="shared" si="1"/>
        <v>1646.8085557645713</v>
      </c>
      <c r="AF7" s="22">
        <f t="shared" si="1"/>
        <v>1654.9298034368348</v>
      </c>
      <c r="AG7" s="22">
        <f t="shared" ref="AG7:BH7" si="2">AG5*AG6*AG4/365</f>
        <v>1663.0911010976195</v>
      </c>
      <c r="AH7" s="22">
        <f t="shared" si="2"/>
        <v>1671.2926462537173</v>
      </c>
      <c r="AI7" s="22">
        <f t="shared" si="2"/>
        <v>1679.5346373859272</v>
      </c>
      <c r="AJ7" s="22">
        <f t="shared" si="2"/>
        <v>1687.8172739538577</v>
      </c>
      <c r="AK7" s="22">
        <f t="shared" si="2"/>
        <v>1696.1407564007536</v>
      </c>
      <c r="AL7" s="22">
        <f t="shared" si="2"/>
        <v>1704.5052861583463</v>
      </c>
      <c r="AM7" s="22">
        <f t="shared" si="2"/>
        <v>1712.9110656517303</v>
      </c>
      <c r="AN7" s="22">
        <f t="shared" si="2"/>
        <v>1721.3582983042593</v>
      </c>
      <c r="AO7" s="22">
        <f t="shared" si="2"/>
        <v>1729.8471885424724</v>
      </c>
      <c r="AP7" s="22">
        <f t="shared" si="2"/>
        <v>1738.3779418010379</v>
      </c>
      <c r="AQ7" s="22">
        <f t="shared" si="2"/>
        <v>1746.9507645277279</v>
      </c>
      <c r="AR7" s="22">
        <f t="shared" si="2"/>
        <v>1755.5658641884122</v>
      </c>
      <c r="AS7" s="22">
        <f t="shared" si="2"/>
        <v>1764.2234492720813</v>
      </c>
      <c r="AT7" s="22">
        <f t="shared" si="2"/>
        <v>1772.923729295889</v>
      </c>
      <c r="AU7" s="22">
        <f t="shared" si="2"/>
        <v>1781.6669148102249</v>
      </c>
      <c r="AV7" s="22">
        <f t="shared" si="2"/>
        <v>1790.4532174038097</v>
      </c>
      <c r="AW7" s="22">
        <f t="shared" si="2"/>
        <v>1799.2828497088146</v>
      </c>
      <c r="AX7" s="22">
        <f t="shared" si="2"/>
        <v>1808.1560254060089</v>
      </c>
      <c r="AY7" s="22">
        <f t="shared" si="2"/>
        <v>1817.072959229929</v>
      </c>
      <c r="AZ7" s="22">
        <f t="shared" si="2"/>
        <v>1826.0338669740768</v>
      </c>
      <c r="BA7" s="22">
        <f t="shared" si="2"/>
        <v>1835.0389654961405</v>
      </c>
      <c r="BB7" s="22">
        <f t="shared" si="2"/>
        <v>1844.0884727232449</v>
      </c>
      <c r="BC7" s="22">
        <f t="shared" si="2"/>
        <v>1853.1826076572222</v>
      </c>
      <c r="BD7" s="22">
        <f t="shared" si="2"/>
        <v>1862.3215903799155</v>
      </c>
      <c r="BE7" s="22">
        <f t="shared" si="2"/>
        <v>1871.5056420585013</v>
      </c>
      <c r="BF7" s="22">
        <f t="shared" si="2"/>
        <v>1880.7349849508446</v>
      </c>
      <c r="BG7" s="22">
        <f t="shared" si="2"/>
        <v>1890.0098424108767</v>
      </c>
      <c r="BH7" s="22">
        <f t="shared" si="2"/>
        <v>1899.3304388939982</v>
      </c>
    </row>
    <row r="8" spans="1:60" x14ac:dyDescent="0.35">
      <c r="A8" t="s">
        <v>229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3">B9+B7</f>
        <v>2.6492054794520552</v>
      </c>
      <c r="D9" s="20">
        <f t="shared" si="3"/>
        <v>4.2075616438356169</v>
      </c>
      <c r="E9" s="20">
        <f t="shared" si="3"/>
        <v>5.8178630136986307</v>
      </c>
      <c r="F9" s="20">
        <f t="shared" si="3"/>
        <v>144.43117808219179</v>
      </c>
      <c r="G9" s="20">
        <f t="shared" si="3"/>
        <v>278.57309589041097</v>
      </c>
      <c r="H9" s="20">
        <f t="shared" si="3"/>
        <v>417.18641095890416</v>
      </c>
      <c r="I9" s="20">
        <f t="shared" si="3"/>
        <v>857.32832876712337</v>
      </c>
      <c r="J9" s="20">
        <f t="shared" si="3"/>
        <v>1312.1416438356164</v>
      </c>
      <c r="K9" s="20">
        <f t="shared" si="3"/>
        <v>2465.2906849315068</v>
      </c>
      <c r="L9" s="20">
        <f t="shared" si="3"/>
        <v>3865.1587397260273</v>
      </c>
      <c r="M9" s="20">
        <f t="shared" ref="M9:BH9" si="4">L9+L7</f>
        <v>5365.0173698630133</v>
      </c>
      <c r="N9" s="20">
        <f t="shared" si="4"/>
        <v>6872.2725631075245</v>
      </c>
      <c r="O9" s="20">
        <f t="shared" si="4"/>
        <v>8386.9607956611871</v>
      </c>
      <c r="P9" s="20">
        <f t="shared" si="4"/>
        <v>9909.1187236082642</v>
      </c>
      <c r="Q9" s="20">
        <f t="shared" si="4"/>
        <v>11438.783183802752</v>
      </c>
      <c r="R9" s="20">
        <f t="shared" si="4"/>
        <v>12975.991194759843</v>
      </c>
      <c r="S9" s="20">
        <f t="shared" si="4"/>
        <v>14520.779957551789</v>
      </c>
      <c r="T9" s="20">
        <f t="shared" si="4"/>
        <v>16073.186856708189</v>
      </c>
      <c r="U9" s="20">
        <f t="shared" si="4"/>
        <v>17633.249461120704</v>
      </c>
      <c r="V9" s="20">
        <f t="shared" si="4"/>
        <v>19201.005524952237</v>
      </c>
      <c r="W9" s="20">
        <f t="shared" si="4"/>
        <v>20776.492988550614</v>
      </c>
      <c r="X9" s="20">
        <f t="shared" si="4"/>
        <v>22359.749979366734</v>
      </c>
      <c r="Y9" s="20">
        <f t="shared" si="4"/>
        <v>23950.814812877292</v>
      </c>
      <c r="Z9" s="20">
        <f t="shared" si="4"/>
        <v>25549.725993512009</v>
      </c>
      <c r="AA9" s="20">
        <f t="shared" si="4"/>
        <v>27156.522215585475</v>
      </c>
      <c r="AB9" s="20">
        <f t="shared" si="4"/>
        <v>28771.242364233549</v>
      </c>
      <c r="AC9" s="20">
        <f t="shared" si="4"/>
        <v>30393.925516354408</v>
      </c>
      <c r="AD9" s="20">
        <f t="shared" si="4"/>
        <v>32024.61094155422</v>
      </c>
      <c r="AE9" s="20">
        <f t="shared" si="4"/>
        <v>33663.338103097485</v>
      </c>
      <c r="AF9" s="20">
        <f t="shared" si="4"/>
        <v>35310.146658862053</v>
      </c>
      <c r="AG9" s="20">
        <f t="shared" si="4"/>
        <v>36965.076462298886</v>
      </c>
      <c r="AH9" s="20">
        <f t="shared" si="4"/>
        <v>38628.167563396506</v>
      </c>
      <c r="AI9" s="20">
        <f t="shared" si="4"/>
        <v>40299.46020965022</v>
      </c>
      <c r="AJ9" s="20">
        <f t="shared" si="4"/>
        <v>41978.994847036149</v>
      </c>
      <c r="AK9" s="20">
        <f t="shared" si="4"/>
        <v>43666.812120990005</v>
      </c>
      <c r="AL9" s="20">
        <f t="shared" si="4"/>
        <v>45362.952877390759</v>
      </c>
      <c r="AM9" s="20">
        <f t="shared" si="4"/>
        <v>47067.458163549105</v>
      </c>
      <c r="AN9" s="20">
        <f t="shared" si="4"/>
        <v>48780.369229200835</v>
      </c>
      <c r="AO9" s="20">
        <f t="shared" si="4"/>
        <v>50501.727527505092</v>
      </c>
      <c r="AP9" s="20">
        <f t="shared" si="4"/>
        <v>52231.574716047566</v>
      </c>
      <c r="AQ9" s="20">
        <f t="shared" si="4"/>
        <v>53969.952657848604</v>
      </c>
      <c r="AR9" s="20">
        <f t="shared" si="4"/>
        <v>55716.90342237633</v>
      </c>
      <c r="AS9" s="20">
        <f t="shared" si="4"/>
        <v>57472.469286564745</v>
      </c>
      <c r="AT9" s="20">
        <f t="shared" si="4"/>
        <v>59236.692735836827</v>
      </c>
      <c r="AU9" s="20">
        <f t="shared" si="4"/>
        <v>61009.616465132713</v>
      </c>
      <c r="AV9" s="20">
        <f t="shared" si="4"/>
        <v>62791.283379942935</v>
      </c>
      <c r="AW9" s="20">
        <f t="shared" si="4"/>
        <v>64581.736597346746</v>
      </c>
      <c r="AX9" s="20">
        <f t="shared" si="4"/>
        <v>66381.019447055558</v>
      </c>
      <c r="AY9" s="20">
        <f t="shared" si="4"/>
        <v>68189.17547246156</v>
      </c>
      <c r="AZ9" s="20">
        <f t="shared" si="4"/>
        <v>70006.248431691492</v>
      </c>
      <c r="BA9" s="20">
        <f t="shared" si="4"/>
        <v>71832.282298665566</v>
      </c>
      <c r="BB9" s="20">
        <f t="shared" si="4"/>
        <v>73667.321264161714</v>
      </c>
      <c r="BC9" s="20">
        <f t="shared" si="4"/>
        <v>75511.409736884962</v>
      </c>
      <c r="BD9" s="20">
        <f t="shared" si="4"/>
        <v>77364.592344542179</v>
      </c>
      <c r="BE9" s="20">
        <f t="shared" si="4"/>
        <v>79226.913934922093</v>
      </c>
      <c r="BF9" s="20">
        <f t="shared" si="4"/>
        <v>81098.419576980596</v>
      </c>
      <c r="BG9" s="20">
        <f t="shared" si="4"/>
        <v>82979.154561931442</v>
      </c>
      <c r="BH9" s="20">
        <f t="shared" si="4"/>
        <v>84869.164404342315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2025-11-13T08:05:12Z</dcterms:modified>
</cp:coreProperties>
</file>